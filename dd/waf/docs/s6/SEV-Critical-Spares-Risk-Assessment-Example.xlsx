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bcad5c95b35c585/Documents/Claude - Work/Projects/Seagull Maritime/seagull-portals/dd/waf/docs/s6/"/>
    </mc:Choice>
  </mc:AlternateContent>
  <xr:revisionPtr revIDLastSave="0" documentId="11_A972E6980DC7852E0AAF4B493BA293B341C45E4D" xr6:coauthVersionLast="47" xr6:coauthVersionMax="47" xr10:uidLastSave="{00000000-0000-0000-0000-000000000000}"/>
  <bookViews>
    <workbookView xWindow="17715" yWindow="4515" windowWidth="29190" windowHeight="15105" tabRatio="500" xr2:uid="{00000000-000D-0000-FFFF-FFFF00000000}"/>
  </bookViews>
  <sheets>
    <sheet name="RA Information" sheetId="1" r:id="rId1"/>
    <sheet name="Methodology" sheetId="2" r:id="rId2"/>
    <sheet name="SEV Critical Spares Register" sheetId="3" r:id="rId3"/>
    <sheet name="Risk Dashboard"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2" i="4" l="1"/>
  <c r="C31" i="4"/>
  <c r="E26" i="4"/>
  <c r="C26" i="4"/>
  <c r="E25" i="4"/>
  <c r="C25" i="4"/>
  <c r="E24" i="4"/>
  <c r="E23" i="4"/>
  <c r="E22" i="4"/>
  <c r="D22" i="4"/>
  <c r="E21" i="4"/>
  <c r="E20" i="4"/>
  <c r="C20" i="4"/>
  <c r="E19" i="4"/>
  <c r="E18" i="4"/>
  <c r="C13" i="4"/>
  <c r="C12" i="4"/>
  <c r="G82" i="3"/>
  <c r="H82" i="3" s="1"/>
  <c r="G80" i="3"/>
  <c r="H80" i="3" s="1"/>
  <c r="H79" i="3"/>
  <c r="G79" i="3"/>
  <c r="H77" i="3"/>
  <c r="G77" i="3"/>
  <c r="D26" i="4" s="1"/>
  <c r="G76" i="3"/>
  <c r="H76" i="3" s="1"/>
  <c r="G75" i="3"/>
  <c r="H75" i="3" s="1"/>
  <c r="H74" i="3"/>
  <c r="G74" i="3"/>
  <c r="D25" i="4" s="1"/>
  <c r="H73" i="3"/>
  <c r="G73" i="3"/>
  <c r="G72" i="3"/>
  <c r="H72" i="3" s="1"/>
  <c r="G71" i="3"/>
  <c r="D24" i="4" s="1"/>
  <c r="H68" i="3"/>
  <c r="G68" i="3"/>
  <c r="H66" i="3"/>
  <c r="G66" i="3"/>
  <c r="G65" i="3"/>
  <c r="H65" i="3" s="1"/>
  <c r="G64" i="3"/>
  <c r="H64" i="3" s="1"/>
  <c r="H62" i="3"/>
  <c r="G62" i="3"/>
  <c r="D23" i="4" s="1"/>
  <c r="H49" i="3"/>
  <c r="G49" i="3"/>
  <c r="G42" i="3"/>
  <c r="C22" i="4" s="1"/>
  <c r="G38" i="3"/>
  <c r="H38" i="3" s="1"/>
  <c r="H37" i="3"/>
  <c r="G37" i="3"/>
  <c r="H30" i="3"/>
  <c r="G30" i="3"/>
  <c r="G29" i="3"/>
  <c r="D21" i="4" s="1"/>
  <c r="G20" i="3"/>
  <c r="H20" i="3" s="1"/>
  <c r="H17" i="3"/>
  <c r="G17" i="3"/>
  <c r="H16" i="3"/>
  <c r="G16" i="3"/>
  <c r="D20" i="4" s="1"/>
  <c r="G14" i="3"/>
  <c r="D19" i="4" s="1"/>
  <c r="G13" i="3"/>
  <c r="H13" i="3" s="1"/>
  <c r="H6" i="3"/>
  <c r="G6" i="3"/>
  <c r="C8" i="4" s="1"/>
  <c r="C23" i="4" l="1"/>
  <c r="C18" i="4"/>
  <c r="H14" i="3"/>
  <c r="C10" i="4" s="1"/>
  <c r="H29" i="3"/>
  <c r="H42" i="3"/>
  <c r="D18" i="4"/>
  <c r="C21" i="4"/>
  <c r="H71" i="3"/>
  <c r="C24" i="4"/>
  <c r="C19" i="4"/>
  <c r="C9" i="4" l="1"/>
  <c r="C11" i="4"/>
</calcChain>
</file>

<file path=xl/sharedStrings.xml><?xml version="1.0" encoding="utf-8"?>
<sst xmlns="http://schemas.openxmlformats.org/spreadsheetml/2006/main" count="578" uniqueCount="350">
  <si>
    <t>SEV CRITICAL SPARES RISK ASSESSMENT – EXAMPLE VESSEL</t>
  </si>
  <si>
    <t>RISK MANAGEMENT INFORMATION</t>
  </si>
  <si>
    <t>Risk Assessment ID:</t>
  </si>
  <si>
    <t>SM RA-SEV/EXV1/001</t>
  </si>
  <si>
    <t>Vessel:</t>
  </si>
  <si>
    <t>Example Vessel (Example Vessel Type)</t>
  </si>
  <si>
    <t>Vessel Provider:</t>
  </si>
  <si>
    <t>Example Provider Ltd</t>
  </si>
  <si>
    <t>Operating Region:</t>
  </si>
  <si>
    <t>West Africa (Gulf of Guinea)</t>
  </si>
  <si>
    <t>Activity Description:</t>
  </si>
  <si>
    <t>Assessment of critical equipment spare parts availability and associated operational risk for Example Vessel operating as a Security Escort Vessel (SEV) in the West Africa region. This assessment identifies equipment failure scenarios, evaluates the operational and security impact, and verifies that adequate critical spares are maintained onboard to support continuous vessel operations.</t>
  </si>
  <si>
    <t>Assessed by:</t>
  </si>
  <si>
    <t>Group Compliance Director</t>
  </si>
  <si>
    <t>Assessment Date:</t>
  </si>
  <si>
    <t>March 2026</t>
  </si>
  <si>
    <t>Contributors:</t>
  </si>
  <si>
    <t>[TO BE COMPLETED BY PROJECT TEAM]</t>
  </si>
  <si>
    <t>Review Date:</t>
  </si>
  <si>
    <t>[TO BE COMPLETED]</t>
  </si>
  <si>
    <t>Approved by:</t>
  </si>
  <si>
    <t>Next Review:</t>
  </si>
  <si>
    <t>RESPONSIBLE PERSONS</t>
  </si>
  <si>
    <t>Role:</t>
  </si>
  <si>
    <t>WAF Compliance Operations Manager</t>
  </si>
  <si>
    <t>Responsibility:</t>
  </si>
  <si>
    <t>Overall responsibility for ensuring vessel readiness and spares compliance for Seagull Maritime</t>
  </si>
  <si>
    <t>Chief Engineer / Electrician</t>
  </si>
  <si>
    <t>Day-to-day inspection, testing, and inventory management of all engineering and electrical spares</t>
  </si>
  <si>
    <t>Ship Security Officer (SSO)</t>
  </si>
  <si>
    <t>Responsibility for security equipment spares and operational readiness</t>
  </si>
  <si>
    <t>Master</t>
  </si>
  <si>
    <t>Overall vessel safety and ensuring critical equipment is functional and spares are available</t>
  </si>
  <si>
    <t>COMMUNICATION &amp; CONSULTATION / MONITORING &amp; REVIEW</t>
  </si>
  <si>
    <t>This risk assessment must be shared with the Chief Engineer and all responsible officers. Any changes to spares availability must be reported to the Operations Manager immediately. Critical shortfalls identified must trigger a procurement request before the vessel deploys on task.</t>
  </si>
  <si>
    <t>This assessment must be reviewed: (a) quarterly during normal operations, (b) after any equipment failure incident, (c) before deployment on a new client contract, and (d) when the vessel inventory report is updated by the Chief Engineer.</t>
  </si>
  <si>
    <t>Source document: Critical Equipment Parts Inventory – Example Vessel, dated February 2026, signed by Captain and Chief Engineer, provided by Example Provider Ltd.</t>
  </si>
  <si>
    <t>RISK ASSESSMENT METHODOLOGY</t>
  </si>
  <si>
    <t>Likelihood x Consequence = Risk Rating</t>
  </si>
  <si>
    <t>Likelihood</t>
  </si>
  <si>
    <t>x</t>
  </si>
  <si>
    <t>Consequence</t>
  </si>
  <si>
    <t>Rare</t>
  </si>
  <si>
    <t>Minor inconvenience</t>
  </si>
  <si>
    <t>Unlikely</t>
  </si>
  <si>
    <t>Reduced capability</t>
  </si>
  <si>
    <t>Possible</t>
  </si>
  <si>
    <t>Mission degradation</t>
  </si>
  <si>
    <t>Likely</t>
  </si>
  <si>
    <t>Mission failure</t>
  </si>
  <si>
    <t>Almost Certain</t>
  </si>
  <si>
    <t>Loss of life / vessel</t>
  </si>
  <si>
    <t>Risk Rating = Likelihood x Consequence (pre-controls)</t>
  </si>
  <si>
    <t>Residual Risk = Risk after spare parts and controls are verified onboard</t>
  </si>
  <si>
    <t>Risk Level Key:</t>
  </si>
  <si>
    <t>1–6</t>
  </si>
  <si>
    <t>Low</t>
  </si>
  <si>
    <t>Acceptable risk. Monitor through routine inspection schedule.</t>
  </si>
  <si>
    <t>8–12</t>
  </si>
  <si>
    <t>Medium</t>
  </si>
  <si>
    <t>Tolerable with controls in place. Ensure spares are maintained and inspected.</t>
  </si>
  <si>
    <t>15–25</t>
  </si>
  <si>
    <t>High</t>
  </si>
  <si>
    <t>Unacceptable without mitigation. Vessel must not deploy until spares shortfall is resolved.</t>
  </si>
  <si>
    <t>SEV CRITICAL SPARES REGISTER</t>
  </si>
  <si>
    <t>Example Vessel</t>
  </si>
  <si>
    <t>Provider:</t>
  </si>
  <si>
    <t>Inventory Date:</t>
  </si>
  <si>
    <t>February 2026</t>
  </si>
  <si>
    <t>Document Ref:</t>
  </si>
  <si>
    <t>System Category</t>
  </si>
  <si>
    <t>Equipment / Spare Part</t>
  </si>
  <si>
    <t>Failure Scenario</t>
  </si>
  <si>
    <t>Operational / Security Impact</t>
  </si>
  <si>
    <t>Likelihood
(1-5)</t>
  </si>
  <si>
    <t>Consequence
(1-5)</t>
  </si>
  <si>
    <t>Risk Rating
(L x C)</t>
  </si>
  <si>
    <t>Risk Level</t>
  </si>
  <si>
    <t>Existing Controls</t>
  </si>
  <si>
    <t>Required Critical Spares</t>
  </si>
  <si>
    <t>Required
Quantity</t>
  </si>
  <si>
    <t>Quantity
on Board</t>
  </si>
  <si>
    <t>Responsible
Officer</t>
  </si>
  <si>
    <t>Inspection / Test
Frequency</t>
  </si>
  <si>
    <t>Residual
Risk</t>
  </si>
  <si>
    <t>Remarks</t>
  </si>
  <si>
    <t>Propulsion</t>
  </si>
  <si>
    <t>Main Engine</t>
  </si>
  <si>
    <t>Engine failure</t>
  </si>
  <si>
    <t>Loss of escort and evasive capability</t>
  </si>
  <si>
    <t>PMS, redundancy</t>
  </si>
  <si>
    <t xml:space="preserve">Filters lub oil </t>
  </si>
  <si>
    <t>4 pcs</t>
  </si>
  <si>
    <t>Chief Engineer</t>
  </si>
  <si>
    <t>Daily / Weekly</t>
  </si>
  <si>
    <t xml:space="preserve">filter for fuel </t>
  </si>
  <si>
    <t xml:space="preserve">12 pcs </t>
  </si>
  <si>
    <t>breather</t>
  </si>
  <si>
    <t>nil</t>
  </si>
  <si>
    <t>valve cover</t>
  </si>
  <si>
    <t xml:space="preserve">7 pcs </t>
  </si>
  <si>
    <t xml:space="preserve">separ filter </t>
  </si>
  <si>
    <t xml:space="preserve">6 pcs </t>
  </si>
  <si>
    <t>zinc anodes</t>
  </si>
  <si>
    <t xml:space="preserve">24 pcs </t>
  </si>
  <si>
    <t xml:space="preserve">exhaust manifold </t>
  </si>
  <si>
    <t xml:space="preserve">8 pcs </t>
  </si>
  <si>
    <t>Fuel / Water Pump</t>
  </si>
  <si>
    <t>Pump seizure</t>
  </si>
  <si>
    <t>Total loss of propulsion</t>
  </si>
  <si>
    <t>Planned maintenance</t>
  </si>
  <si>
    <t xml:space="preserve">Spare SUBMERSIBLE PUMP </t>
  </si>
  <si>
    <t xml:space="preserve">1 pcs </t>
  </si>
  <si>
    <t>Weekly</t>
  </si>
  <si>
    <t xml:space="preserve">Gearbox system </t>
  </si>
  <si>
    <t xml:space="preserve">Gear Box </t>
  </si>
  <si>
    <t xml:space="preserve">gearbox failure </t>
  </si>
  <si>
    <t xml:space="preserve">loss of propulsion control </t>
  </si>
  <si>
    <t xml:space="preserve">Gearbox filter </t>
  </si>
  <si>
    <t xml:space="preserve">seals </t>
  </si>
  <si>
    <t>1 pack</t>
  </si>
  <si>
    <t xml:space="preserve">Emergency steering </t>
  </si>
  <si>
    <t xml:space="preserve">system push solonoid </t>
  </si>
  <si>
    <t xml:space="preserve">emergency steering </t>
  </si>
  <si>
    <t xml:space="preserve">loss of  vessel  heading control </t>
  </si>
  <si>
    <t xml:space="preserve">spare push solonoid </t>
  </si>
  <si>
    <t xml:space="preserve">2pcs </t>
  </si>
  <si>
    <t>Steering Gear</t>
  </si>
  <si>
    <t>Hydraulic failure</t>
  </si>
  <si>
    <t>Loss of vessel control</t>
  </si>
  <si>
    <t>Redundant hydraulics</t>
  </si>
  <si>
    <t>Hoses</t>
  </si>
  <si>
    <t xml:space="preserve">2 pcs </t>
  </si>
  <si>
    <t xml:space="preserve">Seals </t>
  </si>
  <si>
    <t xml:space="preserve">4pcs </t>
  </si>
  <si>
    <t>Fluid</t>
  </si>
  <si>
    <t xml:space="preserve">100 ltrs </t>
  </si>
  <si>
    <t>Ship Auxilliary (generator) and Alternators</t>
  </si>
  <si>
    <t>Generator Set</t>
  </si>
  <si>
    <t>Generator failure</t>
  </si>
  <si>
    <t>Loss of power to sensors/comms</t>
  </si>
  <si>
    <t>Dual gensets</t>
  </si>
  <si>
    <t>Separ Filters</t>
  </si>
  <si>
    <t xml:space="preserve">06 pcs </t>
  </si>
  <si>
    <t>Chief Engineer/Electrician</t>
  </si>
  <si>
    <t>Daily</t>
  </si>
  <si>
    <t xml:space="preserve">fuel filter </t>
  </si>
  <si>
    <t xml:space="preserve">lub oil filter </t>
  </si>
  <si>
    <t xml:space="preserve">air filter in an out </t>
  </si>
  <si>
    <t xml:space="preserve">3 pcs In / 4 pcs out </t>
  </si>
  <si>
    <t xml:space="preserve">breather </t>
  </si>
  <si>
    <t xml:space="preserve">seal pack </t>
  </si>
  <si>
    <t xml:space="preserve">valve seal cover </t>
  </si>
  <si>
    <t>2 pcs</t>
  </si>
  <si>
    <t xml:space="preserve">fuel lifting pump </t>
  </si>
  <si>
    <t>AVR</t>
  </si>
  <si>
    <t>Electrical</t>
  </si>
  <si>
    <t>Batteries</t>
  </si>
  <si>
    <t>Battery failure</t>
  </si>
  <si>
    <t>No start / blackout</t>
  </si>
  <si>
    <t>Routine testing/battery log</t>
  </si>
  <si>
    <t>Spare batteries</t>
  </si>
  <si>
    <t xml:space="preserve">1pcs x 200amps / 12v </t>
  </si>
  <si>
    <t>breakers</t>
  </si>
  <si>
    <t>Breaker failure</t>
  </si>
  <si>
    <t>Partial blackout</t>
  </si>
  <si>
    <t>Thermal checks</t>
  </si>
  <si>
    <t>Breaker 1C 60N 4P C16</t>
  </si>
  <si>
    <t>Monthly</t>
  </si>
  <si>
    <t>Breaker 4P C32</t>
  </si>
  <si>
    <t>Breaker 1C 60N 3P C16</t>
  </si>
  <si>
    <t>Breaker 1CN60N 3P C10</t>
  </si>
  <si>
    <t>Breaker 1CN60N 3P C32</t>
  </si>
  <si>
    <t>Breaker 2P 2A  C60N-C</t>
  </si>
  <si>
    <t>Breaker 1C 60N 2P 400V 50HZ AC/DC 1P20</t>
  </si>
  <si>
    <t xml:space="preserve">Electrical battery chargers </t>
  </si>
  <si>
    <t xml:space="preserve">volt charger </t>
  </si>
  <si>
    <t xml:space="preserve">charger failure </t>
  </si>
  <si>
    <t xml:space="preserve">status periodic checks/ logging </t>
  </si>
  <si>
    <t xml:space="preserve">spare volt master charger </t>
  </si>
  <si>
    <t xml:space="preserve">daily </t>
  </si>
  <si>
    <t xml:space="preserve">Electrical Relays </t>
  </si>
  <si>
    <t>RELAYS</t>
  </si>
  <si>
    <t xml:space="preserve">Partial equipment failure </t>
  </si>
  <si>
    <t xml:space="preserve">routine checks </t>
  </si>
  <si>
    <t xml:space="preserve"> Socket relay clamp </t>
  </si>
  <si>
    <t>Base relay RXM-4A/4G</t>
  </si>
  <si>
    <t>1 pcs</t>
  </si>
  <si>
    <t>Relay zelio RXM 2C/O-230VAC MINIATURE PLUG IN RELAY</t>
  </si>
  <si>
    <t>mini relay 12A 2W VDC</t>
  </si>
  <si>
    <t xml:space="preserve">Air-Condition system </t>
  </si>
  <si>
    <t xml:space="preserve">Air condition system </t>
  </si>
  <si>
    <t xml:space="preserve">compressor failure </t>
  </si>
  <si>
    <t xml:space="preserve">compressor pressure witch </t>
  </si>
  <si>
    <t xml:space="preserve">A/C fan belt </t>
  </si>
  <si>
    <t xml:space="preserve">Evaporator FILTER </t>
  </si>
  <si>
    <t xml:space="preserve">NIL </t>
  </si>
  <si>
    <t>Evaporator louver comb</t>
  </si>
  <si>
    <t xml:space="preserve">1 PCS </t>
  </si>
  <si>
    <t xml:space="preserve">condenser cleaner brush </t>
  </si>
  <si>
    <t>2 PCS</t>
  </si>
  <si>
    <t xml:space="preserve">refrigerator freon </t>
  </si>
  <si>
    <t xml:space="preserve">5 cylinders </t>
  </si>
  <si>
    <t>compressor oil</t>
  </si>
  <si>
    <t xml:space="preserve">5 x 5ltrs </t>
  </si>
  <si>
    <t xml:space="preserve">ELECTRICAL FUSES </t>
  </si>
  <si>
    <t>EQUIPMENT FUSES</t>
  </si>
  <si>
    <t xml:space="preserve">power failure </t>
  </si>
  <si>
    <t>Fuse 80A Low voltage HRC</t>
  </si>
  <si>
    <t xml:space="preserve">6PCS </t>
  </si>
  <si>
    <t>fuse 63A Low voltage HRC</t>
  </si>
  <si>
    <t xml:space="preserve">fuse 200A fuse to start battery box </t>
  </si>
  <si>
    <t>Fuse 50A low voltage HRC</t>
  </si>
  <si>
    <t>fuse 160A low volatage HRC</t>
  </si>
  <si>
    <t>fuse terminal block ( 303654)HESILED 24</t>
  </si>
  <si>
    <t xml:space="preserve">2 PCS </t>
  </si>
  <si>
    <t>Terminal fuse block ST4-HESI ( 5  X 20)</t>
  </si>
  <si>
    <t>Terminal fuse block ST4-HESI (250V  6.3A)</t>
  </si>
  <si>
    <t>NIL</t>
  </si>
  <si>
    <t>FUSE 5 X 20    100ma low</t>
  </si>
  <si>
    <t>20 PCS</t>
  </si>
  <si>
    <t>FUSE     4 A</t>
  </si>
  <si>
    <t>fuse    6A</t>
  </si>
  <si>
    <t xml:space="preserve">Glass fuse </t>
  </si>
  <si>
    <t>FUSE 5A</t>
  </si>
  <si>
    <t>Navigation</t>
  </si>
  <si>
    <t>Radar</t>
  </si>
  <si>
    <t>Radar blackout</t>
  </si>
  <si>
    <t>Reduced threat detection</t>
  </si>
  <si>
    <t>Secondary radar</t>
  </si>
  <si>
    <t>Magnetron, PSU</t>
  </si>
  <si>
    <t>Daily test</t>
  </si>
  <si>
    <t>PSU</t>
  </si>
  <si>
    <t>GPS / ECDIS</t>
  </si>
  <si>
    <t>Signal loss</t>
  </si>
  <si>
    <t>Navigation degradation</t>
  </si>
  <si>
    <t>Paper charts</t>
  </si>
  <si>
    <t>Handheld GPS</t>
  </si>
  <si>
    <t xml:space="preserve">asper Nav Area </t>
  </si>
  <si>
    <t>AIS</t>
  </si>
  <si>
    <t>Navigation / information  degradation</t>
  </si>
  <si>
    <t>Spare units</t>
  </si>
  <si>
    <t xml:space="preserve">AIS SYSTEM </t>
  </si>
  <si>
    <t>Night Vision / Thermal</t>
  </si>
  <si>
    <t>Unit failure</t>
  </si>
  <si>
    <t>Reduced night security</t>
  </si>
  <si>
    <t>4 pcs  X 200amps / 12v</t>
  </si>
  <si>
    <t>SSO</t>
  </si>
  <si>
    <t>Before night ops</t>
  </si>
  <si>
    <t>Spare Device</t>
  </si>
  <si>
    <t>1 PCS</t>
  </si>
  <si>
    <t xml:space="preserve">Navigation lighting system </t>
  </si>
  <si>
    <t>spare bulbs/ spare unit</t>
  </si>
  <si>
    <t>blown bulb/ overload</t>
  </si>
  <si>
    <t xml:space="preserve">navigation safety at night </t>
  </si>
  <si>
    <t>Navigation light bulb  24v 25w PIN</t>
  </si>
  <si>
    <t xml:space="preserve">3 pcs </t>
  </si>
  <si>
    <t>low</t>
  </si>
  <si>
    <t>BULB OSRAM   28WATTS</t>
  </si>
  <si>
    <t>Navigation light bulb  24v 25w SCREW</t>
  </si>
  <si>
    <t xml:space="preserve">8 PCS </t>
  </si>
  <si>
    <t>Communications</t>
  </si>
  <si>
    <t>VHF Radio</t>
  </si>
  <si>
    <t>Radio failure</t>
  </si>
  <si>
    <t>Loss of coordination</t>
  </si>
  <si>
    <t>Backup handhelds</t>
  </si>
  <si>
    <t>Handheld VHF Radio</t>
  </si>
  <si>
    <t>SATCOM</t>
  </si>
  <si>
    <t>Terminal failure</t>
  </si>
  <si>
    <t>Loss of external reporting</t>
  </si>
  <si>
    <t>Redundant channels</t>
  </si>
  <si>
    <t>Spare handset</t>
  </si>
  <si>
    <t>Internal Comms</t>
  </si>
  <si>
    <t>Intercom failure</t>
  </si>
  <si>
    <t>Delayed response</t>
  </si>
  <si>
    <t>Manual procedures</t>
  </si>
  <si>
    <t>Headsets</t>
  </si>
  <si>
    <t>Security</t>
  </si>
  <si>
    <t>Weapon Mounts</t>
  </si>
  <si>
    <t>Mount failure</t>
  </si>
  <si>
    <t>Reduced deterrence</t>
  </si>
  <si>
    <t>Pre-mission checks</t>
  </si>
  <si>
    <t>Mount hardware kit</t>
  </si>
  <si>
    <t>Team Leader</t>
  </si>
  <si>
    <t>Before mission</t>
  </si>
  <si>
    <t>Optics / Sights</t>
  </si>
  <si>
    <t>Optic damage</t>
  </si>
  <si>
    <t>Reduced accuracy</t>
  </si>
  <si>
    <t>Protective cases</t>
  </si>
  <si>
    <t>Spare optics</t>
  </si>
  <si>
    <t>Non-lethal Devices</t>
  </si>
  <si>
    <t>Power failure</t>
  </si>
  <si>
    <t>Escalation control reduced</t>
  </si>
  <si>
    <t>Battery management</t>
  </si>
  <si>
    <t>Power pack</t>
  </si>
  <si>
    <t>Safety</t>
  </si>
  <si>
    <t xml:space="preserve">Fire Pump </t>
  </si>
  <si>
    <t>Pump failure</t>
  </si>
  <si>
    <t>Fire uncontrolled</t>
  </si>
  <si>
    <t>Secondary pump(karma pump)</t>
  </si>
  <si>
    <t>Impeller</t>
  </si>
  <si>
    <t>6  pcs</t>
  </si>
  <si>
    <t>Seals</t>
  </si>
  <si>
    <t>Fire Extinguishers</t>
  </si>
  <si>
    <t>Expired / empty</t>
  </si>
  <si>
    <t>Injury / damage</t>
  </si>
  <si>
    <t>Monthly inspection</t>
  </si>
  <si>
    <t>Certified spares</t>
  </si>
  <si>
    <t xml:space="preserve">6 pcs x 6kg </t>
  </si>
  <si>
    <t>Chief Mate</t>
  </si>
  <si>
    <t>Medical Trauma Kit</t>
  </si>
  <si>
    <t>Insufficient supplies</t>
  </si>
  <si>
    <t>Inadequate casualty care</t>
  </si>
  <si>
    <t>Inventory checks</t>
  </si>
  <si>
    <t>Tourniquets</t>
  </si>
  <si>
    <t>Medic / Master</t>
  </si>
  <si>
    <t>Before deployment</t>
  </si>
  <si>
    <t>Dressings</t>
  </si>
  <si>
    <t>fire detector system</t>
  </si>
  <si>
    <t xml:space="preserve">fire detector failure </t>
  </si>
  <si>
    <t>inactive smoke and fire detection system</t>
  </si>
  <si>
    <t xml:space="preserve">weekly testing </t>
  </si>
  <si>
    <t xml:space="preserve">push button  red led&amp; lens </t>
  </si>
  <si>
    <t xml:space="preserve">Low </t>
  </si>
  <si>
    <t xml:space="preserve">push button  complet green </t>
  </si>
  <si>
    <t xml:space="preserve"> 1 PCS</t>
  </si>
  <si>
    <t>fire alarm call point and back case</t>
  </si>
  <si>
    <t>heat detecr 90 degree 1p44</t>
  </si>
  <si>
    <t>3 pcs</t>
  </si>
  <si>
    <t>RISK DASHBOARD</t>
  </si>
  <si>
    <t>Date:</t>
  </si>
  <si>
    <t>RISK SUMMARY</t>
  </si>
  <si>
    <t>Metric</t>
  </si>
  <si>
    <t>Count</t>
  </si>
  <si>
    <t>Total Risk Items Assessed</t>
  </si>
  <si>
    <t>High Risk Items</t>
  </si>
  <si>
    <t>Medium Risk Items</t>
  </si>
  <si>
    <t>Low Risk Items</t>
  </si>
  <si>
    <t>Average Risk Rating</t>
  </si>
  <si>
    <t>Highest Risk Rating</t>
  </si>
  <si>
    <t>RISK BY SYSTEM CATEGORY</t>
  </si>
  <si>
    <t>Items</t>
  </si>
  <si>
    <t>Avg Risk Rating</t>
  </si>
  <si>
    <t>Max Risk Rating</t>
  </si>
  <si>
    <t>Gearbox</t>
  </si>
  <si>
    <t>Emergency steering</t>
  </si>
  <si>
    <t>Air-Condition</t>
  </si>
  <si>
    <t>SPARES COMPLIANCE STATUS</t>
  </si>
  <si>
    <t>Total Spare Part Lines</t>
  </si>
  <si>
    <t>Lines Showing "NIL"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</si>
</sst>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6" x14ac:knownFonts="1">
    <font>
      <sz val="11"/>
      <color theme="1"/>
      <name val="Calibri"/>
      <family val="2"/>
      <charset val="1"/>
    </font>
    <font>
      <b/>
      <sz val="20"/>
      <color rgb="FF003C72"/>
      <name val="Avenir Next LT Pro"/>
      <charset val="1"/>
    </font>
    <font>
      <b/>
      <sz val="12"/>
      <color rgb="FF003C72"/>
      <name val="Avenir Next LT Pro"/>
      <charset val="1"/>
    </font>
    <font>
      <b/>
      <sz val="9"/>
      <color rgb="FF003C72"/>
      <name val="Aptos"/>
      <charset val="1"/>
    </font>
    <font>
      <sz val="9"/>
      <name val="Aptos"/>
      <charset val="1"/>
    </font>
    <font>
      <b/>
      <sz val="9"/>
      <color rgb="FFFFFFFF"/>
      <name val="Aptos"/>
      <charset val="1"/>
    </font>
  </fonts>
  <fills count="8">
    <fill>
      <patternFill patternType="none"/>
    </fill>
    <fill>
      <patternFill patternType="gray125"/>
    </fill>
    <fill>
      <patternFill patternType="solid">
        <fgColor rgb="FFE6EDF5"/>
        <bgColor rgb="FFFFFFFF"/>
      </patternFill>
    </fill>
    <fill>
      <patternFill patternType="solid">
        <fgColor rgb="FFFFFFFF"/>
        <bgColor rgb="FFFFFFCC"/>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
      <patternFill patternType="solid">
        <fgColor rgb="FF003C72"/>
        <bgColor rgb="FF333399"/>
      </patternFill>
    </fill>
  </fills>
  <borders count="5">
    <border>
      <left/>
      <right/>
      <top/>
      <bottom/>
      <diagonal/>
    </border>
    <border>
      <left style="thin">
        <color rgb="FF003C72"/>
      </left>
      <right style="thin">
        <color rgb="FF003C72"/>
      </right>
      <top style="thin">
        <color rgb="FF003C72"/>
      </top>
      <bottom style="thin">
        <color rgb="FF003C72"/>
      </bottom>
      <diagonal/>
    </border>
    <border>
      <left style="thin">
        <color rgb="FF003C72"/>
      </left>
      <right style="medium">
        <color rgb="FF003C72"/>
      </right>
      <top style="thin">
        <color rgb="FF003C72"/>
      </top>
      <bottom style="thin">
        <color rgb="FF003C72"/>
      </bottom>
      <diagonal/>
    </border>
    <border>
      <left style="thin">
        <color rgb="FF003C72"/>
      </left>
      <right/>
      <top style="thin">
        <color rgb="FF003C72"/>
      </top>
      <bottom style="thin">
        <color rgb="FF003C72"/>
      </bottom>
      <diagonal/>
    </border>
    <border>
      <left style="thin">
        <color rgb="FF003C72"/>
      </left>
      <right style="thin">
        <color auto="1"/>
      </right>
      <top style="thin">
        <color rgb="FF003C72"/>
      </top>
      <bottom style="thin">
        <color rgb="FF003C72"/>
      </bottom>
      <diagonal/>
    </border>
  </borders>
  <cellStyleXfs count="1">
    <xf numFmtId="0" fontId="0" fillId="0" borderId="0"/>
  </cellStyleXfs>
  <cellXfs count="20">
    <xf numFmtId="0" fontId="0" fillId="0" borderId="0" xfId="0"/>
    <xf numFmtId="0" fontId="4" fillId="2" borderId="3"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0" fontId="4" fillId="3" borderId="2" xfId="0" applyFont="1" applyFill="1" applyBorder="1" applyAlignment="1">
      <alignment horizontal="left" vertical="center" wrapText="1"/>
    </xf>
    <xf numFmtId="0" fontId="2" fillId="0" borderId="0" xfId="0" applyFont="1" applyAlignment="1">
      <alignment horizontal="left" vertical="center" wrapText="1"/>
    </xf>
    <xf numFmtId="0" fontId="1" fillId="0" borderId="0" xfId="0" applyFont="1" applyAlignment="1">
      <alignment horizontal="left" vertical="center"/>
    </xf>
    <xf numFmtId="0" fontId="3" fillId="2" borderId="3" xfId="0" applyFont="1" applyFill="1" applyBorder="1" applyAlignment="1">
      <alignment horizontal="left" vertical="center" wrapText="1"/>
    </xf>
    <xf numFmtId="0" fontId="1" fillId="0" borderId="0" xfId="0" applyFont="1" applyAlignment="1">
      <alignment horizontal="left" vertical="center" wrapText="1"/>
    </xf>
    <xf numFmtId="0" fontId="3" fillId="2"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164" fontId="4" fillId="3" borderId="1" xfId="0" applyNumberFormat="1" applyFont="1" applyFill="1" applyBorder="1" applyAlignment="1">
      <alignment horizontal="left" vertical="center" wrapText="1"/>
    </xf>
    <xf numFmtId="0" fontId="1" fillId="0" borderId="0" xfId="0" applyFont="1"/>
    <xf numFmtId="0" fontId="4"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4" fillId="2" borderId="1" xfId="0" applyFont="1" applyFill="1" applyBorder="1" applyAlignment="1">
      <alignment horizontal="left" vertical="center" wrapText="1"/>
    </xf>
  </cellXfs>
  <cellStyles count="1">
    <cellStyle name="Normal" xfId="0" builtinId="0"/>
  </cellStyles>
  <dxfs count="10">
    <dxf>
      <fill>
        <patternFill>
          <bgColor rgb="FFC6EFCE"/>
        </patternFill>
      </fill>
    </dxf>
    <dxf>
      <fill>
        <patternFill>
          <bgColor rgb="FFFFEB9C"/>
        </patternFill>
      </fill>
    </dxf>
    <dxf>
      <fill>
        <patternFill>
          <bgColor rgb="FFFFC7CE"/>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6ED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C72"/>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47520</xdr:rowOff>
    </xdr:from>
    <xdr:to>
      <xdr:col>1</xdr:col>
      <xdr:colOff>285120</xdr:colOff>
      <xdr:row>0</xdr:row>
      <xdr:rowOff>569880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47520"/>
          <a:ext cx="1835640" cy="5223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28440</xdr:colOff>
      <xdr:row>0</xdr:row>
      <xdr:rowOff>19080</xdr:rowOff>
    </xdr:from>
    <xdr:to>
      <xdr:col>2</xdr:col>
      <xdr:colOff>1285200</xdr:colOff>
      <xdr:row>0</xdr:row>
      <xdr:rowOff>599400</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380880" y="19080"/>
          <a:ext cx="2243520" cy="58032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399960</xdr:colOff>
      <xdr:row>0</xdr:row>
      <xdr:rowOff>47520</xdr:rowOff>
    </xdr:from>
    <xdr:to>
      <xdr:col>1</xdr:col>
      <xdr:colOff>608760</xdr:colOff>
      <xdr:row>0</xdr:row>
      <xdr:rowOff>561240</xdr:rowOff>
    </xdr:to>
    <xdr:pic>
      <xdr:nvPicPr>
        <xdr:cNvPr id="3" name="Image 1"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xdr:blipFill>
      <xdr:spPr>
        <a:xfrm>
          <a:off x="399960" y="47520"/>
          <a:ext cx="1336680" cy="51372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762480</xdr:colOff>
      <xdr:row>0</xdr:row>
      <xdr:rowOff>522360</xdr:rowOff>
    </xdr:to>
    <xdr:pic>
      <xdr:nvPicPr>
        <xdr:cNvPr id="4" name="Image 1"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a:stretch/>
      </xdr:blipFill>
      <xdr:spPr>
        <a:xfrm>
          <a:off x="0" y="0"/>
          <a:ext cx="3229560" cy="522360"/>
        </a:xfrm>
        <a:prstGeom prst="rect">
          <a:avLst/>
        </a:prstGeom>
        <a:noFill/>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2"/>
  <sheetViews>
    <sheetView showGridLines="0" tabSelected="1" zoomScaleNormal="100" workbookViewId="0">
      <selection activeCell="B10" sqref="B10"/>
    </sheetView>
  </sheetViews>
  <sheetFormatPr defaultColWidth="8.7109375" defaultRowHeight="15" customHeight="1" x14ac:dyDescent="0.25"/>
  <cols>
    <col min="1" max="1" width="22" customWidth="1"/>
    <col min="2" max="2" width="42" customWidth="1"/>
    <col min="3" max="3" width="22" customWidth="1"/>
    <col min="4" max="4" width="42" customWidth="1"/>
  </cols>
  <sheetData>
    <row r="1" spans="1:4" ht="49.5" customHeight="1" x14ac:dyDescent="0.25"/>
    <row r="2" spans="1:4" ht="34.5" customHeight="1" x14ac:dyDescent="0.25">
      <c r="A2" s="7" t="s">
        <v>0</v>
      </c>
      <c r="B2" s="7"/>
      <c r="C2" s="7"/>
      <c r="D2" s="7"/>
    </row>
    <row r="3" spans="1:4" x14ac:dyDescent="0.25"/>
    <row r="4" spans="1:4" ht="15" customHeight="1" x14ac:dyDescent="0.25">
      <c r="A4" s="6" t="s">
        <v>1</v>
      </c>
      <c r="B4" s="6"/>
      <c r="C4" s="6"/>
      <c r="D4" s="6"/>
    </row>
    <row r="5" spans="1:4" x14ac:dyDescent="0.25"/>
    <row r="6" spans="1:4" ht="15" customHeight="1" x14ac:dyDescent="0.25">
      <c r="A6" s="10" t="s">
        <v>2</v>
      </c>
      <c r="B6" s="11" t="s">
        <v>3</v>
      </c>
      <c r="C6" s="10" t="s">
        <v>4</v>
      </c>
      <c r="D6" s="11" t="s">
        <v>5</v>
      </c>
    </row>
    <row r="7" spans="1:4" ht="15" customHeight="1" x14ac:dyDescent="0.25">
      <c r="A7" s="10" t="s">
        <v>6</v>
      </c>
      <c r="B7" s="11" t="s">
        <v>7</v>
      </c>
      <c r="C7" s="10" t="s">
        <v>8</v>
      </c>
      <c r="D7" s="11" t="s">
        <v>9</v>
      </c>
    </row>
    <row r="8" spans="1:4" ht="54.75" customHeight="1" x14ac:dyDescent="0.25">
      <c r="A8" s="10" t="s">
        <v>10</v>
      </c>
      <c r="B8" s="5" t="s">
        <v>11</v>
      </c>
      <c r="C8" s="5"/>
      <c r="D8" s="5"/>
    </row>
    <row r="9" spans="1:4" ht="15" customHeight="1" x14ac:dyDescent="0.25">
      <c r="A9" s="10" t="s">
        <v>12</v>
      </c>
      <c r="B9" s="11" t="s">
        <v>13</v>
      </c>
      <c r="C9" s="10" t="s">
        <v>14</v>
      </c>
      <c r="D9" s="11" t="s">
        <v>15</v>
      </c>
    </row>
    <row r="10" spans="1:4" ht="21.75" customHeight="1" x14ac:dyDescent="0.25">
      <c r="A10" s="10" t="s">
        <v>16</v>
      </c>
      <c r="B10" s="11" t="s">
        <v>17</v>
      </c>
      <c r="C10" s="10" t="s">
        <v>18</v>
      </c>
      <c r="D10" s="11" t="s">
        <v>19</v>
      </c>
    </row>
    <row r="11" spans="1:4" ht="15" customHeight="1" x14ac:dyDescent="0.25">
      <c r="A11" s="10" t="s">
        <v>20</v>
      </c>
      <c r="B11" s="11" t="s">
        <v>13</v>
      </c>
      <c r="C11" s="10" t="s">
        <v>21</v>
      </c>
      <c r="D11" s="12">
        <v>46082</v>
      </c>
    </row>
    <row r="12" spans="1:4" x14ac:dyDescent="0.25">
      <c r="A12" s="11"/>
      <c r="B12" s="11"/>
      <c r="C12" s="11"/>
      <c r="D12" s="11"/>
    </row>
    <row r="13" spans="1:4" ht="15.75" customHeight="1" x14ac:dyDescent="0.25">
      <c r="A13" s="8" t="s">
        <v>22</v>
      </c>
      <c r="B13" s="8"/>
      <c r="C13" s="8"/>
      <c r="D13" s="8"/>
    </row>
    <row r="14" spans="1:4" ht="33" customHeight="1" x14ac:dyDescent="0.25">
      <c r="A14" s="10" t="s">
        <v>23</v>
      </c>
      <c r="B14" s="11" t="s">
        <v>24</v>
      </c>
      <c r="C14" s="10" t="s">
        <v>25</v>
      </c>
      <c r="D14" s="11" t="s">
        <v>26</v>
      </c>
    </row>
    <row r="15" spans="1:4" ht="26.25" customHeight="1" x14ac:dyDescent="0.25">
      <c r="A15" s="10" t="s">
        <v>23</v>
      </c>
      <c r="B15" s="11" t="s">
        <v>27</v>
      </c>
      <c r="C15" s="10" t="s">
        <v>25</v>
      </c>
      <c r="D15" s="11" t="s">
        <v>28</v>
      </c>
    </row>
    <row r="16" spans="1:4" ht="26.25" customHeight="1" x14ac:dyDescent="0.25">
      <c r="A16" s="10" t="s">
        <v>23</v>
      </c>
      <c r="B16" s="11" t="s">
        <v>29</v>
      </c>
      <c r="C16" s="10" t="s">
        <v>25</v>
      </c>
      <c r="D16" s="11" t="s">
        <v>30</v>
      </c>
    </row>
    <row r="17" spans="1:4" ht="32.25" customHeight="1" x14ac:dyDescent="0.25">
      <c r="A17" s="10" t="s">
        <v>23</v>
      </c>
      <c r="B17" s="11" t="s">
        <v>31</v>
      </c>
      <c r="C17" s="10" t="s">
        <v>25</v>
      </c>
      <c r="D17" s="11" t="s">
        <v>32</v>
      </c>
    </row>
    <row r="18" spans="1:4" x14ac:dyDescent="0.25">
      <c r="A18" s="11"/>
      <c r="B18" s="11"/>
      <c r="C18" s="11"/>
      <c r="D18" s="11"/>
    </row>
    <row r="19" spans="1:4" ht="15" customHeight="1" x14ac:dyDescent="0.25">
      <c r="A19" s="8" t="s">
        <v>33</v>
      </c>
      <c r="B19" s="8"/>
      <c r="C19" s="8"/>
      <c r="D19" s="8"/>
    </row>
    <row r="20" spans="1:4" ht="39.75" customHeight="1" x14ac:dyDescent="0.25">
      <c r="A20" s="8" t="s">
        <v>34</v>
      </c>
      <c r="B20" s="8"/>
      <c r="C20" s="8"/>
      <c r="D20" s="8"/>
    </row>
    <row r="21" spans="1:4" ht="39.75" customHeight="1" x14ac:dyDescent="0.25">
      <c r="A21" s="8" t="s">
        <v>35</v>
      </c>
      <c r="B21" s="8"/>
      <c r="C21" s="8"/>
      <c r="D21" s="8"/>
    </row>
    <row r="22" spans="1:4" ht="24.75" customHeight="1" x14ac:dyDescent="0.25">
      <c r="A22" s="8" t="s">
        <v>36</v>
      </c>
      <c r="B22" s="8"/>
      <c r="C22" s="8"/>
      <c r="D22" s="8"/>
    </row>
  </sheetData>
  <mergeCells count="8">
    <mergeCell ref="A20:D20"/>
    <mergeCell ref="A21:D21"/>
    <mergeCell ref="A22:D22"/>
    <mergeCell ref="A2:D2"/>
    <mergeCell ref="A4:D4"/>
    <mergeCell ref="B8:D8"/>
    <mergeCell ref="A13:D13"/>
    <mergeCell ref="A19:D19"/>
  </mergeCells>
  <pageMargins left="0.75" right="0.75" top="1" bottom="1" header="0.511811023622047" footer="0.511811023622047"/>
  <pageSetup paperSize="9"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20"/>
  <sheetViews>
    <sheetView showGridLines="0" zoomScaleNormal="100" workbookViewId="0">
      <selection activeCell="E23" sqref="E23"/>
    </sheetView>
  </sheetViews>
  <sheetFormatPr defaultColWidth="8.7109375" defaultRowHeight="15" customHeight="1" x14ac:dyDescent="0.25"/>
  <cols>
    <col min="1" max="1" width="5" customWidth="1"/>
    <col min="2" max="2" width="14" customWidth="1"/>
    <col min="3" max="3" width="30" customWidth="1"/>
    <col min="4" max="4" width="5" customWidth="1"/>
    <col min="5" max="5" width="14" customWidth="1"/>
    <col min="6" max="6" width="30" customWidth="1"/>
  </cols>
  <sheetData>
    <row r="1" spans="1:6" ht="49.5" customHeight="1" x14ac:dyDescent="0.4">
      <c r="A1" s="13"/>
    </row>
    <row r="2" spans="1:6" ht="34.5" customHeight="1" x14ac:dyDescent="0.25">
      <c r="A2" s="9" t="s">
        <v>37</v>
      </c>
      <c r="B2" s="9"/>
      <c r="C2" s="9"/>
      <c r="D2" s="9"/>
      <c r="E2" s="9"/>
      <c r="F2" s="9"/>
    </row>
    <row r="3" spans="1:6" x14ac:dyDescent="0.25">
      <c r="A3" s="14"/>
      <c r="B3" s="14"/>
      <c r="C3" s="14"/>
      <c r="D3" s="14"/>
      <c r="E3" s="14"/>
      <c r="F3" s="14"/>
    </row>
    <row r="4" spans="1:6" ht="15" customHeight="1" x14ac:dyDescent="0.25">
      <c r="A4" s="14"/>
      <c r="B4" s="4" t="s">
        <v>38</v>
      </c>
      <c r="C4" s="4"/>
      <c r="D4" s="4"/>
      <c r="E4" s="4"/>
      <c r="F4" s="4"/>
    </row>
    <row r="5" spans="1:6" x14ac:dyDescent="0.25">
      <c r="A5" s="14"/>
      <c r="B5" s="14"/>
      <c r="C5" s="14"/>
      <c r="D5" s="14"/>
      <c r="E5" s="14"/>
      <c r="F5" s="14"/>
    </row>
    <row r="6" spans="1:6" ht="15" customHeight="1" x14ac:dyDescent="0.25">
      <c r="A6" s="14"/>
      <c r="B6" s="4" t="s">
        <v>39</v>
      </c>
      <c r="C6" s="4"/>
      <c r="D6" s="14" t="s">
        <v>40</v>
      </c>
      <c r="E6" s="4" t="s">
        <v>41</v>
      </c>
      <c r="F6" s="4"/>
    </row>
    <row r="7" spans="1:6" ht="15" customHeight="1" x14ac:dyDescent="0.25">
      <c r="A7" s="14"/>
      <c r="B7" s="14">
        <v>1</v>
      </c>
      <c r="C7" s="14" t="s">
        <v>42</v>
      </c>
      <c r="D7" s="14"/>
      <c r="E7" s="14">
        <v>1</v>
      </c>
      <c r="F7" s="14" t="s">
        <v>43</v>
      </c>
    </row>
    <row r="8" spans="1:6" ht="15" customHeight="1" x14ac:dyDescent="0.25">
      <c r="A8" s="14"/>
      <c r="B8" s="14">
        <v>2</v>
      </c>
      <c r="C8" s="14" t="s">
        <v>44</v>
      </c>
      <c r="D8" s="14"/>
      <c r="E8" s="14">
        <v>2</v>
      </c>
      <c r="F8" s="14" t="s">
        <v>45</v>
      </c>
    </row>
    <row r="9" spans="1:6" ht="15" customHeight="1" x14ac:dyDescent="0.25">
      <c r="A9" s="14"/>
      <c r="B9" s="14">
        <v>3</v>
      </c>
      <c r="C9" s="14" t="s">
        <v>46</v>
      </c>
      <c r="D9" s="14"/>
      <c r="E9" s="14">
        <v>3</v>
      </c>
      <c r="F9" s="14" t="s">
        <v>47</v>
      </c>
    </row>
    <row r="10" spans="1:6" ht="15" customHeight="1" x14ac:dyDescent="0.25">
      <c r="A10" s="14"/>
      <c r="B10" s="14">
        <v>4</v>
      </c>
      <c r="C10" s="14" t="s">
        <v>48</v>
      </c>
      <c r="D10" s="14"/>
      <c r="E10" s="14">
        <v>4</v>
      </c>
      <c r="F10" s="14" t="s">
        <v>49</v>
      </c>
    </row>
    <row r="11" spans="1:6" ht="15" customHeight="1" x14ac:dyDescent="0.25">
      <c r="A11" s="14"/>
      <c r="B11" s="14">
        <v>5</v>
      </c>
      <c r="C11" s="14" t="s">
        <v>50</v>
      </c>
      <c r="D11" s="14"/>
      <c r="E11" s="14">
        <v>5</v>
      </c>
      <c r="F11" s="14" t="s">
        <v>51</v>
      </c>
    </row>
    <row r="12" spans="1:6" x14ac:dyDescent="0.25">
      <c r="A12" s="14"/>
      <c r="B12" s="14"/>
      <c r="C12" s="14"/>
      <c r="D12" s="14"/>
      <c r="E12" s="14"/>
      <c r="F12" s="14"/>
    </row>
    <row r="13" spans="1:6" x14ac:dyDescent="0.25">
      <c r="A13" s="14"/>
      <c r="B13" s="14"/>
      <c r="C13" s="14"/>
      <c r="D13" s="14"/>
      <c r="E13" s="14"/>
      <c r="F13" s="14"/>
    </row>
    <row r="14" spans="1:6" ht="15" customHeight="1" x14ac:dyDescent="0.25">
      <c r="A14" s="14"/>
      <c r="B14" s="4" t="s">
        <v>52</v>
      </c>
      <c r="C14" s="4"/>
      <c r="D14" s="4"/>
      <c r="E14" s="4"/>
      <c r="F14" s="4"/>
    </row>
    <row r="15" spans="1:6" ht="15" customHeight="1" x14ac:dyDescent="0.25">
      <c r="A15" s="14"/>
      <c r="B15" s="4" t="s">
        <v>53</v>
      </c>
      <c r="C15" s="4"/>
      <c r="D15" s="4"/>
      <c r="E15" s="4"/>
      <c r="F15" s="4"/>
    </row>
    <row r="16" spans="1:6" x14ac:dyDescent="0.25">
      <c r="A16" s="14"/>
      <c r="B16" s="14"/>
      <c r="C16" s="14"/>
      <c r="D16" s="14"/>
      <c r="E16" s="14"/>
      <c r="F16" s="14"/>
    </row>
    <row r="17" spans="1:6" ht="15" customHeight="1" x14ac:dyDescent="0.25">
      <c r="A17" s="4" t="s">
        <v>54</v>
      </c>
      <c r="B17" s="4"/>
      <c r="C17" s="4"/>
      <c r="D17" s="4"/>
      <c r="E17" s="4"/>
      <c r="F17" s="4"/>
    </row>
    <row r="18" spans="1:6" ht="21.75" customHeight="1" x14ac:dyDescent="0.25">
      <c r="A18" s="14"/>
      <c r="B18" s="14" t="s">
        <v>55</v>
      </c>
      <c r="C18" s="15" t="s">
        <v>56</v>
      </c>
      <c r="D18" s="3" t="s">
        <v>57</v>
      </c>
      <c r="E18" s="3"/>
      <c r="F18" s="3"/>
    </row>
    <row r="19" spans="1:6" ht="21.75" customHeight="1" x14ac:dyDescent="0.25">
      <c r="A19" s="14"/>
      <c r="B19" s="14" t="s">
        <v>58</v>
      </c>
      <c r="C19" s="16" t="s">
        <v>59</v>
      </c>
      <c r="D19" s="3" t="s">
        <v>60</v>
      </c>
      <c r="E19" s="3"/>
      <c r="F19" s="3"/>
    </row>
    <row r="20" spans="1:6" ht="21.75" customHeight="1" x14ac:dyDescent="0.25">
      <c r="A20" s="14"/>
      <c r="B20" s="14" t="s">
        <v>61</v>
      </c>
      <c r="C20" s="17" t="s">
        <v>62</v>
      </c>
      <c r="D20" s="3" t="s">
        <v>63</v>
      </c>
      <c r="E20" s="3"/>
      <c r="F20" s="3"/>
    </row>
  </sheetData>
  <mergeCells count="10">
    <mergeCell ref="B15:F15"/>
    <mergeCell ref="A17:F17"/>
    <mergeCell ref="D18:F18"/>
    <mergeCell ref="D19:F19"/>
    <mergeCell ref="D20:F20"/>
    <mergeCell ref="A2:F2"/>
    <mergeCell ref="B4:F4"/>
    <mergeCell ref="B6:C6"/>
    <mergeCell ref="E6:F6"/>
    <mergeCell ref="B14:F14"/>
  </mergeCells>
  <pageMargins left="0.75" right="0.75" top="1" bottom="1" header="0.511811023622047" footer="0.511811023622047"/>
  <pageSetup paperSize="9" fitToHeight="0"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85"/>
  <sheetViews>
    <sheetView showGridLines="0" zoomScaleNormal="100" workbookViewId="0">
      <selection activeCell="D19" sqref="D19"/>
    </sheetView>
  </sheetViews>
  <sheetFormatPr defaultColWidth="8.7109375" defaultRowHeight="15" customHeight="1" x14ac:dyDescent="0.25"/>
  <cols>
    <col min="1" max="1" width="16" customWidth="1"/>
    <col min="2" max="2" width="18" customWidth="1"/>
    <col min="3" max="4" width="22" customWidth="1"/>
    <col min="5" max="8" width="10" customWidth="1"/>
    <col min="9" max="10" width="22" customWidth="1"/>
    <col min="11" max="12" width="10" customWidth="1"/>
    <col min="13" max="14" width="14" customWidth="1"/>
    <col min="15" max="15" width="10" customWidth="1"/>
    <col min="16" max="16" width="22" customWidth="1"/>
  </cols>
  <sheetData>
    <row r="1" spans="1:16" ht="49.5" customHeight="1" x14ac:dyDescent="0.4">
      <c r="A1" s="13"/>
    </row>
    <row r="2" spans="1:16" ht="30" customHeight="1" x14ac:dyDescent="0.25">
      <c r="A2" s="9" t="s">
        <v>64</v>
      </c>
      <c r="B2" s="9"/>
      <c r="C2" s="9"/>
      <c r="D2" s="9"/>
      <c r="E2" s="9"/>
      <c r="F2" s="9"/>
      <c r="G2" s="9"/>
      <c r="H2" s="9"/>
      <c r="I2" s="9"/>
      <c r="J2" s="9"/>
      <c r="K2" s="9"/>
      <c r="L2" s="9"/>
      <c r="M2" s="9"/>
      <c r="N2" s="9"/>
      <c r="O2" s="9"/>
      <c r="P2" s="9"/>
    </row>
    <row r="3" spans="1:16" ht="15" customHeight="1" x14ac:dyDescent="0.25">
      <c r="A3" s="10" t="s">
        <v>4</v>
      </c>
      <c r="B3" s="8" t="s">
        <v>65</v>
      </c>
      <c r="C3" s="8"/>
      <c r="D3" s="8"/>
      <c r="E3" s="10" t="s">
        <v>66</v>
      </c>
      <c r="F3" s="8" t="s">
        <v>7</v>
      </c>
      <c r="G3" s="8"/>
      <c r="H3" s="8"/>
      <c r="I3" s="10" t="s">
        <v>67</v>
      </c>
      <c r="J3" s="8" t="s">
        <v>68</v>
      </c>
      <c r="K3" s="8"/>
      <c r="L3" s="8"/>
      <c r="M3" s="10" t="s">
        <v>69</v>
      </c>
      <c r="N3" s="8" t="s">
        <v>3</v>
      </c>
      <c r="O3" s="8"/>
      <c r="P3" s="8"/>
    </row>
    <row r="4" spans="1:16" x14ac:dyDescent="0.25">
      <c r="A4" s="18"/>
      <c r="B4" s="18"/>
      <c r="C4" s="18"/>
      <c r="D4" s="18"/>
      <c r="E4" s="18"/>
      <c r="F4" s="18"/>
      <c r="G4" s="18"/>
      <c r="H4" s="18"/>
      <c r="I4" s="18"/>
      <c r="J4" s="18"/>
      <c r="K4" s="18"/>
      <c r="L4" s="18"/>
      <c r="M4" s="18"/>
      <c r="N4" s="18"/>
      <c r="O4" s="18"/>
      <c r="P4" s="18"/>
    </row>
    <row r="5" spans="1:16" ht="34.5" customHeight="1" x14ac:dyDescent="0.25">
      <c r="A5" s="19" t="s">
        <v>70</v>
      </c>
      <c r="B5" s="19" t="s">
        <v>71</v>
      </c>
      <c r="C5" s="19" t="s">
        <v>72</v>
      </c>
      <c r="D5" s="19" t="s">
        <v>73</v>
      </c>
      <c r="E5" s="19" t="s">
        <v>74</v>
      </c>
      <c r="F5" s="19" t="s">
        <v>75</v>
      </c>
      <c r="G5" s="19" t="s">
        <v>76</v>
      </c>
      <c r="H5" s="19" t="s">
        <v>77</v>
      </c>
      <c r="I5" s="19" t="s">
        <v>78</v>
      </c>
      <c r="J5" s="19" t="s">
        <v>79</v>
      </c>
      <c r="K5" s="19" t="s">
        <v>80</v>
      </c>
      <c r="L5" s="19" t="s">
        <v>81</v>
      </c>
      <c r="M5" s="19" t="s">
        <v>82</v>
      </c>
      <c r="N5" s="19" t="s">
        <v>83</v>
      </c>
      <c r="O5" s="19" t="s">
        <v>84</v>
      </c>
      <c r="P5" s="19" t="s">
        <v>85</v>
      </c>
    </row>
    <row r="6" spans="1:16" ht="21.75" customHeight="1" x14ac:dyDescent="0.25">
      <c r="A6" s="11" t="s">
        <v>86</v>
      </c>
      <c r="B6" s="11" t="s">
        <v>87</v>
      </c>
      <c r="C6" s="11" t="s">
        <v>88</v>
      </c>
      <c r="D6" s="11" t="s">
        <v>89</v>
      </c>
      <c r="E6" s="11">
        <v>3</v>
      </c>
      <c r="F6" s="11">
        <v>5</v>
      </c>
      <c r="G6" s="11">
        <f>E6*F6</f>
        <v>15</v>
      </c>
      <c r="H6" s="11" t="str">
        <f>IF(G6="","",IF(G6&lt;=6,"Low",IF(G6&lt;=12,"Medium","High")))</f>
        <v>High</v>
      </c>
      <c r="I6" s="11" t="s">
        <v>90</v>
      </c>
      <c r="J6" s="11" t="s">
        <v>91</v>
      </c>
      <c r="K6" s="11" t="s">
        <v>92</v>
      </c>
      <c r="L6" s="11" t="s">
        <v>92</v>
      </c>
      <c r="M6" s="11" t="s">
        <v>93</v>
      </c>
      <c r="N6" s="11" t="s">
        <v>94</v>
      </c>
      <c r="O6" s="11" t="s">
        <v>59</v>
      </c>
      <c r="P6" s="11"/>
    </row>
    <row r="7" spans="1:16" ht="15" customHeight="1" x14ac:dyDescent="0.25">
      <c r="A7" s="19"/>
      <c r="B7" s="19"/>
      <c r="C7" s="19"/>
      <c r="D7" s="19"/>
      <c r="E7" s="19"/>
      <c r="F7" s="19"/>
      <c r="G7" s="19"/>
      <c r="H7" s="19"/>
      <c r="I7" s="19"/>
      <c r="J7" s="19" t="s">
        <v>95</v>
      </c>
      <c r="K7" s="19" t="s">
        <v>96</v>
      </c>
      <c r="L7" s="19" t="s">
        <v>96</v>
      </c>
      <c r="M7" s="19"/>
      <c r="N7" s="19"/>
      <c r="O7" s="19"/>
      <c r="P7" s="19"/>
    </row>
    <row r="8" spans="1:16" ht="15" customHeight="1" x14ac:dyDescent="0.25">
      <c r="A8" s="11"/>
      <c r="B8" s="11"/>
      <c r="C8" s="11"/>
      <c r="D8" s="11"/>
      <c r="E8" s="11"/>
      <c r="F8" s="11"/>
      <c r="G8" s="11"/>
      <c r="H8" s="11"/>
      <c r="I8" s="11"/>
      <c r="J8" s="11" t="s">
        <v>97</v>
      </c>
      <c r="K8" s="11" t="s">
        <v>98</v>
      </c>
      <c r="L8" s="11" t="s">
        <v>98</v>
      </c>
      <c r="M8" s="11"/>
      <c r="N8" s="11"/>
      <c r="O8" s="11"/>
      <c r="P8" s="11"/>
    </row>
    <row r="9" spans="1:16" ht="15" customHeight="1" x14ac:dyDescent="0.25">
      <c r="A9" s="19"/>
      <c r="B9" s="19"/>
      <c r="C9" s="19"/>
      <c r="D9" s="19"/>
      <c r="E9" s="19"/>
      <c r="F9" s="19"/>
      <c r="G9" s="19"/>
      <c r="H9" s="19"/>
      <c r="I9" s="19"/>
      <c r="J9" s="19" t="s">
        <v>99</v>
      </c>
      <c r="K9" s="19" t="s">
        <v>100</v>
      </c>
      <c r="L9" s="19" t="s">
        <v>100</v>
      </c>
      <c r="M9" s="19"/>
      <c r="N9" s="19"/>
      <c r="O9" s="19"/>
      <c r="P9" s="19"/>
    </row>
    <row r="10" spans="1:16" ht="15" customHeight="1" x14ac:dyDescent="0.25">
      <c r="A10" s="11"/>
      <c r="B10" s="11"/>
      <c r="C10" s="11"/>
      <c r="D10" s="11"/>
      <c r="E10" s="11"/>
      <c r="F10" s="11"/>
      <c r="G10" s="11"/>
      <c r="H10" s="11"/>
      <c r="I10" s="11"/>
      <c r="J10" s="11" t="s">
        <v>101</v>
      </c>
      <c r="K10" s="11" t="s">
        <v>102</v>
      </c>
      <c r="L10" s="11" t="s">
        <v>102</v>
      </c>
      <c r="M10" s="11"/>
      <c r="N10" s="11"/>
      <c r="O10" s="11"/>
      <c r="P10" s="11"/>
    </row>
    <row r="11" spans="1:16" ht="15" customHeight="1" x14ac:dyDescent="0.25">
      <c r="A11" s="19"/>
      <c r="B11" s="19"/>
      <c r="C11" s="19"/>
      <c r="D11" s="19"/>
      <c r="E11" s="19"/>
      <c r="F11" s="19"/>
      <c r="G11" s="19"/>
      <c r="H11" s="19"/>
      <c r="I11" s="19"/>
      <c r="J11" s="19" t="s">
        <v>103</v>
      </c>
      <c r="K11" s="19" t="s">
        <v>104</v>
      </c>
      <c r="L11" s="19" t="s">
        <v>104</v>
      </c>
      <c r="M11" s="19"/>
      <c r="N11" s="19"/>
      <c r="O11" s="19"/>
      <c r="P11" s="19"/>
    </row>
    <row r="12" spans="1:16" ht="15" customHeight="1" x14ac:dyDescent="0.25">
      <c r="A12" s="11"/>
      <c r="B12" s="11"/>
      <c r="C12" s="11"/>
      <c r="D12" s="11"/>
      <c r="E12" s="11"/>
      <c r="F12" s="11"/>
      <c r="G12" s="11"/>
      <c r="H12" s="11"/>
      <c r="I12" s="11"/>
      <c r="J12" s="11" t="s">
        <v>105</v>
      </c>
      <c r="K12" s="11" t="s">
        <v>106</v>
      </c>
      <c r="L12" s="11" t="s">
        <v>106</v>
      </c>
      <c r="M12" s="11"/>
      <c r="N12" s="11"/>
      <c r="O12" s="11"/>
      <c r="P12" s="11"/>
    </row>
    <row r="13" spans="1:16" ht="15" customHeight="1" x14ac:dyDescent="0.25">
      <c r="A13" s="19" t="s">
        <v>86</v>
      </c>
      <c r="B13" s="19" t="s">
        <v>107</v>
      </c>
      <c r="C13" s="19" t="s">
        <v>108</v>
      </c>
      <c r="D13" s="19" t="s">
        <v>109</v>
      </c>
      <c r="E13" s="19">
        <v>3</v>
      </c>
      <c r="F13" s="19">
        <v>5</v>
      </c>
      <c r="G13" s="19">
        <f>E13*F13</f>
        <v>15</v>
      </c>
      <c r="H13" s="19" t="str">
        <f>IF(G13="","",IF(G13&lt;=6,"Low",IF(G13&lt;=12,"Medium","High")))</f>
        <v>High</v>
      </c>
      <c r="I13" s="19" t="s">
        <v>110</v>
      </c>
      <c r="J13" s="19" t="s">
        <v>111</v>
      </c>
      <c r="K13" s="19" t="s">
        <v>112</v>
      </c>
      <c r="L13" s="19" t="s">
        <v>112</v>
      </c>
      <c r="M13" s="19" t="s">
        <v>93</v>
      </c>
      <c r="N13" s="19" t="s">
        <v>113</v>
      </c>
      <c r="O13" s="19" t="s">
        <v>59</v>
      </c>
      <c r="P13" s="19"/>
    </row>
    <row r="14" spans="1:16" ht="15" customHeight="1" x14ac:dyDescent="0.25">
      <c r="A14" s="11" t="s">
        <v>114</v>
      </c>
      <c r="B14" s="11" t="s">
        <v>115</v>
      </c>
      <c r="C14" s="11" t="s">
        <v>116</v>
      </c>
      <c r="D14" s="11" t="s">
        <v>117</v>
      </c>
      <c r="E14" s="11">
        <v>3</v>
      </c>
      <c r="F14" s="11">
        <v>5</v>
      </c>
      <c r="G14" s="11">
        <f>E14*F14</f>
        <v>15</v>
      </c>
      <c r="H14" s="11" t="str">
        <f>IF(G14="","",IF(G14&lt;=6,"Low",IF(G14&lt;=12,"Medium","High")))</f>
        <v>High</v>
      </c>
      <c r="I14" s="11" t="s">
        <v>110</v>
      </c>
      <c r="J14" s="11" t="s">
        <v>118</v>
      </c>
      <c r="K14" s="11" t="s">
        <v>100</v>
      </c>
      <c r="L14" s="11" t="s">
        <v>100</v>
      </c>
      <c r="M14" s="11" t="s">
        <v>93</v>
      </c>
      <c r="N14" s="11" t="s">
        <v>113</v>
      </c>
      <c r="O14" s="11" t="s">
        <v>59</v>
      </c>
      <c r="P14" s="11"/>
    </row>
    <row r="15" spans="1:16" ht="15" customHeight="1" x14ac:dyDescent="0.25">
      <c r="A15" s="19"/>
      <c r="B15" s="19"/>
      <c r="C15" s="19"/>
      <c r="D15" s="19"/>
      <c r="E15" s="19"/>
      <c r="F15" s="19"/>
      <c r="G15" s="19"/>
      <c r="H15" s="19"/>
      <c r="I15" s="19"/>
      <c r="J15" s="19" t="s">
        <v>119</v>
      </c>
      <c r="K15" s="19" t="s">
        <v>120</v>
      </c>
      <c r="L15" s="19" t="s">
        <v>120</v>
      </c>
      <c r="M15" s="19"/>
      <c r="N15" s="19"/>
      <c r="O15" s="19"/>
      <c r="P15" s="19"/>
    </row>
    <row r="16" spans="1:16" ht="15" customHeight="1" x14ac:dyDescent="0.25">
      <c r="A16" s="11" t="s">
        <v>121</v>
      </c>
      <c r="B16" s="11" t="s">
        <v>122</v>
      </c>
      <c r="C16" s="11" t="s">
        <v>123</v>
      </c>
      <c r="D16" s="11" t="s">
        <v>124</v>
      </c>
      <c r="E16" s="11">
        <v>3</v>
      </c>
      <c r="F16" s="11">
        <v>5</v>
      </c>
      <c r="G16" s="11">
        <f>E16*F16</f>
        <v>15</v>
      </c>
      <c r="H16" s="11" t="str">
        <f>IF(G16="","",IF(G16&lt;=6,"Low",IF(G16&lt;=12,"Medium","High")))</f>
        <v>High</v>
      </c>
      <c r="I16" s="11" t="s">
        <v>110</v>
      </c>
      <c r="J16" s="11" t="s">
        <v>125</v>
      </c>
      <c r="K16" s="11" t="s">
        <v>126</v>
      </c>
      <c r="L16" s="11" t="s">
        <v>126</v>
      </c>
      <c r="M16" s="11" t="s">
        <v>93</v>
      </c>
      <c r="N16" s="11" t="s">
        <v>113</v>
      </c>
      <c r="O16" s="11" t="s">
        <v>59</v>
      </c>
      <c r="P16" s="11"/>
    </row>
    <row r="17" spans="1:16" ht="15" customHeight="1" x14ac:dyDescent="0.25">
      <c r="A17" s="19" t="s">
        <v>86</v>
      </c>
      <c r="B17" s="19" t="s">
        <v>127</v>
      </c>
      <c r="C17" s="19" t="s">
        <v>128</v>
      </c>
      <c r="D17" s="19" t="s">
        <v>129</v>
      </c>
      <c r="E17" s="19">
        <v>2</v>
      </c>
      <c r="F17" s="19">
        <v>5</v>
      </c>
      <c r="G17" s="19">
        <f>E17*F17</f>
        <v>10</v>
      </c>
      <c r="H17" s="19" t="str">
        <f>IF(G17="","",IF(G17&lt;=6,"Low",IF(G17&lt;=12,"Medium","High")))</f>
        <v>Medium</v>
      </c>
      <c r="I17" s="19" t="s">
        <v>130</v>
      </c>
      <c r="J17" s="19" t="s">
        <v>131</v>
      </c>
      <c r="K17" s="19" t="s">
        <v>132</v>
      </c>
      <c r="L17" s="19" t="s">
        <v>132</v>
      </c>
      <c r="M17" s="19" t="s">
        <v>93</v>
      </c>
      <c r="N17" s="19" t="s">
        <v>113</v>
      </c>
      <c r="O17" s="19" t="s">
        <v>56</v>
      </c>
      <c r="P17" s="19"/>
    </row>
    <row r="18" spans="1:16" ht="15" customHeight="1" x14ac:dyDescent="0.25">
      <c r="A18" s="11"/>
      <c r="B18" s="11"/>
      <c r="C18" s="11"/>
      <c r="D18" s="11"/>
      <c r="E18" s="11"/>
      <c r="F18" s="11"/>
      <c r="G18" s="11"/>
      <c r="H18" s="11"/>
      <c r="I18" s="11"/>
      <c r="J18" s="11" t="s">
        <v>133</v>
      </c>
      <c r="K18" s="11" t="s">
        <v>134</v>
      </c>
      <c r="L18" s="11" t="s">
        <v>134</v>
      </c>
      <c r="M18" s="11"/>
      <c r="N18" s="11"/>
      <c r="O18" s="11"/>
      <c r="P18" s="11"/>
    </row>
    <row r="19" spans="1:16" ht="15" customHeight="1" x14ac:dyDescent="0.25">
      <c r="A19" s="19"/>
      <c r="B19" s="19"/>
      <c r="C19" s="19"/>
      <c r="D19" s="19"/>
      <c r="E19" s="19"/>
      <c r="F19" s="19"/>
      <c r="G19" s="19"/>
      <c r="H19" s="19"/>
      <c r="I19" s="19"/>
      <c r="J19" s="19" t="s">
        <v>135</v>
      </c>
      <c r="K19" s="19" t="s">
        <v>136</v>
      </c>
      <c r="L19" s="19" t="s">
        <v>136</v>
      </c>
      <c r="M19" s="19"/>
      <c r="N19" s="19"/>
      <c r="O19" s="19"/>
      <c r="P19" s="19"/>
    </row>
    <row r="20" spans="1:16" ht="32.25" customHeight="1" x14ac:dyDescent="0.25">
      <c r="A20" s="11" t="s">
        <v>137</v>
      </c>
      <c r="B20" s="11" t="s">
        <v>138</v>
      </c>
      <c r="C20" s="11" t="s">
        <v>139</v>
      </c>
      <c r="D20" s="11" t="s">
        <v>140</v>
      </c>
      <c r="E20" s="11">
        <v>3</v>
      </c>
      <c r="F20" s="11">
        <v>5</v>
      </c>
      <c r="G20" s="11">
        <f>E20*F20</f>
        <v>15</v>
      </c>
      <c r="H20" s="11" t="str">
        <f>IF(G20="","",IF(G20&lt;=6,"Low",IF(G20&lt;=12,"Medium","High")))</f>
        <v>High</v>
      </c>
      <c r="I20" s="11" t="s">
        <v>141</v>
      </c>
      <c r="J20" s="11" t="s">
        <v>142</v>
      </c>
      <c r="K20" s="11" t="s">
        <v>143</v>
      </c>
      <c r="L20" s="11" t="s">
        <v>143</v>
      </c>
      <c r="M20" s="11" t="s">
        <v>144</v>
      </c>
      <c r="N20" s="11" t="s">
        <v>145</v>
      </c>
      <c r="O20" s="11" t="s">
        <v>59</v>
      </c>
      <c r="P20" s="11"/>
    </row>
    <row r="21" spans="1:16" ht="15" customHeight="1" x14ac:dyDescent="0.25">
      <c r="A21" s="19"/>
      <c r="B21" s="19"/>
      <c r="C21" s="19"/>
      <c r="D21" s="19"/>
      <c r="E21" s="19"/>
      <c r="F21" s="19"/>
      <c r="G21" s="19"/>
      <c r="H21" s="19"/>
      <c r="I21" s="19" t="s">
        <v>110</v>
      </c>
      <c r="J21" s="19" t="s">
        <v>146</v>
      </c>
      <c r="K21" s="19" t="s">
        <v>106</v>
      </c>
      <c r="L21" s="19" t="s">
        <v>106</v>
      </c>
      <c r="M21" s="19"/>
      <c r="N21" s="19"/>
      <c r="O21" s="19"/>
      <c r="P21" s="19"/>
    </row>
    <row r="22" spans="1:16" ht="15" customHeight="1" x14ac:dyDescent="0.25">
      <c r="A22" s="11"/>
      <c r="B22" s="11"/>
      <c r="C22" s="11"/>
      <c r="D22" s="11"/>
      <c r="E22" s="11"/>
      <c r="F22" s="11"/>
      <c r="G22" s="11"/>
      <c r="H22" s="11"/>
      <c r="I22" s="11"/>
      <c r="J22" s="11" t="s">
        <v>147</v>
      </c>
      <c r="K22" s="11" t="s">
        <v>102</v>
      </c>
      <c r="L22" s="11" t="s">
        <v>102</v>
      </c>
      <c r="M22" s="11"/>
      <c r="N22" s="11"/>
      <c r="O22" s="11"/>
      <c r="P22" s="11"/>
    </row>
    <row r="23" spans="1:16" ht="21.75" customHeight="1" x14ac:dyDescent="0.25">
      <c r="A23" s="19"/>
      <c r="B23" s="19"/>
      <c r="C23" s="19"/>
      <c r="D23" s="19"/>
      <c r="E23" s="19"/>
      <c r="F23" s="19"/>
      <c r="G23" s="19"/>
      <c r="H23" s="19"/>
      <c r="I23" s="19"/>
      <c r="J23" s="19" t="s">
        <v>148</v>
      </c>
      <c r="K23" s="19" t="s">
        <v>149</v>
      </c>
      <c r="L23" s="19" t="s">
        <v>149</v>
      </c>
      <c r="M23" s="19"/>
      <c r="N23" s="19"/>
      <c r="O23" s="19"/>
      <c r="P23" s="19"/>
    </row>
    <row r="24" spans="1:16" ht="15" customHeight="1" x14ac:dyDescent="0.25">
      <c r="A24" s="11"/>
      <c r="B24" s="11"/>
      <c r="C24" s="11"/>
      <c r="D24" s="11"/>
      <c r="E24" s="11"/>
      <c r="F24" s="11"/>
      <c r="G24" s="11"/>
      <c r="H24" s="11"/>
      <c r="I24" s="11"/>
      <c r="J24" s="11" t="s">
        <v>150</v>
      </c>
      <c r="K24" s="11" t="s">
        <v>102</v>
      </c>
      <c r="L24" s="11" t="s">
        <v>102</v>
      </c>
      <c r="M24" s="11"/>
      <c r="N24" s="11"/>
      <c r="O24" s="11"/>
      <c r="P24" s="11"/>
    </row>
    <row r="25" spans="1:16" ht="15" customHeight="1" x14ac:dyDescent="0.25">
      <c r="A25" s="19"/>
      <c r="B25" s="19"/>
      <c r="C25" s="19"/>
      <c r="D25" s="19"/>
      <c r="E25" s="19"/>
      <c r="F25" s="19"/>
      <c r="G25" s="19"/>
      <c r="H25" s="19"/>
      <c r="I25" s="19"/>
      <c r="J25" s="19" t="s">
        <v>151</v>
      </c>
      <c r="K25" s="19" t="s">
        <v>132</v>
      </c>
      <c r="L25" s="19" t="s">
        <v>132</v>
      </c>
      <c r="M25" s="19"/>
      <c r="N25" s="19"/>
      <c r="O25" s="19"/>
      <c r="P25" s="19"/>
    </row>
    <row r="26" spans="1:16" ht="15" customHeight="1" x14ac:dyDescent="0.25">
      <c r="A26" s="11"/>
      <c r="B26" s="11"/>
      <c r="C26" s="11"/>
      <c r="D26" s="11"/>
      <c r="E26" s="11"/>
      <c r="F26" s="11"/>
      <c r="G26" s="11"/>
      <c r="H26" s="11"/>
      <c r="I26" s="11"/>
      <c r="J26" s="11" t="s">
        <v>152</v>
      </c>
      <c r="K26" s="11" t="s">
        <v>153</v>
      </c>
      <c r="L26" s="11" t="s">
        <v>153</v>
      </c>
      <c r="M26" s="11"/>
      <c r="N26" s="11"/>
      <c r="O26" s="11"/>
      <c r="P26" s="11"/>
    </row>
    <row r="27" spans="1:16" ht="15" customHeight="1" x14ac:dyDescent="0.25">
      <c r="A27" s="19"/>
      <c r="B27" s="19"/>
      <c r="C27" s="19"/>
      <c r="D27" s="19"/>
      <c r="E27" s="19"/>
      <c r="F27" s="19"/>
      <c r="G27" s="19"/>
      <c r="H27" s="19"/>
      <c r="I27" s="19"/>
      <c r="J27" s="19" t="s">
        <v>154</v>
      </c>
      <c r="K27" s="19" t="s">
        <v>112</v>
      </c>
      <c r="L27" s="19" t="s">
        <v>112</v>
      </c>
      <c r="M27" s="19"/>
      <c r="N27" s="19"/>
      <c r="O27" s="19"/>
      <c r="P27" s="19"/>
    </row>
    <row r="28" spans="1:16" ht="15" customHeight="1" x14ac:dyDescent="0.25">
      <c r="A28" s="11"/>
      <c r="B28" s="11"/>
      <c r="C28" s="11"/>
      <c r="D28" s="11"/>
      <c r="E28" s="11"/>
      <c r="F28" s="11"/>
      <c r="G28" s="11"/>
      <c r="H28" s="11"/>
      <c r="I28" s="11"/>
      <c r="J28" s="11" t="s">
        <v>155</v>
      </c>
      <c r="K28" s="11" t="s">
        <v>112</v>
      </c>
      <c r="L28" s="11" t="s">
        <v>112</v>
      </c>
      <c r="M28" s="11"/>
      <c r="N28" s="11"/>
      <c r="O28" s="11"/>
      <c r="P28" s="11"/>
    </row>
    <row r="29" spans="1:16" ht="32.25" customHeight="1" x14ac:dyDescent="0.25">
      <c r="A29" s="19" t="s">
        <v>156</v>
      </c>
      <c r="B29" s="19" t="s">
        <v>157</v>
      </c>
      <c r="C29" s="19" t="s">
        <v>158</v>
      </c>
      <c r="D29" s="19" t="s">
        <v>159</v>
      </c>
      <c r="E29" s="19">
        <v>3</v>
      </c>
      <c r="F29" s="19">
        <v>4</v>
      </c>
      <c r="G29" s="19">
        <f>E29*F29</f>
        <v>12</v>
      </c>
      <c r="H29" s="19" t="str">
        <f>IF(G29="","",IF(G29&lt;=6,"Low",IF(G29&lt;=12,"Medium","High")))</f>
        <v>Medium</v>
      </c>
      <c r="I29" s="19" t="s">
        <v>160</v>
      </c>
      <c r="J29" s="19" t="s">
        <v>161</v>
      </c>
      <c r="K29" s="19" t="s">
        <v>162</v>
      </c>
      <c r="L29" s="19" t="s">
        <v>162</v>
      </c>
      <c r="M29" s="19" t="s">
        <v>144</v>
      </c>
      <c r="N29" s="19" t="s">
        <v>113</v>
      </c>
      <c r="O29" s="19" t="s">
        <v>56</v>
      </c>
      <c r="P29" s="19"/>
    </row>
    <row r="30" spans="1:16" ht="32.25" customHeight="1" x14ac:dyDescent="0.25">
      <c r="A30" s="11" t="s">
        <v>156</v>
      </c>
      <c r="B30" s="11" t="s">
        <v>163</v>
      </c>
      <c r="C30" s="11" t="s">
        <v>164</v>
      </c>
      <c r="D30" s="11" t="s">
        <v>165</v>
      </c>
      <c r="E30" s="11">
        <v>2</v>
      </c>
      <c r="F30" s="11">
        <v>4</v>
      </c>
      <c r="G30" s="11">
        <f>E30*F30</f>
        <v>8</v>
      </c>
      <c r="H30" s="11" t="str">
        <f>IF(G30="","",IF(G30&lt;=6,"Low",IF(G30&lt;=12,"Medium","High")))</f>
        <v>Medium</v>
      </c>
      <c r="I30" s="11" t="s">
        <v>166</v>
      </c>
      <c r="J30" s="11" t="s">
        <v>167</v>
      </c>
      <c r="K30" s="11" t="s">
        <v>112</v>
      </c>
      <c r="L30" s="11" t="s">
        <v>112</v>
      </c>
      <c r="M30" s="11" t="s">
        <v>144</v>
      </c>
      <c r="N30" s="11" t="s">
        <v>168</v>
      </c>
      <c r="O30" s="11" t="s">
        <v>56</v>
      </c>
      <c r="P30" s="11"/>
    </row>
    <row r="31" spans="1:16" ht="15" customHeight="1" x14ac:dyDescent="0.25">
      <c r="A31" s="19"/>
      <c r="B31" s="19"/>
      <c r="C31" s="19"/>
      <c r="D31" s="19"/>
      <c r="E31" s="19"/>
      <c r="F31" s="19"/>
      <c r="G31" s="19"/>
      <c r="H31" s="19"/>
      <c r="I31" s="19"/>
      <c r="J31" s="19" t="s">
        <v>169</v>
      </c>
      <c r="K31" s="19" t="s">
        <v>112</v>
      </c>
      <c r="L31" s="19" t="s">
        <v>112</v>
      </c>
      <c r="M31" s="19"/>
      <c r="N31" s="19"/>
      <c r="O31" s="19"/>
      <c r="P31" s="19"/>
    </row>
    <row r="32" spans="1:16" ht="15" customHeight="1" x14ac:dyDescent="0.25">
      <c r="A32" s="11"/>
      <c r="B32" s="11"/>
      <c r="C32" s="11"/>
      <c r="D32" s="11"/>
      <c r="E32" s="11"/>
      <c r="F32" s="11"/>
      <c r="G32" s="11"/>
      <c r="H32" s="11"/>
      <c r="I32" s="11"/>
      <c r="J32" s="11" t="s">
        <v>170</v>
      </c>
      <c r="K32" s="11" t="s">
        <v>112</v>
      </c>
      <c r="L32" s="11" t="s">
        <v>112</v>
      </c>
      <c r="M32" s="11"/>
      <c r="N32" s="11"/>
      <c r="O32" s="11"/>
      <c r="P32" s="11"/>
    </row>
    <row r="33" spans="1:16" ht="15" customHeight="1" x14ac:dyDescent="0.25">
      <c r="A33" s="19"/>
      <c r="B33" s="19"/>
      <c r="C33" s="19"/>
      <c r="D33" s="19"/>
      <c r="E33" s="19"/>
      <c r="F33" s="19"/>
      <c r="G33" s="19"/>
      <c r="H33" s="19"/>
      <c r="I33" s="19"/>
      <c r="J33" s="19" t="s">
        <v>171</v>
      </c>
      <c r="K33" s="19" t="s">
        <v>112</v>
      </c>
      <c r="L33" s="19" t="s">
        <v>112</v>
      </c>
      <c r="M33" s="19"/>
      <c r="N33" s="19"/>
      <c r="O33" s="19"/>
      <c r="P33" s="19"/>
    </row>
    <row r="34" spans="1:16" ht="15" customHeight="1" x14ac:dyDescent="0.25">
      <c r="A34" s="11"/>
      <c r="B34" s="11"/>
      <c r="C34" s="11"/>
      <c r="D34" s="11"/>
      <c r="E34" s="11"/>
      <c r="F34" s="11"/>
      <c r="G34" s="11"/>
      <c r="H34" s="11"/>
      <c r="I34" s="11"/>
      <c r="J34" s="11" t="s">
        <v>172</v>
      </c>
      <c r="K34" s="11" t="s">
        <v>112</v>
      </c>
      <c r="L34" s="11" t="s">
        <v>112</v>
      </c>
      <c r="M34" s="11"/>
      <c r="N34" s="11"/>
      <c r="O34" s="11"/>
      <c r="P34" s="11"/>
    </row>
    <row r="35" spans="1:16" ht="15" customHeight="1" x14ac:dyDescent="0.25">
      <c r="A35" s="19"/>
      <c r="B35" s="19"/>
      <c r="C35" s="19"/>
      <c r="D35" s="19"/>
      <c r="E35" s="19"/>
      <c r="F35" s="19"/>
      <c r="G35" s="19"/>
      <c r="H35" s="19"/>
      <c r="I35" s="19"/>
      <c r="J35" s="19" t="s">
        <v>173</v>
      </c>
      <c r="K35" s="19" t="s">
        <v>112</v>
      </c>
      <c r="L35" s="19" t="s">
        <v>112</v>
      </c>
      <c r="M35" s="19"/>
      <c r="N35" s="19"/>
      <c r="O35" s="19"/>
      <c r="P35" s="19"/>
    </row>
    <row r="36" spans="1:16" ht="21.75" customHeight="1" x14ac:dyDescent="0.25">
      <c r="A36" s="11"/>
      <c r="B36" s="11"/>
      <c r="C36" s="11"/>
      <c r="D36" s="11"/>
      <c r="E36" s="11"/>
      <c r="F36" s="11"/>
      <c r="G36" s="11"/>
      <c r="H36" s="11"/>
      <c r="I36" s="11"/>
      <c r="J36" s="11" t="s">
        <v>174</v>
      </c>
      <c r="K36" s="11" t="s">
        <v>112</v>
      </c>
      <c r="L36" s="11" t="s">
        <v>112</v>
      </c>
      <c r="M36" s="11"/>
      <c r="N36" s="11"/>
      <c r="O36" s="11"/>
      <c r="P36" s="11"/>
    </row>
    <row r="37" spans="1:16" ht="32.25" customHeight="1" x14ac:dyDescent="0.25">
      <c r="A37" s="19" t="s">
        <v>175</v>
      </c>
      <c r="B37" s="19" t="s">
        <v>176</v>
      </c>
      <c r="C37" s="19" t="s">
        <v>177</v>
      </c>
      <c r="D37" s="19" t="s">
        <v>165</v>
      </c>
      <c r="E37" s="19">
        <v>2</v>
      </c>
      <c r="F37" s="19">
        <v>4</v>
      </c>
      <c r="G37" s="19">
        <f>E37*F37</f>
        <v>8</v>
      </c>
      <c r="H37" s="19" t="str">
        <f>IF(G37="","",IF(G37&lt;=6,"Low",IF(G37&lt;=12,"Medium","High")))</f>
        <v>Medium</v>
      </c>
      <c r="I37" s="19" t="s">
        <v>178</v>
      </c>
      <c r="J37" s="19" t="s">
        <v>179</v>
      </c>
      <c r="K37" s="19" t="s">
        <v>112</v>
      </c>
      <c r="L37" s="19" t="s">
        <v>112</v>
      </c>
      <c r="M37" s="19" t="s">
        <v>144</v>
      </c>
      <c r="N37" s="19" t="s">
        <v>180</v>
      </c>
      <c r="O37" s="19" t="s">
        <v>56</v>
      </c>
      <c r="P37" s="19"/>
    </row>
    <row r="38" spans="1:16" ht="32.25" customHeight="1" x14ac:dyDescent="0.25">
      <c r="A38" s="11" t="s">
        <v>181</v>
      </c>
      <c r="B38" s="11" t="s">
        <v>182</v>
      </c>
      <c r="C38" s="11" t="s">
        <v>164</v>
      </c>
      <c r="D38" s="11" t="s">
        <v>183</v>
      </c>
      <c r="E38" s="11">
        <v>2</v>
      </c>
      <c r="F38" s="11">
        <v>4</v>
      </c>
      <c r="G38" s="11">
        <f>E38*F38</f>
        <v>8</v>
      </c>
      <c r="H38" s="11" t="str">
        <f>IF(G38="","",IF(G38&lt;=6,"Low",IF(G38&lt;=12,"Medium","High")))</f>
        <v>Medium</v>
      </c>
      <c r="I38" s="11" t="s">
        <v>184</v>
      </c>
      <c r="J38" s="11" t="s">
        <v>185</v>
      </c>
      <c r="K38" s="11" t="s">
        <v>112</v>
      </c>
      <c r="L38" s="11" t="s">
        <v>112</v>
      </c>
      <c r="M38" s="11" t="s">
        <v>144</v>
      </c>
      <c r="N38" s="11" t="s">
        <v>180</v>
      </c>
      <c r="O38" s="11" t="s">
        <v>56</v>
      </c>
      <c r="P38" s="11"/>
    </row>
    <row r="39" spans="1:16" ht="15" customHeight="1" x14ac:dyDescent="0.25">
      <c r="A39" s="19"/>
      <c r="B39" s="19"/>
      <c r="C39" s="19"/>
      <c r="D39" s="19"/>
      <c r="E39" s="19"/>
      <c r="F39" s="19"/>
      <c r="G39" s="19"/>
      <c r="H39" s="19"/>
      <c r="I39" s="19"/>
      <c r="J39" s="19" t="s">
        <v>186</v>
      </c>
      <c r="K39" s="19" t="s">
        <v>187</v>
      </c>
      <c r="L39" s="19" t="s">
        <v>187</v>
      </c>
      <c r="M39" s="19"/>
      <c r="N39" s="19"/>
      <c r="O39" s="19"/>
      <c r="P39" s="19"/>
    </row>
    <row r="40" spans="1:16" ht="21.75" customHeight="1" x14ac:dyDescent="0.25">
      <c r="A40" s="11"/>
      <c r="B40" s="11"/>
      <c r="C40" s="11"/>
      <c r="D40" s="11"/>
      <c r="E40" s="11"/>
      <c r="F40" s="11"/>
      <c r="G40" s="11"/>
      <c r="H40" s="11"/>
      <c r="I40" s="11"/>
      <c r="J40" s="11" t="s">
        <v>188</v>
      </c>
      <c r="K40" s="11" t="s">
        <v>187</v>
      </c>
      <c r="L40" s="11" t="s">
        <v>187</v>
      </c>
      <c r="M40" s="11"/>
      <c r="N40" s="11"/>
      <c r="O40" s="11"/>
      <c r="P40" s="11"/>
    </row>
    <row r="41" spans="1:16" ht="32.25" customHeight="1" x14ac:dyDescent="0.25">
      <c r="A41" s="19"/>
      <c r="B41" s="19"/>
      <c r="C41" s="19"/>
      <c r="D41" s="19"/>
      <c r="E41" s="19"/>
      <c r="F41" s="19"/>
      <c r="G41" s="19"/>
      <c r="H41" s="19"/>
      <c r="I41" s="19"/>
      <c r="J41" s="19" t="s">
        <v>189</v>
      </c>
      <c r="K41" s="19" t="s">
        <v>187</v>
      </c>
      <c r="L41" s="19" t="s">
        <v>187</v>
      </c>
      <c r="M41" s="19" t="s">
        <v>144</v>
      </c>
      <c r="N41" s="19"/>
      <c r="O41" s="19"/>
      <c r="P41" s="19"/>
    </row>
    <row r="42" spans="1:16" ht="32.25" customHeight="1" x14ac:dyDescent="0.25">
      <c r="A42" s="11" t="s">
        <v>190</v>
      </c>
      <c r="B42" s="11" t="s">
        <v>191</v>
      </c>
      <c r="C42" s="11" t="s">
        <v>192</v>
      </c>
      <c r="D42" s="11" t="s">
        <v>183</v>
      </c>
      <c r="E42" s="11">
        <v>2</v>
      </c>
      <c r="F42" s="11">
        <v>4</v>
      </c>
      <c r="G42" s="11">
        <f>E42*F42</f>
        <v>8</v>
      </c>
      <c r="H42" s="11" t="str">
        <f>IF(G42="","",IF(G42&lt;=6,"Low",IF(G42&lt;=12,"Medium","High")))</f>
        <v>Medium</v>
      </c>
      <c r="I42" s="11" t="s">
        <v>184</v>
      </c>
      <c r="J42" s="11" t="s">
        <v>193</v>
      </c>
      <c r="K42" s="11" t="s">
        <v>102</v>
      </c>
      <c r="L42" s="11" t="s">
        <v>102</v>
      </c>
      <c r="M42" s="11" t="s">
        <v>144</v>
      </c>
      <c r="N42" s="11" t="s">
        <v>180</v>
      </c>
      <c r="O42" s="11" t="s">
        <v>56</v>
      </c>
      <c r="P42" s="11"/>
    </row>
    <row r="43" spans="1:16" ht="15" customHeight="1" x14ac:dyDescent="0.25">
      <c r="A43" s="19"/>
      <c r="B43" s="19"/>
      <c r="C43" s="19"/>
      <c r="D43" s="19"/>
      <c r="E43" s="19"/>
      <c r="F43" s="19"/>
      <c r="G43" s="19"/>
      <c r="H43" s="19"/>
      <c r="I43" s="19"/>
      <c r="J43" s="19" t="s">
        <v>194</v>
      </c>
      <c r="K43" s="19" t="s">
        <v>132</v>
      </c>
      <c r="L43" s="19" t="s">
        <v>132</v>
      </c>
      <c r="M43" s="19"/>
      <c r="N43" s="19"/>
      <c r="O43" s="19"/>
      <c r="P43" s="19"/>
    </row>
    <row r="44" spans="1:16" ht="15" customHeight="1" x14ac:dyDescent="0.25">
      <c r="A44" s="11"/>
      <c r="B44" s="11"/>
      <c r="C44" s="11"/>
      <c r="D44" s="11"/>
      <c r="E44" s="11"/>
      <c r="F44" s="11"/>
      <c r="G44" s="11"/>
      <c r="H44" s="11"/>
      <c r="I44" s="11"/>
      <c r="J44" s="11" t="s">
        <v>195</v>
      </c>
      <c r="K44" s="11" t="s">
        <v>196</v>
      </c>
      <c r="L44" s="11" t="s">
        <v>196</v>
      </c>
      <c r="M44" s="11"/>
      <c r="N44" s="11"/>
      <c r="O44" s="11"/>
      <c r="P44" s="11"/>
    </row>
    <row r="45" spans="1:16" ht="15" customHeight="1" x14ac:dyDescent="0.25">
      <c r="A45" s="19"/>
      <c r="B45" s="19"/>
      <c r="C45" s="19"/>
      <c r="D45" s="19"/>
      <c r="E45" s="19"/>
      <c r="F45" s="19"/>
      <c r="G45" s="19"/>
      <c r="H45" s="19"/>
      <c r="I45" s="19"/>
      <c r="J45" s="19" t="s">
        <v>197</v>
      </c>
      <c r="K45" s="19" t="s">
        <v>198</v>
      </c>
      <c r="L45" s="19" t="s">
        <v>198</v>
      </c>
      <c r="M45" s="19"/>
      <c r="N45" s="19"/>
      <c r="O45" s="19"/>
      <c r="P45" s="19"/>
    </row>
    <row r="46" spans="1:16" ht="15" customHeight="1" x14ac:dyDescent="0.25">
      <c r="A46" s="11"/>
      <c r="B46" s="11"/>
      <c r="C46" s="11"/>
      <c r="D46" s="11"/>
      <c r="E46" s="11"/>
      <c r="F46" s="11"/>
      <c r="G46" s="11"/>
      <c r="H46" s="11"/>
      <c r="I46" s="11"/>
      <c r="J46" s="11" t="s">
        <v>199</v>
      </c>
      <c r="K46" s="11" t="s">
        <v>200</v>
      </c>
      <c r="L46" s="11" t="s">
        <v>200</v>
      </c>
      <c r="M46" s="11"/>
      <c r="N46" s="11"/>
      <c r="O46" s="11"/>
      <c r="P46" s="11"/>
    </row>
    <row r="47" spans="1:16" ht="15" customHeight="1" x14ac:dyDescent="0.25">
      <c r="A47" s="19"/>
      <c r="B47" s="19"/>
      <c r="C47" s="19"/>
      <c r="D47" s="19"/>
      <c r="E47" s="19"/>
      <c r="F47" s="19"/>
      <c r="G47" s="19"/>
      <c r="H47" s="19"/>
      <c r="I47" s="19"/>
      <c r="J47" s="19" t="s">
        <v>201</v>
      </c>
      <c r="K47" s="19" t="s">
        <v>202</v>
      </c>
      <c r="L47" s="19" t="s">
        <v>202</v>
      </c>
      <c r="M47" s="19"/>
      <c r="N47" s="19"/>
      <c r="O47" s="19"/>
      <c r="P47" s="19"/>
    </row>
    <row r="48" spans="1:16" ht="15" customHeight="1" x14ac:dyDescent="0.25">
      <c r="A48" s="11"/>
      <c r="B48" s="11"/>
      <c r="C48" s="11"/>
      <c r="D48" s="11"/>
      <c r="E48" s="11"/>
      <c r="F48" s="11"/>
      <c r="G48" s="11"/>
      <c r="H48" s="11"/>
      <c r="I48" s="11"/>
      <c r="J48" s="11" t="s">
        <v>203</v>
      </c>
      <c r="K48" s="11" t="s">
        <v>204</v>
      </c>
      <c r="L48" s="11" t="s">
        <v>204</v>
      </c>
      <c r="M48" s="11"/>
      <c r="N48" s="11"/>
      <c r="O48" s="11"/>
      <c r="P48" s="11"/>
    </row>
    <row r="49" spans="1:16" ht="15" customHeight="1" x14ac:dyDescent="0.25">
      <c r="A49" s="19" t="s">
        <v>205</v>
      </c>
      <c r="B49" s="19" t="s">
        <v>206</v>
      </c>
      <c r="C49" s="19" t="s">
        <v>207</v>
      </c>
      <c r="D49" s="19" t="s">
        <v>183</v>
      </c>
      <c r="E49" s="19">
        <v>2</v>
      </c>
      <c r="F49" s="19">
        <v>4</v>
      </c>
      <c r="G49" s="19">
        <f>E49*F49</f>
        <v>8</v>
      </c>
      <c r="H49" s="19" t="str">
        <f>IF(G49="","",IF(G49&lt;=6,"Low",IF(G49&lt;=12,"Medium","High")))</f>
        <v>Medium</v>
      </c>
      <c r="I49" s="19" t="s">
        <v>184</v>
      </c>
      <c r="J49" s="19" t="s">
        <v>208</v>
      </c>
      <c r="K49" s="19" t="s">
        <v>209</v>
      </c>
      <c r="L49" s="19" t="s">
        <v>209</v>
      </c>
      <c r="M49" s="19"/>
      <c r="N49" s="19"/>
      <c r="O49" s="19"/>
      <c r="P49" s="19"/>
    </row>
    <row r="50" spans="1:16" ht="15" customHeight="1" x14ac:dyDescent="0.25">
      <c r="A50" s="11"/>
      <c r="B50" s="11"/>
      <c r="C50" s="11"/>
      <c r="D50" s="11"/>
      <c r="E50" s="11"/>
      <c r="F50" s="11"/>
      <c r="G50" s="11"/>
      <c r="H50" s="11"/>
      <c r="I50" s="11"/>
      <c r="J50" s="11" t="s">
        <v>210</v>
      </c>
      <c r="K50" s="11" t="s">
        <v>209</v>
      </c>
      <c r="L50" s="11" t="s">
        <v>209</v>
      </c>
      <c r="M50" s="11"/>
      <c r="N50" s="11"/>
      <c r="O50" s="11"/>
      <c r="P50" s="11"/>
    </row>
    <row r="51" spans="1:16" ht="21.75" customHeight="1" x14ac:dyDescent="0.25">
      <c r="A51" s="19"/>
      <c r="B51" s="19"/>
      <c r="C51" s="19"/>
      <c r="D51" s="19"/>
      <c r="E51" s="19"/>
      <c r="F51" s="19"/>
      <c r="G51" s="19"/>
      <c r="H51" s="19"/>
      <c r="I51" s="19"/>
      <c r="J51" s="19" t="s">
        <v>211</v>
      </c>
      <c r="K51" s="19" t="s">
        <v>209</v>
      </c>
      <c r="L51" s="19" t="s">
        <v>209</v>
      </c>
      <c r="M51" s="19"/>
      <c r="N51" s="19"/>
      <c r="O51" s="19"/>
      <c r="P51" s="19"/>
    </row>
    <row r="52" spans="1:16" ht="15" customHeight="1" x14ac:dyDescent="0.25">
      <c r="A52" s="11"/>
      <c r="B52" s="11"/>
      <c r="C52" s="11"/>
      <c r="D52" s="11"/>
      <c r="E52" s="11"/>
      <c r="F52" s="11"/>
      <c r="G52" s="11"/>
      <c r="H52" s="11"/>
      <c r="I52" s="11"/>
      <c r="J52" s="11" t="s">
        <v>212</v>
      </c>
      <c r="K52" s="11" t="s">
        <v>209</v>
      </c>
      <c r="L52" s="11" t="s">
        <v>209</v>
      </c>
      <c r="M52" s="11"/>
      <c r="N52" s="11"/>
      <c r="O52" s="11"/>
      <c r="P52" s="11"/>
    </row>
    <row r="53" spans="1:16" ht="15" customHeight="1" x14ac:dyDescent="0.25">
      <c r="A53" s="19"/>
      <c r="B53" s="19"/>
      <c r="C53" s="19"/>
      <c r="D53" s="19"/>
      <c r="E53" s="19"/>
      <c r="F53" s="19"/>
      <c r="G53" s="19"/>
      <c r="H53" s="19"/>
      <c r="I53" s="19"/>
      <c r="J53" s="19" t="s">
        <v>213</v>
      </c>
      <c r="K53" s="19" t="s">
        <v>209</v>
      </c>
      <c r="L53" s="19" t="s">
        <v>209</v>
      </c>
      <c r="M53" s="19"/>
      <c r="N53" s="19"/>
      <c r="O53" s="19"/>
      <c r="P53" s="19"/>
    </row>
    <row r="54" spans="1:16" ht="21.75" customHeight="1" x14ac:dyDescent="0.25">
      <c r="A54" s="11"/>
      <c r="B54" s="11"/>
      <c r="C54" s="11"/>
      <c r="D54" s="11"/>
      <c r="E54" s="11"/>
      <c r="F54" s="11"/>
      <c r="G54" s="11"/>
      <c r="H54" s="11"/>
      <c r="I54" s="11"/>
      <c r="J54" s="11" t="s">
        <v>214</v>
      </c>
      <c r="K54" s="11" t="s">
        <v>215</v>
      </c>
      <c r="L54" s="11" t="s">
        <v>215</v>
      </c>
      <c r="M54" s="11"/>
      <c r="N54" s="11"/>
      <c r="O54" s="11"/>
      <c r="P54" s="11"/>
    </row>
    <row r="55" spans="1:16" ht="21.75" customHeight="1" x14ac:dyDescent="0.25">
      <c r="A55" s="19"/>
      <c r="B55" s="19"/>
      <c r="C55" s="19"/>
      <c r="D55" s="19"/>
      <c r="E55" s="19"/>
      <c r="F55" s="19"/>
      <c r="G55" s="19"/>
      <c r="H55" s="19"/>
      <c r="I55" s="19"/>
      <c r="J55" s="19" t="s">
        <v>216</v>
      </c>
      <c r="K55" s="19" t="s">
        <v>215</v>
      </c>
      <c r="L55" s="19" t="s">
        <v>215</v>
      </c>
      <c r="M55" s="19"/>
      <c r="N55" s="19"/>
      <c r="O55" s="19"/>
      <c r="P55" s="19"/>
    </row>
    <row r="56" spans="1:16" ht="21.75" customHeight="1" x14ac:dyDescent="0.25">
      <c r="A56" s="11"/>
      <c r="B56" s="11"/>
      <c r="C56" s="11"/>
      <c r="D56" s="11"/>
      <c r="E56" s="11"/>
      <c r="F56" s="11"/>
      <c r="G56" s="11"/>
      <c r="H56" s="11"/>
      <c r="I56" s="11"/>
      <c r="J56" s="11" t="s">
        <v>217</v>
      </c>
      <c r="K56" s="11" t="s">
        <v>218</v>
      </c>
      <c r="L56" s="11" t="s">
        <v>218</v>
      </c>
      <c r="M56" s="11"/>
      <c r="N56" s="11"/>
      <c r="O56" s="11"/>
      <c r="P56" s="11"/>
    </row>
    <row r="57" spans="1:16" ht="15" customHeight="1" x14ac:dyDescent="0.25">
      <c r="A57" s="19"/>
      <c r="B57" s="19"/>
      <c r="C57" s="19"/>
      <c r="D57" s="19"/>
      <c r="E57" s="19"/>
      <c r="F57" s="19"/>
      <c r="G57" s="19"/>
      <c r="H57" s="19"/>
      <c r="I57" s="19"/>
      <c r="J57" s="19" t="s">
        <v>219</v>
      </c>
      <c r="K57" s="19" t="s">
        <v>220</v>
      </c>
      <c r="L57" s="19" t="s">
        <v>220</v>
      </c>
      <c r="M57" s="19"/>
      <c r="N57" s="19"/>
      <c r="O57" s="19"/>
      <c r="P57" s="19"/>
    </row>
    <row r="58" spans="1:16" ht="15" customHeight="1" x14ac:dyDescent="0.25">
      <c r="A58" s="11"/>
      <c r="B58" s="11"/>
      <c r="C58" s="11"/>
      <c r="D58" s="11"/>
      <c r="E58" s="11"/>
      <c r="F58" s="11"/>
      <c r="G58" s="11"/>
      <c r="H58" s="11"/>
      <c r="I58" s="11"/>
      <c r="J58" s="11" t="s">
        <v>221</v>
      </c>
      <c r="K58" s="11" t="s">
        <v>96</v>
      </c>
      <c r="L58" s="11" t="s">
        <v>96</v>
      </c>
      <c r="M58" s="11"/>
      <c r="N58" s="11"/>
      <c r="O58" s="11"/>
      <c r="P58" s="11"/>
    </row>
    <row r="59" spans="1:16" ht="15" customHeight="1" x14ac:dyDescent="0.25">
      <c r="A59" s="19"/>
      <c r="B59" s="19"/>
      <c r="C59" s="19"/>
      <c r="D59" s="19"/>
      <c r="E59" s="19"/>
      <c r="F59" s="19"/>
      <c r="G59" s="19"/>
      <c r="H59" s="19"/>
      <c r="I59" s="19"/>
      <c r="J59" s="19" t="s">
        <v>222</v>
      </c>
      <c r="K59" s="19" t="s">
        <v>220</v>
      </c>
      <c r="L59" s="19" t="s">
        <v>220</v>
      </c>
      <c r="M59" s="19"/>
      <c r="N59" s="19"/>
      <c r="O59" s="19"/>
      <c r="P59" s="19"/>
    </row>
    <row r="60" spans="1:16" ht="15" customHeight="1" x14ac:dyDescent="0.25">
      <c r="A60" s="11"/>
      <c r="B60" s="11"/>
      <c r="C60" s="11"/>
      <c r="D60" s="11"/>
      <c r="E60" s="11"/>
      <c r="F60" s="11"/>
      <c r="G60" s="11"/>
      <c r="H60" s="11"/>
      <c r="I60" s="11"/>
      <c r="J60" s="11" t="s">
        <v>223</v>
      </c>
      <c r="K60" s="11" t="s">
        <v>220</v>
      </c>
      <c r="L60" s="11" t="s">
        <v>220</v>
      </c>
      <c r="M60" s="11"/>
      <c r="N60" s="11"/>
      <c r="O60" s="11"/>
      <c r="P60" s="11"/>
    </row>
    <row r="61" spans="1:16" ht="15" customHeight="1" x14ac:dyDescent="0.25">
      <c r="A61" s="19"/>
      <c r="B61" s="19"/>
      <c r="C61" s="19"/>
      <c r="D61" s="19"/>
      <c r="E61" s="19"/>
      <c r="F61" s="19"/>
      <c r="G61" s="19"/>
      <c r="H61" s="19"/>
      <c r="I61" s="19"/>
      <c r="J61" s="19" t="s">
        <v>224</v>
      </c>
      <c r="K61" s="19" t="s">
        <v>198</v>
      </c>
      <c r="L61" s="19" t="s">
        <v>198</v>
      </c>
      <c r="M61" s="19"/>
      <c r="N61" s="19"/>
      <c r="O61" s="19"/>
      <c r="P61" s="19"/>
    </row>
    <row r="62" spans="1:16" ht="15" customHeight="1" x14ac:dyDescent="0.25">
      <c r="A62" s="11" t="s">
        <v>225</v>
      </c>
      <c r="B62" s="11" t="s">
        <v>226</v>
      </c>
      <c r="C62" s="11" t="s">
        <v>227</v>
      </c>
      <c r="D62" s="11" t="s">
        <v>228</v>
      </c>
      <c r="E62" s="11">
        <v>3</v>
      </c>
      <c r="F62" s="11">
        <v>4</v>
      </c>
      <c r="G62" s="11">
        <f>E62*F62</f>
        <v>12</v>
      </c>
      <c r="H62" s="11" t="str">
        <f>IF(G62="","",IF(G62&lt;=6,"Low",IF(G62&lt;=12,"Medium","High")))</f>
        <v>Medium</v>
      </c>
      <c r="I62" s="11" t="s">
        <v>229</v>
      </c>
      <c r="J62" s="11" t="s">
        <v>230</v>
      </c>
      <c r="K62" s="11" t="s">
        <v>132</v>
      </c>
      <c r="L62" s="11" t="s">
        <v>132</v>
      </c>
      <c r="M62" s="11" t="s">
        <v>31</v>
      </c>
      <c r="N62" s="11" t="s">
        <v>231</v>
      </c>
      <c r="O62" s="11" t="s">
        <v>56</v>
      </c>
      <c r="P62" s="11"/>
    </row>
    <row r="63" spans="1:16" ht="15" customHeight="1" x14ac:dyDescent="0.25">
      <c r="A63" s="19"/>
      <c r="B63" s="19"/>
      <c r="C63" s="19"/>
      <c r="D63" s="19"/>
      <c r="E63" s="19"/>
      <c r="F63" s="19"/>
      <c r="G63" s="19"/>
      <c r="H63" s="19"/>
      <c r="I63" s="19"/>
      <c r="J63" s="19" t="s">
        <v>232</v>
      </c>
      <c r="K63" s="19" t="s">
        <v>112</v>
      </c>
      <c r="L63" s="19" t="s">
        <v>112</v>
      </c>
      <c r="M63" s="19"/>
      <c r="N63" s="19"/>
      <c r="O63" s="19"/>
      <c r="P63" s="19"/>
    </row>
    <row r="64" spans="1:16" ht="15" customHeight="1" x14ac:dyDescent="0.25">
      <c r="A64" s="11" t="s">
        <v>225</v>
      </c>
      <c r="B64" s="11" t="s">
        <v>233</v>
      </c>
      <c r="C64" s="11" t="s">
        <v>234</v>
      </c>
      <c r="D64" s="11" t="s">
        <v>235</v>
      </c>
      <c r="E64" s="11">
        <v>2</v>
      </c>
      <c r="F64" s="11">
        <v>4</v>
      </c>
      <c r="G64" s="11">
        <f>E64*F64</f>
        <v>8</v>
      </c>
      <c r="H64" s="11" t="str">
        <f>IF(G64="","",IF(G64&lt;=6,"Low",IF(G64&lt;=12,"Medium","High")))</f>
        <v>Medium</v>
      </c>
      <c r="I64" s="11" t="s">
        <v>236</v>
      </c>
      <c r="J64" s="11" t="s">
        <v>237</v>
      </c>
      <c r="K64" s="11" t="s">
        <v>238</v>
      </c>
      <c r="L64" s="11" t="s">
        <v>238</v>
      </c>
      <c r="M64" s="11" t="s">
        <v>31</v>
      </c>
      <c r="N64" s="11" t="s">
        <v>145</v>
      </c>
      <c r="O64" s="11" t="s">
        <v>56</v>
      </c>
      <c r="P64" s="11"/>
    </row>
    <row r="65" spans="1:16" ht="21.75" customHeight="1" x14ac:dyDescent="0.25">
      <c r="A65" s="19" t="s">
        <v>225</v>
      </c>
      <c r="B65" s="19" t="s">
        <v>239</v>
      </c>
      <c r="C65" s="19" t="s">
        <v>234</v>
      </c>
      <c r="D65" s="19" t="s">
        <v>240</v>
      </c>
      <c r="E65" s="19">
        <v>2</v>
      </c>
      <c r="F65" s="19">
        <v>4</v>
      </c>
      <c r="G65" s="19">
        <f>E65*F65</f>
        <v>8</v>
      </c>
      <c r="H65" s="19" t="str">
        <f>IF(G65="","",IF(G65&lt;=6,"Low",IF(G65&lt;=12,"Medium","High")))</f>
        <v>Medium</v>
      </c>
      <c r="I65" s="19" t="s">
        <v>241</v>
      </c>
      <c r="J65" s="19" t="s">
        <v>242</v>
      </c>
      <c r="K65" s="19" t="s">
        <v>112</v>
      </c>
      <c r="L65" s="19" t="s">
        <v>112</v>
      </c>
      <c r="M65" s="19" t="s">
        <v>31</v>
      </c>
      <c r="N65" s="19" t="s">
        <v>145</v>
      </c>
      <c r="O65" s="19" t="s">
        <v>56</v>
      </c>
      <c r="P65" s="19"/>
    </row>
    <row r="66" spans="1:16" ht="21.75" customHeight="1" x14ac:dyDescent="0.25">
      <c r="A66" s="11" t="s">
        <v>225</v>
      </c>
      <c r="B66" s="11" t="s">
        <v>243</v>
      </c>
      <c r="C66" s="11" t="s">
        <v>244</v>
      </c>
      <c r="D66" s="11" t="s">
        <v>245</v>
      </c>
      <c r="E66" s="11">
        <v>3</v>
      </c>
      <c r="F66" s="11">
        <v>4</v>
      </c>
      <c r="G66" s="11">
        <f>E66*F66</f>
        <v>12</v>
      </c>
      <c r="H66" s="11" t="str">
        <f>IF(G66="","",IF(G66&lt;=6,"Low",IF(G66&lt;=12,"Medium","High")))</f>
        <v>Medium</v>
      </c>
      <c r="I66" s="11" t="s">
        <v>241</v>
      </c>
      <c r="J66" s="11" t="s">
        <v>157</v>
      </c>
      <c r="K66" s="11" t="s">
        <v>246</v>
      </c>
      <c r="L66" s="11" t="s">
        <v>246</v>
      </c>
      <c r="M66" s="11" t="s">
        <v>247</v>
      </c>
      <c r="N66" s="11" t="s">
        <v>248</v>
      </c>
      <c r="O66" s="11" t="s">
        <v>56</v>
      </c>
      <c r="P66" s="11"/>
    </row>
    <row r="67" spans="1:16" ht="15" customHeight="1" x14ac:dyDescent="0.25">
      <c r="A67" s="19"/>
      <c r="B67" s="19"/>
      <c r="C67" s="19"/>
      <c r="D67" s="19"/>
      <c r="E67" s="19"/>
      <c r="F67" s="19"/>
      <c r="G67" s="19"/>
      <c r="H67" s="19"/>
      <c r="I67" s="19"/>
      <c r="J67" s="19" t="s">
        <v>249</v>
      </c>
      <c r="K67" s="19" t="s">
        <v>250</v>
      </c>
      <c r="L67" s="19" t="s">
        <v>250</v>
      </c>
      <c r="M67" s="19"/>
      <c r="N67" s="19"/>
      <c r="O67" s="19"/>
      <c r="P67" s="19"/>
    </row>
    <row r="68" spans="1:16" ht="32.25" customHeight="1" x14ac:dyDescent="0.25">
      <c r="A68" s="11" t="s">
        <v>251</v>
      </c>
      <c r="B68" s="11" t="s">
        <v>252</v>
      </c>
      <c r="C68" s="11" t="s">
        <v>253</v>
      </c>
      <c r="D68" s="11" t="s">
        <v>254</v>
      </c>
      <c r="E68" s="11">
        <v>3</v>
      </c>
      <c r="F68" s="11">
        <v>4</v>
      </c>
      <c r="G68" s="11">
        <f>E68*F68</f>
        <v>12</v>
      </c>
      <c r="H68" s="11" t="str">
        <f>IF(G68="","",IF(G68&lt;=6,"Low",IF(G68&lt;=12,"Medium","High")))</f>
        <v>Medium</v>
      </c>
      <c r="I68" s="11" t="s">
        <v>241</v>
      </c>
      <c r="J68" s="11" t="s">
        <v>255</v>
      </c>
      <c r="K68" s="11" t="s">
        <v>256</v>
      </c>
      <c r="L68" s="11" t="s">
        <v>256</v>
      </c>
      <c r="M68" s="11" t="s">
        <v>144</v>
      </c>
      <c r="N68" s="11" t="s">
        <v>231</v>
      </c>
      <c r="O68" s="11" t="s">
        <v>257</v>
      </c>
      <c r="P68" s="11"/>
    </row>
    <row r="69" spans="1:16" ht="15" customHeight="1" x14ac:dyDescent="0.25">
      <c r="A69" s="19"/>
      <c r="B69" s="19"/>
      <c r="C69" s="19"/>
      <c r="D69" s="19"/>
      <c r="E69" s="19"/>
      <c r="F69" s="19"/>
      <c r="G69" s="19"/>
      <c r="H69" s="19"/>
      <c r="I69" s="19"/>
      <c r="J69" s="19" t="s">
        <v>258</v>
      </c>
      <c r="K69" s="19" t="s">
        <v>215</v>
      </c>
      <c r="L69" s="19" t="s">
        <v>215</v>
      </c>
      <c r="M69" s="19"/>
      <c r="N69" s="19"/>
      <c r="O69" s="19"/>
      <c r="P69" s="19"/>
    </row>
    <row r="70" spans="1:16" ht="21.75" customHeight="1" x14ac:dyDescent="0.25">
      <c r="A70" s="11"/>
      <c r="B70" s="11"/>
      <c r="C70" s="11"/>
      <c r="D70" s="11"/>
      <c r="E70" s="11"/>
      <c r="F70" s="11"/>
      <c r="G70" s="11"/>
      <c r="H70" s="11"/>
      <c r="I70" s="11"/>
      <c r="J70" s="11" t="s">
        <v>259</v>
      </c>
      <c r="K70" s="11" t="s">
        <v>260</v>
      </c>
      <c r="L70" s="11" t="s">
        <v>260</v>
      </c>
      <c r="M70" s="11"/>
      <c r="N70" s="11"/>
      <c r="O70" s="11"/>
      <c r="P70" s="11"/>
    </row>
    <row r="71" spans="1:16" ht="15" customHeight="1" x14ac:dyDescent="0.25">
      <c r="A71" s="19" t="s">
        <v>261</v>
      </c>
      <c r="B71" s="19" t="s">
        <v>262</v>
      </c>
      <c r="C71" s="19" t="s">
        <v>263</v>
      </c>
      <c r="D71" s="19" t="s">
        <v>264</v>
      </c>
      <c r="E71" s="19">
        <v>3</v>
      </c>
      <c r="F71" s="19">
        <v>5</v>
      </c>
      <c r="G71" s="19">
        <f t="shared" ref="G71:G77" si="0">E71*F71</f>
        <v>15</v>
      </c>
      <c r="H71" s="19" t="str">
        <f t="shared" ref="H71:H77" si="1">IF(G71="","",IF(G71&lt;=6,"Low",IF(G71&lt;=12,"Medium","High")))</f>
        <v>High</v>
      </c>
      <c r="I71" s="19" t="s">
        <v>265</v>
      </c>
      <c r="J71" s="19" t="s">
        <v>266</v>
      </c>
      <c r="K71" s="19" t="s">
        <v>132</v>
      </c>
      <c r="L71" s="19" t="s">
        <v>132</v>
      </c>
      <c r="M71" s="19" t="s">
        <v>247</v>
      </c>
      <c r="N71" s="19" t="s">
        <v>145</v>
      </c>
      <c r="O71" s="19" t="s">
        <v>56</v>
      </c>
      <c r="P71" s="19"/>
    </row>
    <row r="72" spans="1:16" ht="15" customHeight="1" x14ac:dyDescent="0.25">
      <c r="A72" s="11" t="s">
        <v>261</v>
      </c>
      <c r="B72" s="11" t="s">
        <v>267</v>
      </c>
      <c r="C72" s="11" t="s">
        <v>268</v>
      </c>
      <c r="D72" s="11" t="s">
        <v>269</v>
      </c>
      <c r="E72" s="11">
        <v>2</v>
      </c>
      <c r="F72" s="11">
        <v>4</v>
      </c>
      <c r="G72" s="11">
        <f t="shared" si="0"/>
        <v>8</v>
      </c>
      <c r="H72" s="11" t="str">
        <f t="shared" si="1"/>
        <v>Medium</v>
      </c>
      <c r="I72" s="11" t="s">
        <v>270</v>
      </c>
      <c r="J72" s="11" t="s">
        <v>271</v>
      </c>
      <c r="K72" s="11" t="s">
        <v>153</v>
      </c>
      <c r="L72" s="11" t="s">
        <v>153</v>
      </c>
      <c r="M72" s="11" t="s">
        <v>31</v>
      </c>
      <c r="N72" s="11" t="s">
        <v>113</v>
      </c>
      <c r="O72" s="11" t="s">
        <v>56</v>
      </c>
      <c r="P72" s="11"/>
    </row>
    <row r="73" spans="1:16" ht="15" customHeight="1" x14ac:dyDescent="0.25">
      <c r="A73" s="19" t="s">
        <v>261</v>
      </c>
      <c r="B73" s="19" t="s">
        <v>272</v>
      </c>
      <c r="C73" s="19" t="s">
        <v>273</v>
      </c>
      <c r="D73" s="19" t="s">
        <v>274</v>
      </c>
      <c r="E73" s="19">
        <v>2</v>
      </c>
      <c r="F73" s="19">
        <v>3</v>
      </c>
      <c r="G73" s="19">
        <f t="shared" si="0"/>
        <v>6</v>
      </c>
      <c r="H73" s="19" t="str">
        <f t="shared" si="1"/>
        <v>Low</v>
      </c>
      <c r="I73" s="19" t="s">
        <v>275</v>
      </c>
      <c r="J73" s="19" t="s">
        <v>276</v>
      </c>
      <c r="K73" s="19" t="s">
        <v>132</v>
      </c>
      <c r="L73" s="19" t="s">
        <v>132</v>
      </c>
      <c r="M73" s="19" t="s">
        <v>247</v>
      </c>
      <c r="N73" s="19" t="s">
        <v>113</v>
      </c>
      <c r="O73" s="19" t="s">
        <v>56</v>
      </c>
      <c r="P73" s="19"/>
    </row>
    <row r="74" spans="1:16" ht="15" customHeight="1" x14ac:dyDescent="0.25">
      <c r="A74" s="11" t="s">
        <v>277</v>
      </c>
      <c r="B74" s="11" t="s">
        <v>278</v>
      </c>
      <c r="C74" s="11" t="s">
        <v>279</v>
      </c>
      <c r="D74" s="11" t="s">
        <v>280</v>
      </c>
      <c r="E74" s="11">
        <v>2</v>
      </c>
      <c r="F74" s="11">
        <v>5</v>
      </c>
      <c r="G74" s="11">
        <f t="shared" si="0"/>
        <v>10</v>
      </c>
      <c r="H74" s="11" t="str">
        <f t="shared" si="1"/>
        <v>Medium</v>
      </c>
      <c r="I74" s="11" t="s">
        <v>281</v>
      </c>
      <c r="J74" s="11" t="s">
        <v>282</v>
      </c>
      <c r="K74" s="11"/>
      <c r="L74" s="11"/>
      <c r="M74" s="11" t="s">
        <v>283</v>
      </c>
      <c r="N74" s="11" t="s">
        <v>284</v>
      </c>
      <c r="O74" s="11" t="s">
        <v>56</v>
      </c>
      <c r="P74" s="11"/>
    </row>
    <row r="75" spans="1:16" ht="15" customHeight="1" x14ac:dyDescent="0.25">
      <c r="A75" s="19" t="s">
        <v>277</v>
      </c>
      <c r="B75" s="19" t="s">
        <v>285</v>
      </c>
      <c r="C75" s="19" t="s">
        <v>286</v>
      </c>
      <c r="D75" s="19" t="s">
        <v>287</v>
      </c>
      <c r="E75" s="19">
        <v>3</v>
      </c>
      <c r="F75" s="19">
        <v>4</v>
      </c>
      <c r="G75" s="19">
        <f t="shared" si="0"/>
        <v>12</v>
      </c>
      <c r="H75" s="19" t="str">
        <f t="shared" si="1"/>
        <v>Medium</v>
      </c>
      <c r="I75" s="19" t="s">
        <v>288</v>
      </c>
      <c r="J75" s="19" t="s">
        <v>289</v>
      </c>
      <c r="K75" s="19"/>
      <c r="L75" s="19"/>
      <c r="M75" s="19" t="s">
        <v>283</v>
      </c>
      <c r="N75" s="19" t="s">
        <v>284</v>
      </c>
      <c r="O75" s="19" t="s">
        <v>56</v>
      </c>
      <c r="P75" s="19"/>
    </row>
    <row r="76" spans="1:16" ht="15" customHeight="1" x14ac:dyDescent="0.25">
      <c r="A76" s="11" t="s">
        <v>277</v>
      </c>
      <c r="B76" s="11" t="s">
        <v>290</v>
      </c>
      <c r="C76" s="11" t="s">
        <v>291</v>
      </c>
      <c r="D76" s="11" t="s">
        <v>292</v>
      </c>
      <c r="E76" s="11">
        <v>2</v>
      </c>
      <c r="F76" s="11">
        <v>3</v>
      </c>
      <c r="G76" s="11">
        <f t="shared" si="0"/>
        <v>6</v>
      </c>
      <c r="H76" s="11" t="str">
        <f t="shared" si="1"/>
        <v>Low</v>
      </c>
      <c r="I76" s="11" t="s">
        <v>293</v>
      </c>
      <c r="J76" s="11" t="s">
        <v>294</v>
      </c>
      <c r="K76" s="11"/>
      <c r="L76" s="11"/>
      <c r="M76" s="11" t="s">
        <v>283</v>
      </c>
      <c r="N76" s="11" t="s">
        <v>168</v>
      </c>
      <c r="O76" s="11" t="s">
        <v>56</v>
      </c>
      <c r="P76" s="11"/>
    </row>
    <row r="77" spans="1:16" ht="21.75" customHeight="1" x14ac:dyDescent="0.25">
      <c r="A77" s="19" t="s">
        <v>295</v>
      </c>
      <c r="B77" s="19" t="s">
        <v>296</v>
      </c>
      <c r="C77" s="19" t="s">
        <v>297</v>
      </c>
      <c r="D77" s="19" t="s">
        <v>298</v>
      </c>
      <c r="E77" s="19">
        <v>2</v>
      </c>
      <c r="F77" s="19">
        <v>5</v>
      </c>
      <c r="G77" s="19">
        <f t="shared" si="0"/>
        <v>10</v>
      </c>
      <c r="H77" s="19" t="str">
        <f t="shared" si="1"/>
        <v>Medium</v>
      </c>
      <c r="I77" s="19" t="s">
        <v>299</v>
      </c>
      <c r="J77" s="19" t="s">
        <v>300</v>
      </c>
      <c r="K77" s="19" t="s">
        <v>301</v>
      </c>
      <c r="L77" s="19" t="s">
        <v>301</v>
      </c>
      <c r="M77" s="19" t="s">
        <v>93</v>
      </c>
      <c r="N77" s="19" t="s">
        <v>113</v>
      </c>
      <c r="O77" s="19" t="s">
        <v>56</v>
      </c>
      <c r="P77" s="19"/>
    </row>
    <row r="78" spans="1:16" ht="15" customHeight="1" x14ac:dyDescent="0.25">
      <c r="A78" s="11"/>
      <c r="B78" s="11"/>
      <c r="C78" s="11"/>
      <c r="D78" s="11"/>
      <c r="E78" s="11"/>
      <c r="F78" s="11"/>
      <c r="G78" s="11"/>
      <c r="H78" s="11"/>
      <c r="I78" s="11"/>
      <c r="J78" s="11" t="s">
        <v>302</v>
      </c>
      <c r="K78" s="11" t="s">
        <v>102</v>
      </c>
      <c r="L78" s="11" t="s">
        <v>102</v>
      </c>
      <c r="M78" s="11"/>
      <c r="N78" s="11"/>
      <c r="O78" s="11"/>
      <c r="P78" s="11"/>
    </row>
    <row r="79" spans="1:16" ht="15" customHeight="1" x14ac:dyDescent="0.25">
      <c r="A79" s="19" t="s">
        <v>295</v>
      </c>
      <c r="B79" s="19" t="s">
        <v>303</v>
      </c>
      <c r="C79" s="19" t="s">
        <v>304</v>
      </c>
      <c r="D79" s="19" t="s">
        <v>305</v>
      </c>
      <c r="E79" s="19">
        <v>2</v>
      </c>
      <c r="F79" s="19">
        <v>5</v>
      </c>
      <c r="G79" s="19">
        <f>E79*F79</f>
        <v>10</v>
      </c>
      <c r="H79" s="19" t="str">
        <f>IF(G79="","",IF(G79&lt;=6,"Low",IF(G79&lt;=12,"Medium","High")))</f>
        <v>Medium</v>
      </c>
      <c r="I79" s="19" t="s">
        <v>306</v>
      </c>
      <c r="J79" s="19" t="s">
        <v>307</v>
      </c>
      <c r="K79" s="19" t="s">
        <v>308</v>
      </c>
      <c r="L79" s="19" t="s">
        <v>308</v>
      </c>
      <c r="M79" s="19" t="s">
        <v>309</v>
      </c>
      <c r="N79" s="19" t="s">
        <v>168</v>
      </c>
      <c r="O79" s="19" t="s">
        <v>56</v>
      </c>
      <c r="P79" s="19"/>
    </row>
    <row r="80" spans="1:16" ht="21.75" customHeight="1" x14ac:dyDescent="0.25">
      <c r="A80" s="11" t="s">
        <v>295</v>
      </c>
      <c r="B80" s="11" t="s">
        <v>310</v>
      </c>
      <c r="C80" s="11" t="s">
        <v>311</v>
      </c>
      <c r="D80" s="11" t="s">
        <v>312</v>
      </c>
      <c r="E80" s="11">
        <v>3</v>
      </c>
      <c r="F80" s="11">
        <v>4</v>
      </c>
      <c r="G80" s="11">
        <f>E80*F80</f>
        <v>12</v>
      </c>
      <c r="H80" s="11" t="str">
        <f>IF(G80="","",IF(G80&lt;=6,"Low",IF(G80&lt;=12,"Medium","High")))</f>
        <v>Medium</v>
      </c>
      <c r="I80" s="11" t="s">
        <v>313</v>
      </c>
      <c r="J80" s="11" t="s">
        <v>314</v>
      </c>
      <c r="K80" s="11"/>
      <c r="L80" s="11"/>
      <c r="M80" s="11" t="s">
        <v>315</v>
      </c>
      <c r="N80" s="11" t="s">
        <v>316</v>
      </c>
      <c r="O80" s="11" t="s">
        <v>56</v>
      </c>
      <c r="P80" s="11"/>
    </row>
    <row r="81" spans="1:16" ht="15" customHeight="1" x14ac:dyDescent="0.25">
      <c r="A81" s="19"/>
      <c r="B81" s="19"/>
      <c r="C81" s="19"/>
      <c r="D81" s="19"/>
      <c r="E81" s="19"/>
      <c r="F81" s="19"/>
      <c r="G81" s="19"/>
      <c r="H81" s="19"/>
      <c r="I81" s="19"/>
      <c r="J81" s="19" t="s">
        <v>317</v>
      </c>
      <c r="K81" s="19" t="s">
        <v>120</v>
      </c>
      <c r="L81" s="19" t="s">
        <v>120</v>
      </c>
      <c r="M81" s="19"/>
      <c r="N81" s="19"/>
      <c r="O81" s="19"/>
      <c r="P81" s="19"/>
    </row>
    <row r="82" spans="1:16" ht="32.25" customHeight="1" x14ac:dyDescent="0.25">
      <c r="A82" s="11" t="s">
        <v>295</v>
      </c>
      <c r="B82" s="11" t="s">
        <v>318</v>
      </c>
      <c r="C82" s="11" t="s">
        <v>319</v>
      </c>
      <c r="D82" s="11" t="s">
        <v>320</v>
      </c>
      <c r="E82" s="11">
        <v>3</v>
      </c>
      <c r="F82" s="11">
        <v>4</v>
      </c>
      <c r="G82" s="11">
        <f>E82*F82</f>
        <v>12</v>
      </c>
      <c r="H82" s="11" t="str">
        <f>IF(G82="","",IF(G82&lt;=6,"Low",IF(G82&lt;=12,"Medium","High")))</f>
        <v>Medium</v>
      </c>
      <c r="I82" s="11" t="s">
        <v>321</v>
      </c>
      <c r="J82" s="11" t="s">
        <v>322</v>
      </c>
      <c r="K82" s="11" t="s">
        <v>102</v>
      </c>
      <c r="L82" s="11" t="s">
        <v>102</v>
      </c>
      <c r="M82" s="11" t="s">
        <v>144</v>
      </c>
      <c r="N82" s="11" t="s">
        <v>113</v>
      </c>
      <c r="O82" s="11" t="s">
        <v>323</v>
      </c>
      <c r="P82" s="11"/>
    </row>
    <row r="83" spans="1:16" ht="15" customHeight="1" x14ac:dyDescent="0.25">
      <c r="A83" s="19"/>
      <c r="B83" s="19"/>
      <c r="C83" s="19"/>
      <c r="D83" s="19"/>
      <c r="E83" s="19"/>
      <c r="F83" s="19"/>
      <c r="G83" s="19"/>
      <c r="H83" s="19"/>
      <c r="I83" s="19"/>
      <c r="J83" s="19" t="s">
        <v>324</v>
      </c>
      <c r="K83" s="19" t="s">
        <v>325</v>
      </c>
      <c r="L83" s="19" t="s">
        <v>325</v>
      </c>
      <c r="M83" s="19"/>
      <c r="N83" s="19"/>
      <c r="O83" s="19"/>
      <c r="P83" s="19"/>
    </row>
    <row r="84" spans="1:16" ht="21.75" customHeight="1" x14ac:dyDescent="0.25">
      <c r="A84" s="11"/>
      <c r="B84" s="11"/>
      <c r="C84" s="11"/>
      <c r="D84" s="11"/>
      <c r="E84" s="11"/>
      <c r="F84" s="11"/>
      <c r="G84" s="11"/>
      <c r="H84" s="11"/>
      <c r="I84" s="11"/>
      <c r="J84" s="11" t="s">
        <v>326</v>
      </c>
      <c r="K84" s="11" t="s">
        <v>250</v>
      </c>
      <c r="L84" s="11" t="s">
        <v>250</v>
      </c>
      <c r="M84" s="11"/>
      <c r="N84" s="11"/>
      <c r="O84" s="11"/>
      <c r="P84" s="11"/>
    </row>
    <row r="85" spans="1:16" ht="15" customHeight="1" x14ac:dyDescent="0.25">
      <c r="A85" s="19"/>
      <c r="B85" s="19"/>
      <c r="C85" s="19"/>
      <c r="D85" s="19"/>
      <c r="E85" s="19"/>
      <c r="F85" s="19"/>
      <c r="G85" s="19"/>
      <c r="H85" s="19"/>
      <c r="I85" s="19"/>
      <c r="J85" s="19" t="s">
        <v>327</v>
      </c>
      <c r="K85" s="19" t="s">
        <v>328</v>
      </c>
      <c r="L85" s="19" t="s">
        <v>328</v>
      </c>
      <c r="M85" s="19"/>
      <c r="N85" s="19"/>
      <c r="O85" s="19"/>
      <c r="P85" s="19"/>
    </row>
  </sheetData>
  <mergeCells count="5">
    <mergeCell ref="A2:P2"/>
    <mergeCell ref="B3:D3"/>
    <mergeCell ref="F3:H3"/>
    <mergeCell ref="J3:L3"/>
    <mergeCell ref="N3:P3"/>
  </mergeCells>
  <conditionalFormatting sqref="G6:G85">
    <cfRule type="cellIs" dxfId="9" priority="5" operator="greaterThanOrEqual">
      <formula>15</formula>
    </cfRule>
    <cfRule type="cellIs" dxfId="8" priority="6" operator="between">
      <formula>8</formula>
      <formula>12</formula>
    </cfRule>
    <cfRule type="cellIs" dxfId="7" priority="7" operator="between">
      <formula>1</formula>
      <formula>6</formula>
    </cfRule>
  </conditionalFormatting>
  <conditionalFormatting sqref="H6:H85">
    <cfRule type="cellIs" dxfId="6" priority="2" operator="equal">
      <formula>"High"</formula>
    </cfRule>
    <cfRule type="cellIs" dxfId="5" priority="3" operator="equal">
      <formula>"Medium"</formula>
    </cfRule>
    <cfRule type="cellIs" dxfId="4" priority="4" operator="equal">
      <formula>"Low"</formula>
    </cfRule>
  </conditionalFormatting>
  <conditionalFormatting sqref="L6:L85">
    <cfRule type="expression" dxfId="3" priority="8">
      <formula>ISNUMBER(SEARCH("nil",L6))</formula>
    </cfRule>
  </conditionalFormatting>
  <conditionalFormatting sqref="O6:O85">
    <cfRule type="cellIs" dxfId="2" priority="9" operator="equal">
      <formula>"High"</formula>
    </cfRule>
    <cfRule type="cellIs" dxfId="1" priority="10" operator="equal">
      <formula>"Medium"</formula>
    </cfRule>
    <cfRule type="cellIs" dxfId="0" priority="11" operator="equal">
      <formula>"Low"</formula>
    </cfRule>
  </conditionalFormatting>
  <dataValidations count="5">
    <dataValidation type="list" allowBlank="1" errorTitle="Invalid Likelihood" error="Please enter a value between 1 and 5" promptTitle="Likelihood" prompt="Select likelihood (1-5)" sqref="E6:E85" xr:uid="{00000000-0002-0000-0200-000000000000}">
      <formula1>"1,2,3,4,5"</formula1>
      <formula2>0</formula2>
    </dataValidation>
    <dataValidation type="list" allowBlank="1" errorTitle="Invalid Consequence" error="Please enter a value between 1 and 5" promptTitle="Consequence" prompt="Select consequence (1-5)" sqref="F6:F85" xr:uid="{00000000-0002-0000-0200-000001000000}">
      <formula1>"1,2,3,4,5"</formula1>
      <formula2>0</formula2>
    </dataValidation>
    <dataValidation type="list" allowBlank="1" promptTitle="Residual Risk" prompt="Select residual risk level" sqref="O6:O85" xr:uid="{00000000-0002-0000-0200-000002000000}">
      <formula1>"Low,Medium,High"</formula1>
      <formula2>0</formula2>
    </dataValidation>
    <dataValidation type="list" allowBlank="1" promptTitle="Responsible Officer" prompt="Select responsible officer" sqref="M6:M85" xr:uid="{00000000-0002-0000-0200-000003000000}">
      <formula1>"Chief Engineer,Electrician,Master,SSO,Operations Manager"</formula1>
      <formula2>0</formula2>
    </dataValidation>
    <dataValidation type="list" allowBlank="1" promptTitle="Inspection Frequency" prompt="Select inspection frequency" sqref="N6:N85" xr:uid="{00000000-0002-0000-0200-000004000000}">
      <formula1>"Weekly,Monthly,Quarterly,Before Deployment,After Use,Annual"</formula1>
      <formula2>0</formula2>
    </dataValidation>
  </dataValidations>
  <pageMargins left="0.75" right="0.75" top="1" bottom="1" header="0.511811023622047" footer="0.511811023622047"/>
  <pageSetup paperSize="9" fitToHeight="0" orientation="landscape"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32"/>
  <sheetViews>
    <sheetView showGridLines="0" topLeftCell="A10" zoomScaleNormal="100" workbookViewId="0">
      <selection activeCell="E9" sqref="E9"/>
    </sheetView>
  </sheetViews>
  <sheetFormatPr defaultColWidth="8.7109375" defaultRowHeight="15" customHeight="1" x14ac:dyDescent="0.25"/>
  <cols>
    <col min="1" max="1" width="5" customWidth="1"/>
    <col min="2" max="2" width="30" customWidth="1"/>
    <col min="3" max="7" width="18" customWidth="1"/>
  </cols>
  <sheetData>
    <row r="1" spans="1:7" ht="49.5" customHeight="1" x14ac:dyDescent="0.4">
      <c r="A1" s="13"/>
    </row>
    <row r="2" spans="1:7" ht="34.5" customHeight="1" x14ac:dyDescent="0.25">
      <c r="A2" s="9" t="s">
        <v>329</v>
      </c>
      <c r="B2" s="9"/>
      <c r="C2" s="9"/>
      <c r="D2" s="9"/>
      <c r="E2" s="9"/>
      <c r="F2" s="9"/>
      <c r="G2" s="9"/>
    </row>
    <row r="3" spans="1:7" x14ac:dyDescent="0.25"/>
    <row r="4" spans="1:7" ht="32.25" customHeight="1" x14ac:dyDescent="0.25">
      <c r="B4" s="10" t="s">
        <v>4</v>
      </c>
      <c r="C4" s="10" t="s">
        <v>65</v>
      </c>
      <c r="D4" s="10" t="s">
        <v>69</v>
      </c>
      <c r="E4" s="10" t="s">
        <v>3</v>
      </c>
      <c r="F4" s="10" t="s">
        <v>330</v>
      </c>
      <c r="G4" s="10" t="s">
        <v>15</v>
      </c>
    </row>
    <row r="5" spans="1:7" x14ac:dyDescent="0.25"/>
    <row r="6" spans="1:7" ht="15" customHeight="1" x14ac:dyDescent="0.25">
      <c r="B6" s="18" t="s">
        <v>331</v>
      </c>
      <c r="C6" s="18"/>
      <c r="D6" s="18"/>
      <c r="E6" s="18"/>
      <c r="F6" s="18"/>
      <c r="G6" s="18"/>
    </row>
    <row r="7" spans="1:7" ht="15" customHeight="1" x14ac:dyDescent="0.25">
      <c r="B7" s="19" t="s">
        <v>332</v>
      </c>
      <c r="C7" s="19" t="s">
        <v>333</v>
      </c>
      <c r="D7" s="19"/>
      <c r="E7" s="19"/>
      <c r="F7" s="19"/>
      <c r="G7" s="19"/>
    </row>
    <row r="8" spans="1:7" ht="21.75" customHeight="1" x14ac:dyDescent="0.25">
      <c r="B8" s="11" t="s">
        <v>334</v>
      </c>
      <c r="C8" s="11">
        <f>COUNTIF('SEV Critical Spares Register'!G6:G85,"&gt;0")</f>
        <v>27</v>
      </c>
      <c r="D8" s="11"/>
      <c r="E8" s="11"/>
      <c r="F8" s="11"/>
      <c r="G8" s="11"/>
    </row>
    <row r="9" spans="1:7" ht="15" customHeight="1" x14ac:dyDescent="0.25">
      <c r="B9" s="19" t="s">
        <v>335</v>
      </c>
      <c r="C9" s="19">
        <f>COUNTIF('SEV Critical Spares Register'!H6:H85,"High")</f>
        <v>6</v>
      </c>
      <c r="D9" s="19"/>
      <c r="E9" s="19"/>
      <c r="F9" s="19"/>
      <c r="G9" s="19"/>
    </row>
    <row r="10" spans="1:7" ht="15" customHeight="1" x14ac:dyDescent="0.25">
      <c r="B10" s="11" t="s">
        <v>336</v>
      </c>
      <c r="C10" s="11">
        <f>COUNTIF('SEV Critical Spares Register'!H6:H85,"Medium")</f>
        <v>19</v>
      </c>
      <c r="D10" s="11"/>
      <c r="E10" s="11"/>
      <c r="F10" s="11"/>
      <c r="G10" s="11"/>
    </row>
    <row r="11" spans="1:7" ht="15" customHeight="1" x14ac:dyDescent="0.25">
      <c r="B11" s="19" t="s">
        <v>337</v>
      </c>
      <c r="C11" s="19">
        <f>COUNTIF('SEV Critical Spares Register'!H6:H85,"Low")</f>
        <v>2</v>
      </c>
      <c r="D11" s="19"/>
      <c r="E11" s="19"/>
      <c r="F11" s="19"/>
      <c r="G11" s="19"/>
    </row>
    <row r="12" spans="1:7" ht="15" customHeight="1" x14ac:dyDescent="0.25">
      <c r="B12" s="11" t="s">
        <v>338</v>
      </c>
      <c r="C12" s="11">
        <f>IFERROR(AVERAGE('SEV Critical Spares Register'!G6:G85),"")</f>
        <v>10.74074074074074</v>
      </c>
      <c r="D12" s="11"/>
      <c r="E12" s="11"/>
      <c r="F12" s="11"/>
      <c r="G12" s="11"/>
    </row>
    <row r="13" spans="1:7" ht="15" customHeight="1" x14ac:dyDescent="0.25">
      <c r="B13" s="19" t="s">
        <v>339</v>
      </c>
      <c r="C13" s="19">
        <f>MAX('SEV Critical Spares Register'!G6:G85)</f>
        <v>15</v>
      </c>
      <c r="D13" s="19"/>
      <c r="E13" s="19"/>
      <c r="F13" s="19"/>
      <c r="G13" s="19"/>
    </row>
    <row r="14" spans="1:7" x14ac:dyDescent="0.25">
      <c r="B14" s="11"/>
      <c r="C14" s="11"/>
      <c r="D14" s="11"/>
      <c r="E14" s="11"/>
      <c r="F14" s="11"/>
      <c r="G14" s="11"/>
    </row>
    <row r="15" spans="1:7" x14ac:dyDescent="0.25">
      <c r="B15" s="19"/>
      <c r="C15" s="19"/>
      <c r="D15" s="19"/>
      <c r="E15" s="19"/>
      <c r="F15" s="19"/>
      <c r="G15" s="19"/>
    </row>
    <row r="16" spans="1:7" ht="29.25" customHeight="1" x14ac:dyDescent="0.25">
      <c r="B16" s="2" t="s">
        <v>340</v>
      </c>
      <c r="C16" s="2"/>
      <c r="D16" s="2"/>
      <c r="E16" s="2"/>
      <c r="F16" s="11"/>
      <c r="G16" s="11"/>
    </row>
    <row r="17" spans="2:7" ht="21.75" customHeight="1" x14ac:dyDescent="0.25">
      <c r="B17" s="19" t="s">
        <v>70</v>
      </c>
      <c r="C17" s="19" t="s">
        <v>341</v>
      </c>
      <c r="D17" s="19" t="s">
        <v>342</v>
      </c>
      <c r="E17" s="19" t="s">
        <v>343</v>
      </c>
      <c r="F17" s="19"/>
      <c r="G17" s="19"/>
    </row>
    <row r="18" spans="2:7" ht="15" customHeight="1" x14ac:dyDescent="0.25">
      <c r="B18" s="11" t="s">
        <v>86</v>
      </c>
      <c r="C18" s="11">
        <f>COUNTIFS('SEV Critical Spares Register'!A6:A85,"*Propulsion*",'SEV Critical Spares Register'!G6:G85,"&lt;&gt;")</f>
        <v>3</v>
      </c>
      <c r="D18" s="11">
        <f>IFERROR(AVERAGEIFS('SEV Critical Spares Register'!G6:G85,'SEV Critical Spares Register'!A6:A85,"*Propulsion*"),"")</f>
        <v>13.333333333333334</v>
      </c>
      <c r="E18" s="11" t="str">
        <f ca="1">IFERROR(_xludf.maxifs('SEV Critical Spares Register'!G6:G85,'SEV Critical Spares Register'!A6:A85,"*Propulsion*"),"")</f>
        <v/>
      </c>
      <c r="F18" s="11"/>
      <c r="G18" s="11"/>
    </row>
    <row r="19" spans="2:7" ht="15" customHeight="1" x14ac:dyDescent="0.25">
      <c r="B19" s="19" t="s">
        <v>344</v>
      </c>
      <c r="C19" s="19">
        <f>COUNTIFS('SEV Critical Spares Register'!A6:A85,"*Gearbox*",'SEV Critical Spares Register'!G6:G85,"&lt;&gt;")</f>
        <v>1</v>
      </c>
      <c r="D19" s="19">
        <f>IFERROR(AVERAGEIFS('SEV Critical Spares Register'!G6:G85,'SEV Critical Spares Register'!A6:A85,"*Gearbox*"),"")</f>
        <v>15</v>
      </c>
      <c r="E19" s="19" t="str">
        <f ca="1">IFERROR(_xludf.maxifs('SEV Critical Spares Register'!G6:G85,'SEV Critical Spares Register'!A6:A85,"*Gearbox*"),"")</f>
        <v/>
      </c>
      <c r="F19" s="19"/>
      <c r="G19" s="19"/>
    </row>
    <row r="20" spans="2:7" ht="15" customHeight="1" x14ac:dyDescent="0.25">
      <c r="B20" s="11" t="s">
        <v>345</v>
      </c>
      <c r="C20" s="11">
        <f>COUNTIFS('SEV Critical Spares Register'!A6:A85,"*Emergency steering*",'SEV Critical Spares Register'!G6:G85,"&lt;&gt;")</f>
        <v>1</v>
      </c>
      <c r="D20" s="11">
        <f>IFERROR(AVERAGEIFS('SEV Critical Spares Register'!G6:G85,'SEV Critical Spares Register'!A6:A85,"*Emergency steering*"),"")</f>
        <v>15</v>
      </c>
      <c r="E20" s="11" t="str">
        <f ca="1">IFERROR(_xludf.maxifs('SEV Critical Spares Register'!G6:G85,'SEV Critical Spares Register'!A6:A85,"*Emergency steering*"),"")</f>
        <v/>
      </c>
      <c r="F20" s="11"/>
      <c r="G20" s="11"/>
    </row>
    <row r="21" spans="2:7" ht="15" customHeight="1" x14ac:dyDescent="0.25">
      <c r="B21" s="19" t="s">
        <v>156</v>
      </c>
      <c r="C21" s="19">
        <f>COUNTIFS('SEV Critical Spares Register'!A6:A85,"*Electrical*",'SEV Critical Spares Register'!G6:G85,"&lt;&gt;")</f>
        <v>5</v>
      </c>
      <c r="D21" s="19">
        <f>IFERROR(AVERAGEIFS('SEV Critical Spares Register'!G6:G85,'SEV Critical Spares Register'!A6:A85,"*Electrical*"),"")</f>
        <v>8.8000000000000007</v>
      </c>
      <c r="E21" s="19" t="str">
        <f ca="1">IFERROR(_xludf.maxifs('SEV Critical Spares Register'!G6:G85,'SEV Critical Spares Register'!A6:A85,"*Electrical*"),"")</f>
        <v/>
      </c>
      <c r="F21" s="19"/>
      <c r="G21" s="19"/>
    </row>
    <row r="22" spans="2:7" ht="15" customHeight="1" x14ac:dyDescent="0.25">
      <c r="B22" s="11" t="s">
        <v>346</v>
      </c>
      <c r="C22" s="11">
        <f>COUNTIFS('SEV Critical Spares Register'!A6:A85,"*Air-Condition*",'SEV Critical Spares Register'!G6:G85,"&lt;&gt;")</f>
        <v>1</v>
      </c>
      <c r="D22" s="11">
        <f>IFERROR(AVERAGEIFS('SEV Critical Spares Register'!G6:G85,'SEV Critical Spares Register'!A6:A85,"*Air-Condition*"),"")</f>
        <v>8</v>
      </c>
      <c r="E22" s="11" t="str">
        <f ca="1">IFERROR(_xludf.maxifs('SEV Critical Spares Register'!G6:G85,'SEV Critical Spares Register'!A6:A85,"*Air-Condition*"),"")</f>
        <v/>
      </c>
      <c r="F22" s="11"/>
      <c r="G22" s="11"/>
    </row>
    <row r="23" spans="2:7" ht="15" customHeight="1" x14ac:dyDescent="0.25">
      <c r="B23" s="19" t="s">
        <v>225</v>
      </c>
      <c r="C23" s="19">
        <f>COUNTIFS('SEV Critical Spares Register'!A6:A85,"*Navigation*",'SEV Critical Spares Register'!G6:G85,"&lt;&gt;")</f>
        <v>5</v>
      </c>
      <c r="D23" s="19">
        <f>IFERROR(AVERAGEIFS('SEV Critical Spares Register'!G6:G85,'SEV Critical Spares Register'!A6:A85,"*Navigation*"),"")</f>
        <v>10.4</v>
      </c>
      <c r="E23" s="19" t="str">
        <f ca="1">IFERROR(_xludf.maxifs('SEV Critical Spares Register'!G6:G85,'SEV Critical Spares Register'!A6:A85,"*Navigation*"),"")</f>
        <v/>
      </c>
      <c r="F23" s="19"/>
      <c r="G23" s="19"/>
    </row>
    <row r="24" spans="2:7" ht="15" customHeight="1" x14ac:dyDescent="0.25">
      <c r="B24" s="11" t="s">
        <v>261</v>
      </c>
      <c r="C24" s="11">
        <f>COUNTIFS('SEV Critical Spares Register'!A6:A85,"*Communications*",'SEV Critical Spares Register'!G6:G85,"&lt;&gt;")</f>
        <v>3</v>
      </c>
      <c r="D24" s="11">
        <f>IFERROR(AVERAGEIFS('SEV Critical Spares Register'!G6:G85,'SEV Critical Spares Register'!A6:A85,"*Communications*"),"")</f>
        <v>9.6666666666666661</v>
      </c>
      <c r="E24" s="11" t="str">
        <f ca="1">IFERROR(_xludf.maxifs('SEV Critical Spares Register'!G6:G85,'SEV Critical Spares Register'!A6:A85,"*Communications*"),"")</f>
        <v/>
      </c>
      <c r="F24" s="11"/>
      <c r="G24" s="11"/>
    </row>
    <row r="25" spans="2:7" ht="15" customHeight="1" x14ac:dyDescent="0.25">
      <c r="B25" s="19" t="s">
        <v>277</v>
      </c>
      <c r="C25" s="19">
        <f>COUNTIFS('SEV Critical Spares Register'!A6:A85,"*Security*",'SEV Critical Spares Register'!G6:G85,"&lt;&gt;")</f>
        <v>3</v>
      </c>
      <c r="D25" s="19">
        <f>IFERROR(AVERAGEIFS('SEV Critical Spares Register'!G6:G85,'SEV Critical Spares Register'!A6:A85,"*Security*"),"")</f>
        <v>9.3333333333333339</v>
      </c>
      <c r="E25" s="19" t="str">
        <f ca="1">IFERROR(_xludf.maxifs('SEV Critical Spares Register'!G6:G85,'SEV Critical Spares Register'!A6:A85,"*Security*"),"")</f>
        <v/>
      </c>
      <c r="F25" s="19"/>
      <c r="G25" s="19"/>
    </row>
    <row r="26" spans="2:7" ht="15" customHeight="1" x14ac:dyDescent="0.25">
      <c r="B26" s="11" t="s">
        <v>295</v>
      </c>
      <c r="C26" s="11">
        <f>COUNTIFS('SEV Critical Spares Register'!A6:A85,"*Safety*",'SEV Critical Spares Register'!G6:G85,"&lt;&gt;")</f>
        <v>4</v>
      </c>
      <c r="D26" s="11">
        <f>IFERROR(AVERAGEIFS('SEV Critical Spares Register'!G6:G85,'SEV Critical Spares Register'!A6:A85,"*Safety*"),"")</f>
        <v>11</v>
      </c>
      <c r="E26" s="11" t="str">
        <f ca="1">IFERROR(_xludf.maxifs('SEV Critical Spares Register'!G6:G85,'SEV Critical Spares Register'!A6:A85,"*Safety*"),"")</f>
        <v/>
      </c>
      <c r="F26" s="11"/>
      <c r="G26" s="11"/>
    </row>
    <row r="27" spans="2:7" x14ac:dyDescent="0.25">
      <c r="B27" s="19"/>
      <c r="C27" s="19"/>
      <c r="D27" s="19"/>
      <c r="E27" s="19"/>
      <c r="F27" s="19"/>
      <c r="G27" s="19"/>
    </row>
    <row r="28" spans="2:7" x14ac:dyDescent="0.25">
      <c r="B28" s="11"/>
      <c r="C28" s="11"/>
      <c r="D28" s="11"/>
      <c r="E28" s="11"/>
      <c r="F28" s="11"/>
      <c r="G28" s="11"/>
    </row>
    <row r="29" spans="2:7" ht="43.5" customHeight="1" x14ac:dyDescent="0.25">
      <c r="B29" s="1" t="s">
        <v>347</v>
      </c>
      <c r="C29" s="1"/>
      <c r="D29" s="19"/>
      <c r="E29" s="19"/>
      <c r="F29" s="19"/>
      <c r="G29" s="19"/>
    </row>
    <row r="30" spans="2:7" ht="15" customHeight="1" x14ac:dyDescent="0.25">
      <c r="B30" s="11" t="s">
        <v>332</v>
      </c>
      <c r="C30" s="11" t="s">
        <v>333</v>
      </c>
      <c r="D30" s="11"/>
      <c r="E30" s="11"/>
      <c r="F30" s="11"/>
      <c r="G30" s="11"/>
    </row>
    <row r="31" spans="2:7" ht="15" customHeight="1" x14ac:dyDescent="0.25">
      <c r="B31" s="19" t="s">
        <v>348</v>
      </c>
      <c r="C31" s="19">
        <f>COUNTA('SEV Critical Spares Register'!J6:J85)-COUNTBLANK('SEV Critical Spares Register'!J6:J85)</f>
        <v>80</v>
      </c>
      <c r="D31" s="19"/>
      <c r="E31" s="19"/>
      <c r="F31" s="19"/>
      <c r="G31" s="19"/>
    </row>
    <row r="32" spans="2:7" ht="21.75" customHeight="1" x14ac:dyDescent="0.25">
      <c r="B32" s="11" t="s">
        <v>349</v>
      </c>
      <c r="C32" s="11">
        <f>COUNTIF('SEV Critical Spares Register'!L6:L85,"*nil*")+COUNTIF('SEV Critical Spares Register'!L6:L85,"*NIL*")</f>
        <v>6</v>
      </c>
      <c r="D32" s="11"/>
      <c r="E32" s="11"/>
      <c r="F32" s="11"/>
      <c r="G32" s="11"/>
    </row>
  </sheetData>
  <mergeCells count="3">
    <mergeCell ref="A2:G2"/>
    <mergeCell ref="B16:E16"/>
    <mergeCell ref="B29:C29"/>
  </mergeCells>
  <pageMargins left="0.75" right="0.75" top="1" bottom="1" header="0.511811023622047" footer="0.511811023622047"/>
  <pageSetup paperSize="9" fitToHeight="0"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 Information</vt:lpstr>
      <vt:lpstr>Methodology</vt:lpstr>
      <vt:lpstr>SEV Critical Spares Register</vt:lpstr>
      <vt:lpstr>Risk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Darren Watts</cp:lastModifiedBy>
  <cp:revision>0</cp:revision>
  <dcterms:created xsi:type="dcterms:W3CDTF">2026-03-19T08:49:04Z</dcterms:created>
  <dcterms:modified xsi:type="dcterms:W3CDTF">2026-04-04T10:27:49Z</dcterms:modified>
  <dc:language>en-US</dc:language>
</cp:coreProperties>
</file>