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 Tracker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<sst xmlns="http://schemas.openxmlformats.org/spreadsheetml/2006/main" count="150" uniqueCount="90">
  <si>
    <t xml:space="preserve">YOUR WATCH. OUR STANDARD. — Campaign Awareness Tracker</t>
  </si>
  <si>
    <t xml:space="preserve">Tracks management system outputs and their corresponding campaign awareness materials</t>
  </si>
  <si>
    <t xml:space="preserve">Ref</t>
  </si>
  <si>
    <t xml:space="preserve">Management System Output</t>
  </si>
  <si>
    <t xml:space="preserve">Output Type</t>
  </si>
  <si>
    <t xml:space="preserve">MS Status</t>
  </si>
  <si>
    <t xml:space="preserve">Campaign Material Required</t>
  </si>
  <si>
    <t xml:space="preserve">Bulletin Ref</t>
  </si>
  <si>
    <t xml:space="preserve">Bulletin Title</t>
  </si>
  <si>
    <t xml:space="preserve">Pillar Focus</t>
  </si>
  <si>
    <t xml:space="preserve">Target Audience</t>
  </si>
  <si>
    <t xml:space="preserve">Campaign Status</t>
  </si>
  <si>
    <t xml:space="preserve">Launch Date</t>
  </si>
  <si>
    <t xml:space="preserve">Notes</t>
  </si>
  <si>
    <t xml:space="preserve">SM-AWR-026-001</t>
  </si>
  <si>
    <t xml:space="preserve">ISO 45001 H&amp;S Management System Implementation</t>
  </si>
  <si>
    <t xml:space="preserve">Policy</t>
  </si>
  <si>
    <t xml:space="preserve">In Review</t>
  </si>
  <si>
    <t xml:space="preserve">Awareness Bulletin</t>
  </si>
  <si>
    <t xml:space="preserve">ISO 45001 — What It Means For You</t>
  </si>
  <si>
    <t xml:space="preserve">All Three</t>
  </si>
  <si>
    <t xml:space="preserve">All Staff</t>
  </si>
  <si>
    <t xml:space="preserve">In Progress</t>
  </si>
  <si>
    <t xml:space="preserve">01 Apr 2026</t>
  </si>
  <si>
    <t xml:space="preserve">First campaign bulletin — launch day content</t>
  </si>
  <si>
    <t xml:space="preserve">SM-AWR-026-002</t>
  </si>
  <si>
    <t xml:space="preserve">Remote Working Self-Assessment</t>
  </si>
  <si>
    <t xml:space="preserve">Risk Assessment</t>
  </si>
  <si>
    <t xml:space="preserve">Draft</t>
  </si>
  <si>
    <t xml:space="preserve">Assess</t>
  </si>
  <si>
    <t xml:space="preserve">Office Only</t>
  </si>
  <si>
    <t xml:space="preserve">Not Started</t>
  </si>
  <si>
    <t xml:space="preserve">Staff complete their own workspace RA</t>
  </si>
  <si>
    <t xml:space="preserve">SM-AWR-026-003</t>
  </si>
  <si>
    <t xml:space="preserve">Office Risk Assessment — Dubai HQ</t>
  </si>
  <si>
    <t xml:space="preserve">Office Risk Assessment &amp; Feedback</t>
  </si>
  <si>
    <t xml:space="preserve">Report</t>
  </si>
  <si>
    <t xml:space="preserve">07 Apr 2026</t>
  </si>
  <si>
    <t xml:space="preserve">Open call for feedback on missed hazards/controls</t>
  </si>
  <si>
    <t xml:space="preserve">SM-AWR-026-004</t>
  </si>
  <si>
    <t xml:space="preserve">SOP — Persian Gulf Vessel Evacuation &amp; Guarding</t>
  </si>
  <si>
    <t xml:space="preserve">SOP</t>
  </si>
  <si>
    <t xml:space="preserve">Published</t>
  </si>
  <si>
    <t xml:space="preserve">Vessel Transfer SOPs — What You Need To Know</t>
  </si>
  <si>
    <t xml:space="preserve">Operations Only</t>
  </si>
  <si>
    <t xml:space="preserve">14 Apr 2026</t>
  </si>
  <si>
    <t xml:space="preserve">Accompanies SOP roll-out in April</t>
  </si>
  <si>
    <t xml:space="preserve">SM-AWR-026-005</t>
  </si>
  <si>
    <t xml:space="preserve">Toolbox Talk Cards — Deployment Safety &amp; Compliance</t>
  </si>
  <si>
    <t xml:space="preserve">Guidance Note</t>
  </si>
  <si>
    <t xml:space="preserve">Toolbox Talk Card</t>
  </si>
  <si>
    <t xml:space="preserve">Toolbox Talk Cards — Deployments</t>
  </si>
  <si>
    <t xml:space="preserve">Deliver</t>
  </si>
  <si>
    <t xml:space="preserve">Team Leaders</t>
  </si>
  <si>
    <t xml:space="preserve">Pocket cards for 5-min team briefs</t>
  </si>
  <si>
    <t xml:space="preserve">SM-AWR-026-006</t>
  </si>
  <si>
    <t xml:space="preserve">RA-004 Security &amp; Business Risk Assessment Template</t>
  </si>
  <si>
    <t xml:space="preserve">New Risk Assessment Process — RA-004</t>
  </si>
  <si>
    <t xml:space="preserve">New PESTLE-based RA template</t>
  </si>
  <si>
    <t xml:space="preserve">SM-AWR-026-007</t>
  </si>
  <si>
    <t xml:space="preserve">Campaign Portal Launch</t>
  </si>
  <si>
    <t xml:space="preserve">Template</t>
  </si>
  <si>
    <t xml:space="preserve">Approved</t>
  </si>
  <si>
    <t xml:space="preserve">Portal Update</t>
  </si>
  <si>
    <t xml:space="preserve">Portal: portal.seagullmaritimeltd.com</t>
  </si>
  <si>
    <t xml:space="preserve">Single URL source of truth</t>
  </si>
  <si>
    <t xml:space="preserve">SM-AWR-026-008</t>
  </si>
  <si>
    <t xml:space="preserve">Email Signature Campaign Block</t>
  </si>
  <si>
    <t xml:space="preserve">Email Alert</t>
  </si>
  <si>
    <t xml:space="preserve">Email signature deployment</t>
  </si>
  <si>
    <t xml:space="preserve">Ready to Send</t>
  </si>
  <si>
    <t xml:space="preserve">All staff signatures updated</t>
  </si>
  <si>
    <t xml:space="preserve">SM-AWR-026-009</t>
  </si>
  <si>
    <t xml:space="preserve">Campaign Poster — A3 Vessel &amp; Office</t>
  </si>
  <si>
    <t xml:space="preserve">Poster</t>
  </si>
  <si>
    <t xml:space="preserve">A3 poster with QR code</t>
  </si>
  <si>
    <t xml:space="preserve">Print and distribute to all locations</t>
  </si>
  <si>
    <t xml:space="preserve">SM-AWR-026-010</t>
  </si>
  <si>
    <t xml:space="preserve">PG Threat Level — Critical Alert</t>
  </si>
  <si>
    <t xml:space="preserve">SM-AWR-026-004R</t>
  </si>
  <si>
    <t xml:space="preserve">Persian Gulf Threat Level Raised to Critical</t>
  </si>
  <si>
    <t xml:space="preserve">24 Mar 2026</t>
  </si>
  <si>
    <t xml:space="preserve">Immediate — conflict zone risk alert</t>
  </si>
  <si>
    <t xml:space="preserve">YOUR WATCH. OUR STANDARD. — Campaign Dashboard</t>
  </si>
  <si>
    <t xml:space="preserve">Total Items</t>
  </si>
  <si>
    <t xml:space="preserve">Sent</t>
  </si>
  <si>
    <t xml:space="preserve">Acknowledged</t>
  </si>
  <si>
    <t xml:space="preserve">By Pillar Focus</t>
  </si>
  <si>
    <t xml:space="preserve">By Material Type</t>
  </si>
  <si>
    <t xml:space="preserve">Onboarding Insert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</si>
</sst>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venir Next LT Pro"/>
      <family val="0"/>
      <charset val="1"/>
    </font>
    <font>
      <i val="true"/>
      <sz val="9"/>
      <color rgb="FF42515A"/>
      <name val="Aptos"/>
      <family val="0"/>
      <charset val="1"/>
    </font>
    <font>
      <b val="true"/>
      <sz val="9"/>
      <color rgb="FFFFFFFF"/>
      <name val="Aptos"/>
      <family val="0"/>
      <charset val="1"/>
    </font>
    <font>
      <sz val="9"/>
      <color rgb="FF42515A"/>
      <name val="Aptos"/>
      <family val="0"/>
      <charset val="1"/>
    </font>
    <font>
      <b val="true"/>
      <sz val="8"/>
      <color rgb="FF42515A"/>
      <name val="Aptos"/>
      <family val="0"/>
      <charset val="1"/>
    </font>
    <font>
      <b val="true"/>
      <sz val="22"/>
      <color rgb="FF003C72"/>
      <name val="Avenir Next LT Pro"/>
      <family val="0"/>
      <charset val="1"/>
    </font>
    <font>
      <b val="true"/>
      <sz val="11"/>
      <color rgb="FF003C72"/>
      <name val="Avenir Next LT Pro"/>
      <family val="0"/>
      <charset val="1"/>
    </font>
    <font>
      <b val="true"/>
      <sz val="9"/>
      <color rgb="FF003C72"/>
      <name val="Apto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C72"/>
        <bgColor rgb="FF333399"/>
      </patternFill>
    </fill>
    <fill>
      <patternFill patternType="solid">
        <fgColor rgb="FFF4F7FA"/>
        <bgColor rgb="FFFFFFFF"/>
      </patternFill>
    </fill>
    <fill>
      <patternFill patternType="solid">
        <fgColor rgb="FFFFFFFF"/>
        <bgColor rgb="FFF4F7FA"/>
      </patternFill>
    </fill>
    <fill>
      <patternFill patternType="solid">
        <fgColor rgb="FFFFF2CC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EDF2"/>
      </left>
      <right style="thin">
        <color rgb="FFE8EDF2"/>
      </right>
      <top style="thin">
        <color rgb="FFE8EDF2"/>
      </top>
      <bottom style="thin">
        <color rgb="FFE8ED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D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3D9"/>
      <rgbColor rgb="FFF4F7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C72"/>
      <rgbColor rgb="FF339966"/>
      <rgbColor rgb="FF003300"/>
      <rgbColor rgb="FF333300"/>
      <rgbColor rgb="FF993300"/>
      <rgbColor rgb="FF993366"/>
      <rgbColor rgb="FF333399"/>
      <rgbColor rgb="FF4251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C72"/>
    <pageSetUpPr fitToPage="false"/>
  </sheetPr>
  <dimension ref="A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7.75" hidden="false" customHeight="true" outlineLevel="0" collapsed="false">
      <c r="A5" s="4" t="s">
        <v>14</v>
      </c>
      <c r="B5" s="5" t="s">
        <v>15</v>
      </c>
      <c r="C5" s="4" t="s">
        <v>16</v>
      </c>
      <c r="D5" s="6" t="s">
        <v>17</v>
      </c>
      <c r="E5" s="4" t="s">
        <v>18</v>
      </c>
      <c r="F5" s="4" t="s">
        <v>14</v>
      </c>
      <c r="G5" s="5" t="s">
        <v>19</v>
      </c>
      <c r="H5" s="4" t="s">
        <v>20</v>
      </c>
      <c r="I5" s="4" t="s">
        <v>21</v>
      </c>
      <c r="J5" s="6" t="s">
        <v>22</v>
      </c>
      <c r="K5" s="6" t="s">
        <v>23</v>
      </c>
      <c r="L5" s="5" t="s">
        <v>24</v>
      </c>
    </row>
    <row r="6" customFormat="false" ht="27.75" hidden="false" customHeight="true" outlineLevel="0" collapsed="false">
      <c r="A6" s="7" t="s">
        <v>25</v>
      </c>
      <c r="B6" s="8" t="s">
        <v>26</v>
      </c>
      <c r="C6" s="7" t="s">
        <v>27</v>
      </c>
      <c r="D6" s="6" t="s">
        <v>28</v>
      </c>
      <c r="E6" s="7" t="s">
        <v>18</v>
      </c>
      <c r="F6" s="7" t="s">
        <v>25</v>
      </c>
      <c r="G6" s="8" t="s">
        <v>26</v>
      </c>
      <c r="H6" s="7" t="s">
        <v>29</v>
      </c>
      <c r="I6" s="7" t="s">
        <v>30</v>
      </c>
      <c r="J6" s="6" t="s">
        <v>31</v>
      </c>
      <c r="K6" s="6" t="s">
        <v>23</v>
      </c>
      <c r="L6" s="8" t="s">
        <v>32</v>
      </c>
    </row>
    <row r="7" customFormat="false" ht="27.75" hidden="false" customHeight="true" outlineLevel="0" collapsed="false">
      <c r="A7" s="4" t="s">
        <v>33</v>
      </c>
      <c r="B7" s="5" t="s">
        <v>34</v>
      </c>
      <c r="C7" s="4" t="s">
        <v>27</v>
      </c>
      <c r="D7" s="6" t="s">
        <v>28</v>
      </c>
      <c r="E7" s="4" t="s">
        <v>18</v>
      </c>
      <c r="F7" s="4" t="s">
        <v>33</v>
      </c>
      <c r="G7" s="5" t="s">
        <v>35</v>
      </c>
      <c r="H7" s="4" t="s">
        <v>36</v>
      </c>
      <c r="I7" s="4" t="s">
        <v>30</v>
      </c>
      <c r="J7" s="6" t="s">
        <v>31</v>
      </c>
      <c r="K7" s="6" t="s">
        <v>37</v>
      </c>
      <c r="L7" s="5" t="s">
        <v>38</v>
      </c>
    </row>
    <row r="8" customFormat="false" ht="27.75" hidden="false" customHeight="true" outlineLevel="0" collapsed="false">
      <c r="A8" s="7" t="s">
        <v>39</v>
      </c>
      <c r="B8" s="8" t="s">
        <v>40</v>
      </c>
      <c r="C8" s="7" t="s">
        <v>41</v>
      </c>
      <c r="D8" s="6" t="s">
        <v>42</v>
      </c>
      <c r="E8" s="7" t="s">
        <v>18</v>
      </c>
      <c r="F8" s="7" t="s">
        <v>39</v>
      </c>
      <c r="G8" s="8" t="s">
        <v>43</v>
      </c>
      <c r="H8" s="7" t="s">
        <v>29</v>
      </c>
      <c r="I8" s="7" t="s">
        <v>44</v>
      </c>
      <c r="J8" s="6" t="s">
        <v>31</v>
      </c>
      <c r="K8" s="6" t="s">
        <v>45</v>
      </c>
      <c r="L8" s="8" t="s">
        <v>46</v>
      </c>
    </row>
    <row r="9" customFormat="false" ht="27.75" hidden="false" customHeight="true" outlineLevel="0" collapsed="false">
      <c r="A9" s="4" t="s">
        <v>47</v>
      </c>
      <c r="B9" s="5" t="s">
        <v>48</v>
      </c>
      <c r="C9" s="4" t="s">
        <v>49</v>
      </c>
      <c r="D9" s="6" t="s">
        <v>28</v>
      </c>
      <c r="E9" s="4" t="s">
        <v>50</v>
      </c>
      <c r="F9" s="4" t="s">
        <v>47</v>
      </c>
      <c r="G9" s="5" t="s">
        <v>51</v>
      </c>
      <c r="H9" s="4" t="s">
        <v>52</v>
      </c>
      <c r="I9" s="4" t="s">
        <v>53</v>
      </c>
      <c r="J9" s="6" t="s">
        <v>31</v>
      </c>
      <c r="K9" s="6" t="s">
        <v>37</v>
      </c>
      <c r="L9" s="5" t="s">
        <v>54</v>
      </c>
    </row>
    <row r="10" customFormat="false" ht="27.75" hidden="false" customHeight="true" outlineLevel="0" collapsed="false">
      <c r="A10" s="7" t="s">
        <v>55</v>
      </c>
      <c r="B10" s="8" t="s">
        <v>56</v>
      </c>
      <c r="C10" s="7" t="s">
        <v>27</v>
      </c>
      <c r="D10" s="6" t="s">
        <v>42</v>
      </c>
      <c r="E10" s="7" t="s">
        <v>18</v>
      </c>
      <c r="F10" s="7" t="s">
        <v>55</v>
      </c>
      <c r="G10" s="8" t="s">
        <v>57</v>
      </c>
      <c r="H10" s="7" t="s">
        <v>29</v>
      </c>
      <c r="I10" s="7" t="s">
        <v>21</v>
      </c>
      <c r="J10" s="6" t="s">
        <v>22</v>
      </c>
      <c r="K10" s="6" t="s">
        <v>37</v>
      </c>
      <c r="L10" s="8" t="s">
        <v>58</v>
      </c>
    </row>
    <row r="11" customFormat="false" ht="27.75" hidden="false" customHeight="true" outlineLevel="0" collapsed="false">
      <c r="A11" s="4" t="s">
        <v>59</v>
      </c>
      <c r="B11" s="5" t="s">
        <v>60</v>
      </c>
      <c r="C11" s="4" t="s">
        <v>61</v>
      </c>
      <c r="D11" s="6" t="s">
        <v>62</v>
      </c>
      <c r="E11" s="4" t="s">
        <v>63</v>
      </c>
      <c r="F11" s="4"/>
      <c r="G11" s="5" t="s">
        <v>64</v>
      </c>
      <c r="H11" s="4" t="s">
        <v>20</v>
      </c>
      <c r="I11" s="4" t="s">
        <v>21</v>
      </c>
      <c r="J11" s="6" t="s">
        <v>22</v>
      </c>
      <c r="K11" s="6" t="s">
        <v>23</v>
      </c>
      <c r="L11" s="5" t="s">
        <v>65</v>
      </c>
    </row>
    <row r="12" customFormat="false" ht="27.75" hidden="false" customHeight="true" outlineLevel="0" collapsed="false">
      <c r="A12" s="7" t="s">
        <v>66</v>
      </c>
      <c r="B12" s="8" t="s">
        <v>67</v>
      </c>
      <c r="C12" s="7" t="s">
        <v>61</v>
      </c>
      <c r="D12" s="6" t="s">
        <v>62</v>
      </c>
      <c r="E12" s="7" t="s">
        <v>68</v>
      </c>
      <c r="F12" s="7"/>
      <c r="G12" s="8" t="s">
        <v>69</v>
      </c>
      <c r="H12" s="7" t="s">
        <v>20</v>
      </c>
      <c r="I12" s="7" t="s">
        <v>21</v>
      </c>
      <c r="J12" s="6" t="s">
        <v>70</v>
      </c>
      <c r="K12" s="6" t="s">
        <v>23</v>
      </c>
      <c r="L12" s="8" t="s">
        <v>71</v>
      </c>
    </row>
    <row r="13" customFormat="false" ht="27.75" hidden="false" customHeight="true" outlineLevel="0" collapsed="false">
      <c r="A13" s="4" t="s">
        <v>72</v>
      </c>
      <c r="B13" s="5" t="s">
        <v>73</v>
      </c>
      <c r="C13" s="4" t="s">
        <v>61</v>
      </c>
      <c r="D13" s="6" t="s">
        <v>62</v>
      </c>
      <c r="E13" s="4" t="s">
        <v>74</v>
      </c>
      <c r="F13" s="4"/>
      <c r="G13" s="5" t="s">
        <v>75</v>
      </c>
      <c r="H13" s="4" t="s">
        <v>20</v>
      </c>
      <c r="I13" s="4" t="s">
        <v>21</v>
      </c>
      <c r="J13" s="6" t="s">
        <v>70</v>
      </c>
      <c r="K13" s="6" t="s">
        <v>23</v>
      </c>
      <c r="L13" s="5" t="s">
        <v>76</v>
      </c>
    </row>
    <row r="14" customFormat="false" ht="27.75" hidden="false" customHeight="true" outlineLevel="0" collapsed="false">
      <c r="A14" s="7" t="s">
        <v>77</v>
      </c>
      <c r="B14" s="8" t="s">
        <v>78</v>
      </c>
      <c r="C14" s="7" t="s">
        <v>27</v>
      </c>
      <c r="D14" s="6" t="s">
        <v>42</v>
      </c>
      <c r="E14" s="7" t="s">
        <v>18</v>
      </c>
      <c r="F14" s="7" t="s">
        <v>79</v>
      </c>
      <c r="G14" s="8" t="s">
        <v>80</v>
      </c>
      <c r="H14" s="7" t="s">
        <v>36</v>
      </c>
      <c r="I14" s="7" t="s">
        <v>44</v>
      </c>
      <c r="J14" s="6" t="s">
        <v>22</v>
      </c>
      <c r="K14" s="6" t="s">
        <v>81</v>
      </c>
      <c r="L14" s="8" t="s">
        <v>82</v>
      </c>
    </row>
    <row r="15" customFormat="false" ht="24" hidden="false" customHeight="true" outlineLevel="0" collapsed="false">
      <c r="A15" s="4"/>
      <c r="B15" s="5"/>
      <c r="C15" s="4"/>
      <c r="D15" s="6"/>
      <c r="E15" s="4"/>
      <c r="F15" s="4"/>
      <c r="G15" s="5"/>
      <c r="H15" s="4"/>
      <c r="I15" s="4"/>
      <c r="J15" s="6"/>
      <c r="K15" s="6"/>
      <c r="L15" s="5"/>
    </row>
    <row r="16" customFormat="false" ht="24" hidden="false" customHeight="true" outlineLevel="0" collapsed="false">
      <c r="A16" s="7"/>
      <c r="B16" s="8"/>
      <c r="C16" s="7"/>
      <c r="D16" s="6"/>
      <c r="E16" s="7"/>
      <c r="F16" s="7"/>
      <c r="G16" s="8"/>
      <c r="H16" s="7"/>
      <c r="I16" s="7"/>
      <c r="J16" s="6"/>
      <c r="K16" s="6"/>
      <c r="L16" s="8"/>
    </row>
    <row r="17" customFormat="false" ht="24" hidden="false" customHeight="true" outlineLevel="0" collapsed="false">
      <c r="A17" s="4"/>
      <c r="B17" s="5"/>
      <c r="C17" s="4"/>
      <c r="D17" s="6"/>
      <c r="E17" s="4"/>
      <c r="F17" s="4"/>
      <c r="G17" s="5"/>
      <c r="H17" s="4"/>
      <c r="I17" s="4"/>
      <c r="J17" s="6"/>
      <c r="K17" s="6"/>
      <c r="L17" s="5"/>
    </row>
    <row r="18" customFormat="false" ht="24" hidden="false" customHeight="true" outlineLevel="0" collapsed="false">
      <c r="A18" s="7"/>
      <c r="B18" s="8"/>
      <c r="C18" s="7"/>
      <c r="D18" s="6"/>
      <c r="E18" s="7"/>
      <c r="F18" s="7"/>
      <c r="G18" s="8"/>
      <c r="H18" s="7"/>
      <c r="I18" s="7"/>
      <c r="J18" s="6"/>
      <c r="K18" s="6"/>
      <c r="L18" s="8"/>
    </row>
    <row r="19" customFormat="false" ht="24" hidden="false" customHeight="true" outlineLevel="0" collapsed="false">
      <c r="A19" s="4"/>
      <c r="B19" s="5"/>
      <c r="C19" s="4"/>
      <c r="D19" s="6"/>
      <c r="E19" s="4"/>
      <c r="F19" s="4"/>
      <c r="G19" s="5"/>
      <c r="H19" s="4"/>
      <c r="I19" s="4"/>
      <c r="J19" s="6"/>
      <c r="K19" s="6"/>
      <c r="L19" s="5"/>
    </row>
    <row r="20" customFormat="false" ht="24" hidden="false" customHeight="true" outlineLevel="0" collapsed="false">
      <c r="A20" s="7"/>
      <c r="B20" s="8"/>
      <c r="C20" s="7"/>
      <c r="D20" s="6"/>
      <c r="E20" s="7"/>
      <c r="F20" s="7"/>
      <c r="G20" s="8"/>
      <c r="H20" s="7"/>
      <c r="I20" s="7"/>
      <c r="J20" s="6"/>
      <c r="K20" s="6"/>
      <c r="L20" s="8"/>
    </row>
    <row r="21" customFormat="false" ht="24" hidden="false" customHeight="true" outlineLevel="0" collapsed="false">
      <c r="A21" s="4"/>
      <c r="B21" s="5"/>
      <c r="C21" s="4"/>
      <c r="D21" s="6"/>
      <c r="E21" s="4"/>
      <c r="F21" s="4"/>
      <c r="G21" s="5"/>
      <c r="H21" s="4"/>
      <c r="I21" s="4"/>
      <c r="J21" s="6"/>
      <c r="K21" s="6"/>
      <c r="L21" s="5"/>
    </row>
    <row r="22" customFormat="false" ht="24" hidden="false" customHeight="true" outlineLevel="0" collapsed="false">
      <c r="A22" s="7"/>
      <c r="B22" s="8"/>
      <c r="C22" s="7"/>
      <c r="D22" s="6"/>
      <c r="E22" s="7"/>
      <c r="F22" s="7"/>
      <c r="G22" s="8"/>
      <c r="H22" s="7"/>
      <c r="I22" s="7"/>
      <c r="J22" s="6"/>
      <c r="K22" s="6"/>
      <c r="L22" s="8"/>
    </row>
    <row r="23" customFormat="false" ht="24" hidden="false" customHeight="true" outlineLevel="0" collapsed="false">
      <c r="A23" s="4"/>
      <c r="B23" s="5"/>
      <c r="C23" s="4"/>
      <c r="D23" s="6"/>
      <c r="E23" s="4"/>
      <c r="F23" s="4"/>
      <c r="G23" s="5"/>
      <c r="H23" s="4"/>
      <c r="I23" s="4"/>
      <c r="J23" s="6"/>
      <c r="K23" s="6"/>
      <c r="L23" s="5"/>
    </row>
    <row r="24" customFormat="false" ht="24" hidden="false" customHeight="true" outlineLevel="0" collapsed="false">
      <c r="A24" s="7"/>
      <c r="B24" s="8"/>
      <c r="C24" s="7"/>
      <c r="D24" s="6"/>
      <c r="E24" s="7"/>
      <c r="F24" s="7"/>
      <c r="G24" s="8"/>
      <c r="H24" s="7"/>
      <c r="I24" s="7"/>
      <c r="J24" s="6"/>
      <c r="K24" s="6"/>
      <c r="L24" s="8"/>
    </row>
    <row r="25" customFormat="false" ht="24" hidden="false" customHeight="true" outlineLevel="0" collapsed="false">
      <c r="A25" s="4"/>
      <c r="B25" s="5"/>
      <c r="C25" s="4"/>
      <c r="D25" s="6"/>
      <c r="E25" s="4"/>
      <c r="F25" s="4"/>
      <c r="G25" s="5"/>
      <c r="H25" s="4"/>
      <c r="I25" s="4"/>
      <c r="J25" s="6"/>
      <c r="K25" s="6"/>
      <c r="L25" s="5"/>
    </row>
    <row r="26" customFormat="false" ht="24" hidden="false" customHeight="true" outlineLevel="0" collapsed="false">
      <c r="A26" s="7"/>
      <c r="B26" s="8"/>
      <c r="C26" s="7"/>
      <c r="D26" s="6"/>
      <c r="E26" s="7"/>
      <c r="F26" s="7"/>
      <c r="G26" s="8"/>
      <c r="H26" s="7"/>
      <c r="I26" s="7"/>
      <c r="J26" s="6"/>
      <c r="K26" s="6"/>
      <c r="L26" s="8"/>
    </row>
    <row r="27" customFormat="false" ht="24" hidden="false" customHeight="true" outlineLevel="0" collapsed="false">
      <c r="A27" s="4"/>
      <c r="B27" s="5"/>
      <c r="C27" s="4"/>
      <c r="D27" s="6"/>
      <c r="E27" s="4"/>
      <c r="F27" s="4"/>
      <c r="G27" s="5"/>
      <c r="H27" s="4"/>
      <c r="I27" s="4"/>
      <c r="J27" s="6"/>
      <c r="K27" s="6"/>
      <c r="L27" s="5"/>
    </row>
    <row r="28" customFormat="false" ht="24" hidden="false" customHeight="true" outlineLevel="0" collapsed="false">
      <c r="A28" s="7"/>
      <c r="B28" s="8"/>
      <c r="C28" s="7"/>
      <c r="D28" s="6"/>
      <c r="E28" s="7"/>
      <c r="F28" s="7"/>
      <c r="G28" s="8"/>
      <c r="H28" s="7"/>
      <c r="I28" s="7"/>
      <c r="J28" s="6"/>
      <c r="K28" s="6"/>
      <c r="L28" s="8"/>
    </row>
    <row r="29" customFormat="false" ht="24" hidden="false" customHeight="true" outlineLevel="0" collapsed="false">
      <c r="A29" s="4"/>
      <c r="B29" s="5"/>
      <c r="C29" s="4"/>
      <c r="D29" s="6"/>
      <c r="E29" s="4"/>
      <c r="F29" s="4"/>
      <c r="G29" s="5"/>
      <c r="H29" s="4"/>
      <c r="I29" s="4"/>
      <c r="J29" s="6"/>
      <c r="K29" s="6"/>
      <c r="L29" s="5"/>
    </row>
    <row r="30" customFormat="false" ht="24" hidden="false" customHeight="true" outlineLevel="0" collapsed="false">
      <c r="A30" s="7"/>
      <c r="B30" s="8"/>
      <c r="C30" s="7"/>
      <c r="D30" s="6"/>
      <c r="E30" s="7"/>
      <c r="F30" s="7"/>
      <c r="G30" s="8"/>
      <c r="H30" s="7"/>
      <c r="I30" s="7"/>
      <c r="J30" s="6"/>
      <c r="K30" s="6"/>
      <c r="L30" s="8"/>
    </row>
    <row r="31" customFormat="false" ht="24" hidden="false" customHeight="true" outlineLevel="0" collapsed="false">
      <c r="A31" s="4"/>
      <c r="B31" s="5"/>
      <c r="C31" s="4"/>
      <c r="D31" s="6"/>
      <c r="E31" s="4"/>
      <c r="F31" s="4"/>
      <c r="G31" s="5"/>
      <c r="H31" s="4"/>
      <c r="I31" s="4"/>
      <c r="J31" s="6"/>
      <c r="K31" s="6"/>
      <c r="L31" s="5"/>
    </row>
    <row r="32" customFormat="false" ht="24" hidden="false" customHeight="true" outlineLevel="0" collapsed="false">
      <c r="A32" s="7"/>
      <c r="B32" s="8"/>
      <c r="C32" s="7"/>
      <c r="D32" s="6"/>
      <c r="E32" s="7"/>
      <c r="F32" s="7"/>
      <c r="G32" s="8"/>
      <c r="H32" s="7"/>
      <c r="I32" s="7"/>
      <c r="J32" s="6"/>
      <c r="K32" s="6"/>
      <c r="L32" s="8"/>
    </row>
    <row r="33" customFormat="false" ht="24" hidden="false" customHeight="true" outlineLevel="0" collapsed="false">
      <c r="A33" s="4"/>
      <c r="B33" s="5"/>
      <c r="C33" s="4"/>
      <c r="D33" s="6"/>
      <c r="E33" s="4"/>
      <c r="F33" s="4"/>
      <c r="G33" s="5"/>
      <c r="H33" s="4"/>
      <c r="I33" s="4"/>
      <c r="J33" s="6"/>
      <c r="K33" s="6"/>
      <c r="L33" s="5"/>
    </row>
    <row r="34" customFormat="false" ht="24" hidden="false" customHeight="true" outlineLevel="0" collapsed="false">
      <c r="A34" s="7"/>
      <c r="B34" s="8"/>
      <c r="C34" s="7"/>
      <c r="D34" s="6"/>
      <c r="E34" s="7"/>
      <c r="F34" s="7"/>
      <c r="G34" s="8"/>
      <c r="H34" s="7"/>
      <c r="I34" s="7"/>
      <c r="J34" s="6"/>
      <c r="K34" s="6"/>
      <c r="L34" s="8"/>
    </row>
  </sheetData>
  <mergeCells count="2">
    <mergeCell ref="A1:L1"/>
    <mergeCell ref="A2:L2"/>
  </mergeCells>
  <dataValidations count="6">
    <dataValidation allowBlank="true" errorStyle="stop" operator="between" showDropDown="false" showErrorMessage="false" showInputMessage="false" sqref="C5:C34" type="list">
      <formula1>"SOP,Procedure,Risk Assessment,Policy,Form,Register,Template,Guidance Note"</formula1>
      <formula2>0</formula2>
    </dataValidation>
    <dataValidation allowBlank="true" errorStyle="stop" operator="between" showDropDown="false" showErrorMessage="false" showInputMessage="false" sqref="D5:D34" type="list">
      <formula1>"Draft,In Review,Approved,Published,Superseded"</formula1>
      <formula2>0</formula2>
    </dataValidation>
    <dataValidation allowBlank="true" errorStyle="stop" operator="between" showDropDown="false" showErrorMessage="false" showInputMessage="false" sqref="E5:E34" type="list">
      <formula1>"Awareness Bulletin,Toolbox Talk Card,Poster,Email Alert,Onboarding Insert,Portal Update,None Required"</formula1>
      <formula2>0</formula2>
    </dataValidation>
    <dataValidation allowBlank="true" errorStyle="stop" operator="between" showDropDown="false" showErrorMessage="false" showInputMessage="false" sqref="H5:H34" type="list">
      <formula1>"Assess,Report,Deliver,All Three"</formula1>
      <formula2>0</formula2>
    </dataValidation>
    <dataValidation allowBlank="true" errorStyle="stop" operator="between" showDropDown="false" showErrorMessage="false" showInputMessage="false" sqref="I5:I34" type="list">
      <formula1>"All Staff,Operations Only,Office Only,Team Leaders,Vessel Crews,Management,New Starters"</formula1>
      <formula2>0</formula2>
    </dataValidation>
    <dataValidation allowBlank="true" errorStyle="stop" operator="between" showDropDown="false" showErrorMessage="false" showInputMessage="false" sqref="J5:J34" type="list">
      <formula1>"Not Started,In Progress,Ready to Send,Sent,Acknowledged"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3D9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36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</row>
    <row r="3" customFormat="false" ht="15.75" hidden="false" customHeight="true" outlineLevel="0" collapsed="false">
      <c r="A3" s="9" t="s">
        <v>84</v>
      </c>
      <c r="B3" s="9" t="s">
        <v>31</v>
      </c>
      <c r="C3" s="9" t="s">
        <v>22</v>
      </c>
      <c r="D3" s="9" t="s">
        <v>70</v>
      </c>
      <c r="E3" s="9" t="s">
        <v>85</v>
      </c>
      <c r="F3" s="9" t="s">
        <v>86</v>
      </c>
    </row>
    <row r="4" customFormat="false" ht="39.75" hidden="false" customHeight="true" outlineLevel="0" collapsed="false">
      <c r="A4" s="10" t="n">
        <f aca="false">COUNTA('Campaign Tracker'!A5:A34)-COUNTBLANK('Campaign Tracker'!A5:A34)</f>
        <v>-10</v>
      </c>
      <c r="B4" s="10" t="n">
        <f aca="false">COUNTIF('Campaign Tracker'!J5:J34,"Not Started")</f>
        <v>4</v>
      </c>
      <c r="C4" s="10" t="n">
        <f aca="false">COUNTIF('Campaign Tracker'!J5:J34,"In Progress")</f>
        <v>4</v>
      </c>
      <c r="D4" s="10" t="n">
        <f aca="false">COUNTIF('Campaign Tracker'!J5:J34,"Ready to Send")</f>
        <v>2</v>
      </c>
      <c r="E4" s="10" t="n">
        <f aca="false">COUNTIF('Campaign Tracker'!J5:J34,"Sent")</f>
        <v>0</v>
      </c>
      <c r="F4" s="10" t="n">
        <f aca="false">COUNTIF('Campaign Tracker'!J5:J34,"Acknowledged")</f>
        <v>0</v>
      </c>
    </row>
    <row r="5" customFormat="false" ht="15.75" hidden="false" customHeight="true" outlineLevel="0" collapsed="false">
      <c r="A5" s="11"/>
      <c r="B5" s="11"/>
      <c r="C5" s="11"/>
      <c r="D5" s="11"/>
      <c r="E5" s="11"/>
      <c r="F5" s="11"/>
    </row>
    <row r="7" customFormat="false" ht="15" hidden="false" customHeight="false" outlineLevel="0" collapsed="false">
      <c r="A7" s="12" t="s">
        <v>87</v>
      </c>
      <c r="B7" s="12"/>
      <c r="C7" s="12"/>
      <c r="E7" s="12" t="s">
        <v>88</v>
      </c>
      <c r="F7" s="12"/>
      <c r="G7" s="12"/>
    </row>
    <row r="8" customFormat="false" ht="15" hidden="false" customHeight="false" outlineLevel="0" collapsed="false">
      <c r="A8" s="13" t="s">
        <v>29</v>
      </c>
      <c r="B8" s="14" t="n">
        <f aca="false">COUNTIF('Campaign Tracker'!H5:H34,"Assess")</f>
        <v>3</v>
      </c>
      <c r="E8" s="13" t="s">
        <v>18</v>
      </c>
      <c r="F8" s="14" t="n">
        <f aca="false">COUNTIF('Campaign Tracker'!E5:E34,"Awareness Bulletin")</f>
        <v>6</v>
      </c>
    </row>
    <row r="9" customFormat="false" ht="15" hidden="false" customHeight="false" outlineLevel="0" collapsed="false">
      <c r="A9" s="13" t="s">
        <v>36</v>
      </c>
      <c r="B9" s="14" t="n">
        <f aca="false">COUNTIF('Campaign Tracker'!H5:H34,"Report")</f>
        <v>2</v>
      </c>
      <c r="E9" s="13" t="s">
        <v>50</v>
      </c>
      <c r="F9" s="14" t="n">
        <f aca="false">COUNTIF('Campaign Tracker'!E5:E34,"Toolbox Talk Card")</f>
        <v>1</v>
      </c>
    </row>
    <row r="10" customFormat="false" ht="15" hidden="false" customHeight="false" outlineLevel="0" collapsed="false">
      <c r="A10" s="13" t="s">
        <v>52</v>
      </c>
      <c r="B10" s="14" t="n">
        <f aca="false">COUNTIF('Campaign Tracker'!H5:H34,"Deliver")</f>
        <v>1</v>
      </c>
      <c r="E10" s="13" t="s">
        <v>74</v>
      </c>
      <c r="F10" s="14" t="n">
        <f aca="false">COUNTIF('Campaign Tracker'!E5:E34,"Poster")</f>
        <v>1</v>
      </c>
    </row>
    <row r="11" customFormat="false" ht="15" hidden="false" customHeight="false" outlineLevel="0" collapsed="false">
      <c r="A11" s="13" t="s">
        <v>20</v>
      </c>
      <c r="B11" s="14" t="n">
        <f aca="false">COUNTIF('Campaign Tracker'!H5:H34,"All Three")</f>
        <v>4</v>
      </c>
      <c r="E11" s="13" t="s">
        <v>68</v>
      </c>
      <c r="F11" s="14" t="n">
        <f aca="false">COUNTIF('Campaign Tracker'!E5:E34,"Email Alert")</f>
        <v>1</v>
      </c>
    </row>
    <row r="12" customFormat="false" ht="15" hidden="false" customHeight="false" outlineLevel="0" collapsed="false">
      <c r="E12" s="13" t="s">
        <v>63</v>
      </c>
      <c r="F12" s="14" t="n">
        <f aca="false">COUNTIF('Campaign Tracker'!E5:E34,"Portal Update")</f>
        <v>1</v>
      </c>
    </row>
    <row r="13" customFormat="false" ht="15" hidden="false" customHeight="false" outlineLevel="0" collapsed="false">
      <c r="E13" s="13" t="s">
        <v>89</v>
      </c>
      <c r="F13" s="14" t="n">
        <f aca="false">COUNTIF('Campaign Tracker'!E5:E34,"Onboarding Insert")</f>
        <v>0</v>
      </c>
    </row>
  </sheetData>
  <mergeCells count="3">
    <mergeCell ref="A1:H1"/>
    <mergeCell ref="A7:C7"/>
    <mergeCell ref="E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2026-03-24T12:33:06Z</dcterms:created>
  <dc:creator>openpyxl</dc:creator>
  <dc:description/>
  <dc:language>en-US</dc:language>
  <cp:lastModifiedBy/>
  <dcterms:modified xsi:type="dcterms:W3CDTF">2026-03-24T12:33:06Z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