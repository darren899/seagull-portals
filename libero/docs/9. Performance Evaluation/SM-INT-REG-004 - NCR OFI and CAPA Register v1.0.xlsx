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Register Information" sheetId="1" state="visible" r:id="rId1"/>
    <sheet xmlns:r="http://schemas.openxmlformats.org/officeDocument/2006/relationships" name="NCR" sheetId="2" state="visible" r:id="rId2"/>
    <sheet xmlns:r="http://schemas.openxmlformats.org/officeDocument/2006/relationships" name="OFI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'NCR'!$A$5:$T$5</definedName>
    <definedName name="_xlnm._FilterDatabase" localSheetId="2" hidden="1">'OFI'!$A$5:$O$5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YYYY-MM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venir Next LT Pro"/>
      <charset val="1"/>
      <family val="0"/>
      <b val="1"/>
      <color rgb="FF003C72"/>
      <sz val="20"/>
    </font>
    <font>
      <name val="Avenir Next LT Pro"/>
      <charset val="1"/>
      <family val="0"/>
      <color rgb="FF003C72"/>
      <sz val="10"/>
    </font>
    <font>
      <name val="Aptos"/>
      <charset val="1"/>
      <family val="0"/>
      <b val="1"/>
      <sz val="9"/>
    </font>
    <font>
      <name val="Aptos"/>
      <charset val="1"/>
      <family val="0"/>
      <sz val="9"/>
    </font>
    <font>
      <name val="Avenir Next LT Pro"/>
      <charset val="1"/>
      <family val="0"/>
      <b val="1"/>
      <color rgb="FF003C72"/>
      <sz val="12"/>
    </font>
    <font>
      <name val="Aptos"/>
      <charset val="1"/>
      <family val="0"/>
      <b val="1"/>
      <color rgb="FFFFFFFF"/>
      <sz val="9"/>
    </font>
    <font>
      <name val="Avenir Next LT Pro"/>
      <charset val="1"/>
      <family val="0"/>
      <b val="1"/>
      <color rgb="FFFF0000"/>
      <sz val="12"/>
    </font>
    <font>
      <name val="Aptos"/>
      <charset val="1"/>
      <family val="0"/>
      <b val="1"/>
      <color rgb="FFFF0000"/>
      <sz val="9"/>
    </font>
  </fonts>
  <fills count="5">
    <fill>
      <patternFill/>
    </fill>
    <fill>
      <patternFill patternType="gray125"/>
    </fill>
    <fill>
      <patternFill patternType="solid">
        <fgColor rgb="FFE6EDF5"/>
        <bgColor rgb="FFE0E0E0"/>
      </patternFill>
    </fill>
    <fill>
      <patternFill patternType="solid">
        <fgColor rgb="FFFFFFFF"/>
        <bgColor rgb="FFFFFFCC"/>
      </patternFill>
    </fill>
    <fill>
      <patternFill patternType="solid">
        <fgColor rgb="FF003C72"/>
        <bgColor rgb="FF0D47A1"/>
      </patternFill>
    </fill>
  </fills>
  <borders count="12">
    <border>
      <left/>
      <right/>
      <top/>
      <bottom/>
      <diagonal/>
    </border>
    <border>
      <left style="medium">
        <color rgb="FF003C72"/>
      </left>
      <right style="medium">
        <color rgb="FF003C72"/>
      </right>
      <top style="medium">
        <color rgb="FF003C72"/>
      </top>
      <bottom style="medium">
        <color rgb="FF003C72"/>
      </bottom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  <border>
      <left style="medium">
        <color rgb="FF003C72"/>
      </left>
      <right/>
      <top style="medium">
        <color rgb="FF003C72"/>
      </top>
      <bottom style="medium">
        <color rgb="FF003C72"/>
      </bottom>
      <diagonal/>
    </border>
    <border>
      <left/>
      <right/>
      <top style="medium">
        <color rgb="FF003C72"/>
      </top>
      <bottom/>
      <diagonal/>
    </border>
    <border>
      <left/>
      <right style="medium">
        <color rgb="FF003C72"/>
      </right>
      <top style="medium">
        <color rgb="FF003C72"/>
      </top>
      <bottom/>
      <diagonal/>
    </border>
    <border>
      <left/>
      <right/>
      <top style="medium">
        <color rgb="FF003C72"/>
      </top>
      <bottom style="medium">
        <color rgb="FF003C72"/>
      </bottom>
      <diagonal/>
    </border>
    <border>
      <left/>
      <right style="medium">
        <color rgb="FF003C72"/>
      </right>
      <top style="medium">
        <color rgb="FF003C72"/>
      </top>
      <bottom style="medium">
        <color rgb="FF003C72"/>
      </bottom>
      <diagonal/>
    </border>
    <border>
      <left/>
      <right/>
      <top style="thin">
        <color rgb="FF003C72"/>
      </top>
      <bottom/>
      <diagonal/>
    </border>
    <border>
      <left/>
      <right style="thin">
        <color rgb="FF003C72"/>
      </right>
      <top style="thin">
        <color rgb="FF003C72"/>
      </top>
      <bottom/>
      <diagonal/>
    </border>
    <border>
      <left/>
      <right/>
      <top style="thin">
        <color rgb="FF003C72"/>
      </top>
      <bottom style="thin">
        <color rgb="FF003C72"/>
      </bottom>
      <diagonal/>
    </border>
    <border>
      <left/>
      <right style="thin">
        <color rgb="FF003C72"/>
      </right>
      <top style="thin">
        <color rgb="FF003C72"/>
      </top>
      <bottom style="thin">
        <color rgb="FF003C7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general" vertical="bottom"/>
    </xf>
    <xf numFmtId="0" fontId="6" fillId="3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11" fillId="0" borderId="2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7" fillId="2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general" vertical="bottom"/>
    </xf>
    <xf numFmtId="0" fontId="6" fillId="3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11" fillId="0" borderId="2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7" fillId="2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 wrapText="1"/>
    </xf>
    <xf numFmtId="165" fontId="7" fillId="0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03C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ptos"/>
        <charset val="1"/>
        <family val="0"/>
        <b val="1"/>
        <color rgb="FFB71C1C"/>
        <sz val="9"/>
      </font>
      <fill>
        <patternFill>
          <bgColor rgb="FFFFCCCC"/>
        </patternFill>
      </fill>
    </dxf>
    <dxf>
      <font>
        <name val="Aptos"/>
        <charset val="1"/>
        <family val="0"/>
        <b val="1"/>
        <color rgb="FFE65100"/>
        <sz val="9"/>
      </font>
      <fill>
        <patternFill>
          <bgColor rgb="FFFFE0B2"/>
        </patternFill>
      </fill>
    </dxf>
    <dxf>
      <font>
        <name val="Aptos"/>
        <charset val="1"/>
        <family val="0"/>
        <b val="1"/>
        <color rgb="FF0D47A1"/>
        <sz val="9"/>
      </font>
      <fill>
        <patternFill>
          <bgColor rgb="FFBBDEFB"/>
        </patternFill>
      </fill>
    </dxf>
    <dxf>
      <font>
        <name val="Aptos"/>
        <charset val="1"/>
        <family val="0"/>
        <b val="1"/>
        <color rgb="FF1B5E20"/>
        <sz val="9"/>
      </font>
      <fill>
        <patternFill>
          <bgColor rgb="FFC8E6C9"/>
        </patternFill>
      </fill>
    </dxf>
    <dxf>
      <font>
        <name val="Aptos"/>
        <charset val="1"/>
        <family val="0"/>
        <b val="1"/>
        <color rgb="FF1B5E20"/>
        <sz val="9"/>
      </font>
      <fill>
        <patternFill>
          <bgColor rgb="FF81C784"/>
        </patternFill>
      </fill>
    </dxf>
    <dxf>
      <font>
        <name val="Aptos"/>
        <charset val="1"/>
        <family val="0"/>
        <color rgb="FF616161"/>
        <sz val="9"/>
      </font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DF5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8E6C9"/>
      <rgbColor rgb="FFFFE0B2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65100"/>
      <rgbColor rgb="FF616161"/>
      <rgbColor rgb="FF81C784"/>
      <rgbColor rgb="FF003C72"/>
      <rgbColor rgb="FF339966"/>
      <rgbColor rgb="FF003300"/>
      <rgbColor rgb="FF333300"/>
      <rgbColor rgb="FFB71C1C"/>
      <rgbColor rgb="FF993366"/>
      <rgbColor rgb="FF0D47A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36000</colOff>
      <row>3</row>
      <rowOff>16920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5520" cy="959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36000</colOff>
      <row>3</row>
      <rowOff>16920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5520" cy="959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36000</colOff>
      <row>3</row>
      <rowOff>16920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5520" cy="959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740880</colOff>
      <row>3</row>
      <rowOff>16920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5520" cy="959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36000</colOff>
      <row>3</row>
      <rowOff>16920</rowOff>
    </to>
    <pic>
      <nvPicPr>
        <cNvPr id="5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5520" cy="959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filterMode="0">
    <tabColor rgb="FF003C72"/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9" activeCellId="0" sqref="H19"/>
    </sheetView>
  </sheetViews>
  <sheetFormatPr baseColWidth="8" defaultColWidth="8.71484375" defaultRowHeight="15" customHeight="1" zeroHeight="0" outlineLevelRow="0"/>
  <cols>
    <col width="22" customWidth="1" style="30" min="1" max="1"/>
    <col width="18" customWidth="1" style="30" min="2" max="6"/>
  </cols>
  <sheetData>
    <row r="1" ht="24.75" customHeight="1" s="31"/>
    <row r="2" ht="24.75" customHeight="1" s="31"/>
    <row r="3" ht="24.75" customHeight="1" s="31"/>
    <row r="4" ht="24" customHeight="1" s="31">
      <c r="A4" s="32" t="inlineStr">
        <is>
          <t>NCR, OFI AND CAPA REGISTER</t>
        </is>
      </c>
    </row>
    <row r="5" ht="15" customHeight="1" s="31">
      <c r="A5" s="33" t="inlineStr">
        <is>
          <t>SM/INT/REG/004 v1.0  |  Effective: 30 March 2026</t>
        </is>
      </c>
    </row>
    <row r="6"/>
    <row r="7" ht="15" customHeight="1" s="31">
      <c r="A7" s="34" t="inlineStr">
        <is>
          <t>Register Title</t>
        </is>
      </c>
      <c r="B7" s="35" t="inlineStr">
        <is>
          <t>NCR, OFI and CAPA Register</t>
        </is>
      </c>
      <c r="C7" s="36" t="n"/>
      <c r="D7" s="36" t="n"/>
      <c r="E7" s="36" t="n"/>
      <c r="F7" s="37" t="n"/>
    </row>
    <row r="8" ht="15" customHeight="1" s="31">
      <c r="A8" s="38" t="inlineStr">
        <is>
          <t>Document Reference</t>
        </is>
      </c>
      <c r="B8" s="39" t="inlineStr">
        <is>
          <t>SM/INT/REG/004</t>
        </is>
      </c>
      <c r="C8" s="36" t="n"/>
      <c r="D8" s="36" t="n"/>
      <c r="E8" s="36" t="n"/>
      <c r="F8" s="37" t="n"/>
    </row>
    <row r="9" ht="15" customHeight="1" s="31">
      <c r="A9" s="34" t="inlineStr">
        <is>
          <t>Version</t>
        </is>
      </c>
      <c r="B9" s="35" t="inlineStr">
        <is>
          <t>1.0</t>
        </is>
      </c>
      <c r="C9" s="36" t="n"/>
      <c r="D9" s="36" t="n"/>
      <c r="E9" s="36" t="n"/>
      <c r="F9" s="37" t="n"/>
    </row>
    <row r="10" ht="15" customHeight="1" s="31">
      <c r="A10" s="38" t="inlineStr">
        <is>
          <t>Effective Date</t>
        </is>
      </c>
      <c r="B10" s="39" t="inlineStr">
        <is>
          <t>30 March 2026</t>
        </is>
      </c>
      <c r="C10" s="36" t="n"/>
      <c r="D10" s="36" t="n"/>
      <c r="E10" s="36" t="n"/>
      <c r="F10" s="37" t="n"/>
    </row>
    <row r="11" ht="15" customHeight="1" s="31">
      <c r="A11" s="34" t="inlineStr">
        <is>
          <t>Register Owner</t>
        </is>
      </c>
      <c r="B11" s="35" t="inlineStr">
        <is>
          <t>Group Compliance Director</t>
        </is>
      </c>
      <c r="C11" s="36" t="n"/>
      <c r="D11" s="36" t="n"/>
      <c r="E11" s="36" t="n"/>
      <c r="F11" s="37" t="n"/>
    </row>
    <row r="12" ht="15" customHeight="1" s="31">
      <c r="A12" s="38" t="inlineStr">
        <is>
          <t>Maintained By</t>
        </is>
      </c>
      <c r="B12" s="39" t="inlineStr">
        <is>
          <t>Compliance Administrator</t>
        </is>
      </c>
      <c r="C12" s="36" t="n"/>
      <c r="D12" s="36" t="n"/>
      <c r="E12" s="36" t="n"/>
      <c r="F12" s="37" t="n"/>
    </row>
    <row r="13" ht="21.75" customHeight="1" s="31">
      <c r="A13" s="34" t="inlineStr">
        <is>
          <t>Governing Procedure</t>
        </is>
      </c>
      <c r="B13" s="35" t="inlineStr">
        <is>
          <t>SM/INT/PRO/001 — Non-Conformance, OFI and
Corrective Action Management</t>
        </is>
      </c>
      <c r="C13" s="36" t="n"/>
      <c r="D13" s="36" t="n"/>
      <c r="E13" s="36" t="n"/>
      <c r="F13" s="37" t="n"/>
    </row>
    <row r="14" ht="21.75" customHeight="1" s="31">
      <c r="A14" s="38" t="inlineStr">
        <is>
          <t>ISO Standards</t>
        </is>
      </c>
      <c r="B14" s="39" t="inlineStr">
        <is>
          <t>ISO 9001:2015 / ISO 18788:2015 / ISO 28007:2015 /
ISO 28000:2022 / ISO 45001:2018</t>
        </is>
      </c>
      <c r="C14" s="36" t="n"/>
      <c r="D14" s="36" t="n"/>
      <c r="E14" s="36" t="n"/>
      <c r="F14" s="37" t="n"/>
    </row>
    <row r="15" ht="21.75" customHeight="1" s="31">
      <c r="A15" s="34" t="inlineStr">
        <is>
          <t>Applicable Entities</t>
        </is>
      </c>
      <c r="B15" s="35" t="inlineStr">
        <is>
          <t>Seagull Maritime FCZO, Seagull Maritime Malta,
Seagull Maritime Nigeria, Seagull Maritime UK, Seagull Offshore</t>
        </is>
      </c>
      <c r="C15" s="36" t="n"/>
      <c r="D15" s="36" t="n"/>
      <c r="E15" s="36" t="n"/>
      <c r="F15" s="37" t="n"/>
    </row>
    <row r="16" ht="15" customHeight="1" s="31">
      <c r="A16" s="38" t="inlineStr">
        <is>
          <t>Classification</t>
        </is>
      </c>
      <c r="B16" s="39" t="inlineStr">
        <is>
          <t>Internal — Restricted to Compliance Function</t>
        </is>
      </c>
      <c r="C16" s="36" t="n"/>
      <c r="D16" s="36" t="n"/>
      <c r="E16" s="36" t="n"/>
      <c r="F16" s="37" t="n"/>
    </row>
    <row r="17"/>
    <row r="18" ht="15" customHeight="1" s="31">
      <c r="A18" s="40" t="inlineStr">
        <is>
          <t>PURPOSE</t>
        </is>
      </c>
    </row>
    <row r="19" ht="60" customHeight="1" s="31">
      <c r="A19" s="41" t="inlineStr">
        <is>
          <t>This register records all non-conformances (NCRs), opportunities for improvement (OFIs), corrective actions (CAs) and preventive actions (PAs) identified across all Seagull Maritime entities and management systems. It provides a single, auditable record of findings from any source — including internal audits, external audits, client due diligence reviews, incident reports, management reviews, operational observations and compliance awareness campaigns.</t>
        </is>
      </c>
    </row>
    <row r="20"/>
    <row r="21" ht="15" customHeight="1" s="31">
      <c r="A21" s="40" t="inlineStr">
        <is>
          <t>HOW TO USE THIS REGISTER</t>
        </is>
      </c>
    </row>
    <row r="22" ht="39.75" customHeight="1" s="31">
      <c r="A22" s="34" t="inlineStr">
        <is>
          <t>NCR Sheet</t>
        </is>
      </c>
      <c r="B22" s="35" t="inlineStr">
        <is>
          <t>Record all non-conformances. Each entry must have a unique reference (e.g. NCR-001), root cause analysis, corrective action plan, and follow the lifecycle:
Open → In Progress → CA Implemented → Verified Effective → Closed</t>
        </is>
      </c>
      <c r="C22" s="36" t="n"/>
      <c r="D22" s="36" t="n"/>
      <c r="E22" s="36" t="n"/>
      <c r="F22" s="37" t="n"/>
    </row>
    <row r="23" ht="39.75" customHeight="1" s="31">
      <c r="A23" s="38" t="inlineStr">
        <is>
          <t>OFI Sheet</t>
        </is>
      </c>
      <c r="B23" s="39" t="inlineStr">
        <is>
          <t>Record all opportunities for improvement. OFIs follow a simplified lifecycle:
Open → In Progress → Completed or Not Pursued (with justification)</t>
        </is>
      </c>
      <c r="C23" s="36" t="n"/>
      <c r="D23" s="36" t="n"/>
      <c r="E23" s="36" t="n"/>
      <c r="F23" s="37" t="n"/>
    </row>
    <row r="24" ht="39.75" customHeight="1" s="31">
      <c r="A24" s="34" t="inlineStr">
        <is>
          <t>Dashboard</t>
        </is>
      </c>
      <c r="B24" s="35" t="inlineStr">
        <is>
          <t>Auto-calculated summary of all NCRs and OFIs including overdue items. Do not edit — values are formula-driven.</t>
        </is>
      </c>
      <c r="C24" s="36" t="n"/>
      <c r="D24" s="36" t="n"/>
      <c r="E24" s="36" t="n"/>
      <c r="F24" s="37" t="n"/>
    </row>
    <row r="25" ht="39.75" customHeight="1" s="31">
      <c r="A25" s="38" t="inlineStr">
        <is>
          <t>Lists</t>
        </is>
      </c>
      <c r="B25" s="39" t="inlineStr">
        <is>
          <t>Dropdown source data for data validation. Add new sources, OFI types or departments as required.</t>
        </is>
      </c>
      <c r="C25" s="36" t="n"/>
      <c r="D25" s="36" t="n"/>
      <c r="E25" s="36" t="n"/>
      <c r="F25" s="37" t="n"/>
    </row>
    <row r="26"/>
    <row r="27" ht="15" customHeight="1" s="31">
      <c r="A27" s="40" t="inlineStr">
        <is>
          <t>RELATED DOCUMENTS</t>
        </is>
      </c>
    </row>
    <row r="28" ht="15" customHeight="1" s="31">
      <c r="A28" s="42" t="inlineStr">
        <is>
          <t>SM/INT/PRO/001</t>
        </is>
      </c>
      <c r="B28" s="43" t="inlineStr">
        <is>
          <t>Non-Conformance, OFI and Corrective Action Management</t>
        </is>
      </c>
      <c r="C28" s="44" t="n"/>
      <c r="D28" s="44" t="n"/>
      <c r="E28" s="44" t="n"/>
      <c r="F28" s="45" t="n"/>
    </row>
    <row r="29" ht="15" customHeight="1" s="31">
      <c r="A29" s="46" t="inlineStr">
        <is>
          <t>SM/INT/FORM/001</t>
        </is>
      </c>
      <c r="B29" s="47" t="inlineStr">
        <is>
          <t>Non-Conformance Report Form</t>
        </is>
      </c>
      <c r="C29" s="44" t="n"/>
      <c r="D29" s="44" t="n"/>
      <c r="E29" s="44" t="n"/>
      <c r="F29" s="45" t="n"/>
    </row>
    <row r="30" ht="15" customHeight="1" s="31">
      <c r="A30" s="42" t="inlineStr">
        <is>
          <t>SM/PRO/IA/001</t>
        </is>
      </c>
      <c r="B30" s="43" t="inlineStr">
        <is>
          <t>Internal Audit Procedure</t>
        </is>
      </c>
      <c r="C30" s="44" t="n"/>
      <c r="D30" s="44" t="n"/>
      <c r="E30" s="44" t="n"/>
      <c r="F30" s="45" t="n"/>
    </row>
    <row r="31" ht="15" customHeight="1" s="31">
      <c r="A31" s="46" t="inlineStr">
        <is>
          <t>SM/PRO/DOC/001</t>
        </is>
      </c>
      <c r="B31" s="47" t="inlineStr">
        <is>
          <t>Control of Documents Procedure</t>
        </is>
      </c>
      <c r="C31" s="44" t="n"/>
      <c r="D31" s="44" t="n"/>
      <c r="E31" s="44" t="n"/>
      <c r="F31" s="45" t="n"/>
    </row>
    <row r="32" ht="15" customHeight="1" s="31">
      <c r="A32" s="42" t="inlineStr">
        <is>
          <t>SM/INT/REG/001</t>
        </is>
      </c>
      <c r="B32" s="43" t="inlineStr">
        <is>
          <t>Document Register</t>
        </is>
      </c>
      <c r="C32" s="44" t="n"/>
      <c r="D32" s="44" t="n"/>
      <c r="E32" s="44" t="n"/>
      <c r="F32" s="45" t="n"/>
    </row>
  </sheetData>
  <mergeCells count="25">
    <mergeCell ref="B7:F7"/>
    <mergeCell ref="B16:F16"/>
    <mergeCell ref="B25:F25"/>
    <mergeCell ref="A27:F27"/>
    <mergeCell ref="B31:F31"/>
    <mergeCell ref="A18:F18"/>
    <mergeCell ref="B22:F22"/>
    <mergeCell ref="A21:F21"/>
    <mergeCell ref="B12:F12"/>
    <mergeCell ref="A5:F5"/>
    <mergeCell ref="B11:F11"/>
    <mergeCell ref="B23:F23"/>
    <mergeCell ref="A4:F4"/>
    <mergeCell ref="B14:F14"/>
    <mergeCell ref="B8:F8"/>
    <mergeCell ref="B13:F13"/>
    <mergeCell ref="B29:F29"/>
    <mergeCell ref="A19:F19"/>
    <mergeCell ref="B10:F10"/>
    <mergeCell ref="B28:F28"/>
    <mergeCell ref="B9:F9"/>
    <mergeCell ref="B30:F30"/>
    <mergeCell ref="B24:F24"/>
    <mergeCell ref="B15:F1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03C72"/>
    <outlinePr summaryBelow="1" summaryRight="1"/>
    <pageSetUpPr fitToPage="0"/>
  </sheetPr>
  <dimension ref="A1:T5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19" activeCellId="0" sqref="H19"/>
    </sheetView>
  </sheetViews>
  <sheetFormatPr baseColWidth="8" defaultColWidth="8.71484375" defaultRowHeight="15" customHeight="1" zeroHeight="0" outlineLevelRow="0"/>
  <cols>
    <col width="12" customWidth="1" style="30" min="1" max="2"/>
    <col width="16" customWidth="1" style="30" min="3" max="4"/>
    <col width="14" customWidth="1" style="30" min="5" max="5"/>
    <col width="10" customWidth="1" style="30" min="6" max="6"/>
    <col width="35" customWidth="1" style="30" min="7" max="8"/>
    <col width="30" customWidth="1" style="30" min="9" max="9"/>
    <col width="16" customWidth="1" style="30" min="10" max="10"/>
    <col width="12" customWidth="1" style="30" min="11" max="12"/>
    <col width="25" customWidth="1" style="30" min="13" max="13"/>
    <col width="20" customWidth="1" style="30" min="14" max="14"/>
    <col width="14" customWidth="1" style="30" min="15" max="15"/>
    <col width="12" customWidth="1" style="30" min="16" max="16"/>
    <col width="14" customWidth="1" style="30" min="17" max="18"/>
    <col width="12" customWidth="1" style="30" min="19" max="19"/>
    <col width="25" customWidth="1" style="30" min="20" max="20"/>
  </cols>
  <sheetData>
    <row r="1" ht="24.75" customHeight="1" s="31"/>
    <row r="2" ht="24.75" customHeight="1" s="31"/>
    <row r="3" ht="24.75" customHeight="1" s="31"/>
    <row r="4" ht="15" customHeight="1" s="31">
      <c r="A4" s="40" t="inlineStr">
        <is>
          <t>NON-CONFORMANCE REGISTER</t>
        </is>
      </c>
    </row>
    <row r="5" ht="32.25" customHeight="1" s="31">
      <c r="A5" s="48" t="inlineStr">
        <is>
          <t>NCR Ref</t>
        </is>
      </c>
      <c r="B5" s="48" t="inlineStr">
        <is>
          <t>Date Raised</t>
        </is>
      </c>
      <c r="C5" s="48" t="inlineStr">
        <is>
          <t>Source</t>
        </is>
      </c>
      <c r="D5" s="48" t="inlineStr">
        <is>
          <t>Department</t>
        </is>
      </c>
      <c r="E5" s="48" t="inlineStr">
        <is>
          <t>ISO Clause(s)</t>
        </is>
      </c>
      <c r="F5" s="48" t="inlineStr">
        <is>
          <t>Severity</t>
        </is>
      </c>
      <c r="G5" s="48" t="inlineStr">
        <is>
          <t>Description</t>
        </is>
      </c>
      <c r="H5" s="48" t="inlineStr">
        <is>
          <t>Root Cause Analysis</t>
        </is>
      </c>
      <c r="I5" s="48" t="inlineStr">
        <is>
          <t>CA Required</t>
        </is>
      </c>
      <c r="J5" s="48" t="inlineStr">
        <is>
          <t>Responsible Person</t>
        </is>
      </c>
      <c r="K5" s="48" t="inlineStr">
        <is>
          <t>Target Date</t>
        </is>
      </c>
      <c r="L5" s="48" t="inlineStr">
        <is>
          <t>Actual Completion</t>
        </is>
      </c>
      <c r="M5" s="48" t="inlineStr">
        <is>
          <t>CA Evidence</t>
        </is>
      </c>
      <c r="N5" s="48" t="inlineStr">
        <is>
          <t>Verification Method</t>
        </is>
      </c>
      <c r="O5" s="48" t="inlineStr">
        <is>
          <t>Verified By</t>
        </is>
      </c>
      <c r="P5" s="48" t="inlineStr">
        <is>
          <t>Verification Date</t>
        </is>
      </c>
      <c r="Q5" s="48" t="inlineStr">
        <is>
          <t>Status</t>
        </is>
      </c>
      <c r="R5" s="48" t="inlineStr">
        <is>
          <t>Effectiveness Review Date</t>
        </is>
      </c>
      <c r="S5" s="48" t="inlineStr">
        <is>
          <t>Date Closed</t>
        </is>
      </c>
      <c r="T5" s="48" t="inlineStr">
        <is>
          <t>Notes</t>
        </is>
      </c>
    </row>
    <row r="6" ht="45" customHeight="1" s="31">
      <c r="A6" s="49" t="inlineStr">
        <is>
          <t>NCR-001</t>
        </is>
      </c>
      <c r="B6" s="50" t="n">
        <v>46043</v>
      </c>
      <c r="C6" s="51" t="inlineStr">
        <is>
          <t>External Audit</t>
        </is>
      </c>
      <c r="D6" s="51" t="inlineStr">
        <is>
          <t>Compliance</t>
        </is>
      </c>
      <c r="E6" s="49" t="inlineStr">
        <is>
          <t>18788 Cl. 4.1 / 28007 Cl. 4.3</t>
        </is>
      </c>
      <c r="F6" s="49" t="inlineStr">
        <is>
          <t>Major</t>
        </is>
      </c>
      <c r="G6" s="51" t="inlineStr">
        <is>
          <t>License to Operate — no formal documentary evidence confirming exemption from Maltese law (S.L. 480.05 / Arms Act). Company legal standing and jurisdictional obligations insufficiently verified.</t>
        </is>
      </c>
      <c r="H6" s="51" t="n"/>
      <c r="I6" s="51" t="inlineStr">
        <is>
          <t>Obtain written confirmation from Maltese government confirming exemption status. File in corporate governance records.</t>
        </is>
      </c>
      <c r="J6" s="49" t="inlineStr">
        <is>
          <t>Legal</t>
        </is>
      </c>
      <c r="K6" s="50" t="n">
        <v>46081</v>
      </c>
      <c r="L6" s="50" t="n"/>
      <c r="M6" s="51" t="n"/>
      <c r="N6" s="51" t="n"/>
      <c r="O6" s="49" t="n"/>
      <c r="P6" s="50" t="n"/>
      <c r="Q6" s="49" t="inlineStr">
        <is>
          <t>In Progress</t>
        </is>
      </c>
      <c r="R6" s="50" t="n"/>
      <c r="S6" s="50" t="n"/>
      <c r="T6" s="51" t="inlineStr">
        <is>
          <t>Shell Finding F1. Request made via company secretary, escalated. Awaiting Malta response.</t>
        </is>
      </c>
    </row>
    <row r="7" ht="45" customHeight="1" s="31">
      <c r="A7" s="49" t="inlineStr">
        <is>
          <t>NCR-002</t>
        </is>
      </c>
      <c r="B7" s="50" t="n">
        <v>46043</v>
      </c>
      <c r="C7" s="51" t="inlineStr">
        <is>
          <t>External Audit</t>
        </is>
      </c>
      <c r="D7" s="51" t="inlineStr">
        <is>
          <t>Compliance</t>
        </is>
      </c>
      <c r="E7" s="49" t="inlineStr">
        <is>
          <t>45001 Cl. 6.1 / 18788 Cl. 6.1</t>
        </is>
      </c>
      <c r="F7" s="49" t="inlineStr">
        <is>
          <t>Major</t>
        </is>
      </c>
      <c r="G7" s="51" t="inlineStr">
        <is>
          <t>Risk Management System — current processes remain informal, inconsistently applied, and lack documented methodology for structured risk management across all operational theatres.</t>
        </is>
      </c>
      <c r="H7" s="51" t="inlineStr">
        <is>
          <t>No standalone risk management procedure existed. Inherited legacy MSP documents were inadequate and not aligned to current ISO requirements.</t>
        </is>
      </c>
      <c r="I7" s="51" t="inlineStr">
        <is>
          <t>Adopt ISO 45001:2018. Develop risk management procedure, risk assessments, training programmes. Complete certification. SM/SEC/PRO/001, SM/INT/DOC/003, SM/HSE/RA/010 (Night Ops) completed 01/04/2026.</t>
        </is>
      </c>
      <c r="J7" s="49" t="inlineStr">
        <is>
          <t>D. Watts (GCD)</t>
        </is>
      </c>
      <c r="K7" s="50" t="n">
        <v>46126</v>
      </c>
      <c r="L7" s="50" t="n"/>
      <c r="M7" s="51" t="inlineStr">
        <is>
          <t>SM/HSE/DOC/001, SM/INT/DOC/002, SM/HSE/REG/001, SM/HSE/POL/001, SM/HSE/PRO/001, SM/HSE/RA/002-010, SM/CAM/BRAG/001-009, SM/SEC/PRO/001, SM/INT/DOC/003, SM/INT/PRO/005 (Control of Records), SM/INT/PRO/006 (Incident &amp; Crisis Mgmt), SM/OPS/SOP/001 + Annexes A-H (IOR SOP suite), SM/OPS/PRO/001 (RUF), SM/OPS/FORM/001-005 (RUF forms), 17 policies signed 02/04/2026, SM/INT/POL/002 (Code of Conduct rebuilt), SM/INT/DOC/004 (Company Profile), SM/INT/PRO/010 (Training and Competence Procedure), SM/OPS/SOP/002 (WAF SEV Operations SOP), SM/OPS/SOP/002-A (WAF Annex A MSLO), SM/SEC/PRO/004 (SEV Approval), SM/SEC/PRO/005 (Supplier Approval SEV), SM/SEC/FORM/001 (SEV Checklist), SM/SEC/FORM/002 (WAF DD Checklist), SM/SEC/DOC/002 (WAF OCIMF Checklist), SM/SEC/PRO/002 v1.1 (DD Response Procedure - IOR + WAF)</t>
        </is>
      </c>
      <c r="N7" s="51" t="n"/>
      <c r="O7" s="49" t="n"/>
      <c r="P7" s="50" t="n"/>
      <c r="Q7" s="49" t="inlineStr">
        <is>
          <t>CA In Progress</t>
        </is>
      </c>
      <c r="R7" s="50" t="n"/>
      <c r="S7" s="50" t="n"/>
      <c r="T7" s="51" t="inlineStr">
        <is>
          <t>Substantial progress. Full management system infrastructure in place: 17 policies, 15+ procedures, IOR + WAF SOP suites, RUF + 5 forms, 14 RAs, 9 BRAGs, risk screening tool, DD portals (IOR + WAF + CSM), OCIMF checklists (IOR + WAF), training courses on LMS. Training rollout and 45001 certification still required. Updated 04/04/2026.</t>
        </is>
      </c>
    </row>
    <row r="8" ht="45" customHeight="1" s="31">
      <c r="A8" s="49" t="inlineStr">
        <is>
          <t>NCR-003</t>
        </is>
      </c>
      <c r="B8" s="50" t="n">
        <v>46043</v>
      </c>
      <c r="C8" s="51" t="inlineStr">
        <is>
          <t>External Audit</t>
        </is>
      </c>
      <c r="D8" s="51" t="inlineStr">
        <is>
          <t>Compliance</t>
        </is>
      </c>
      <c r="E8" s="49" t="inlineStr">
        <is>
          <t>18788 Cl. 4.3.2 / ICoCA</t>
        </is>
      </c>
      <c r="F8" s="49" t="inlineStr">
        <is>
          <t>Minor</t>
        </is>
      </c>
      <c r="G8" s="51" t="inlineStr">
        <is>
          <t>VPSHR not integrated — procedures, SOPs and training materials do not reference or integrate Voluntary Principles on Security and Human Rights guidance.</t>
        </is>
      </c>
      <c r="H8" s="51" t="n"/>
      <c r="I8" s="51" t="inlineStr">
        <is>
          <t>Update operational procedures, training material and use of force guidelines to incorporate VPSHR. Conduct awareness sessions. Embed in contractor agreements.</t>
        </is>
      </c>
      <c r="J8" s="49" t="inlineStr">
        <is>
          <t>D. Watts (GCD)</t>
        </is>
      </c>
      <c r="K8" s="50" t="n">
        <v>46097</v>
      </c>
      <c r="L8" s="50" t="n"/>
      <c r="M8" s="51" t="inlineStr">
        <is>
          <t>VPSHR integrated into: SM/OPS/SOP/001 (main IOR SOP, Section 4 + abbreviations), SM/OPS/SOP/001-A (Annex A), SM/OPS/SOP/001-H (Annex H), SM/OPS/PRO/001 (Rules on the Use of Force), SM/INT/POL/002 (Code of Conduct - Montreux/VPSHR paragraph), SM/INT/PRO/010 (VPSHR training section).
SM/TRG/DOC/001 — Human Rights PCASP Training (28 slides, 3-layer UDHR/VPSHR/ICoCA framework).
SM/TRG/DOC/002 — Human Rights Staff &amp; Management Training (28 slides, oversight perspective).
SM/INT/REG/008 Training and Competence Matrix — VPSHR course mapped to all personnel.
SM/OPS/SOP/002 (WAF SEV Operations SOP — VPSHR tracked changes), SM/OPS/SOP/002-A (WAF Annex A MSLO — VPSHR tracked changes), SM/SEC/PRO/004 (SEV Approval — VPSHR scope), SM/SEC/PRO/005 (Supplier Approval — VPSHR scope). LMS: SEV Approval course LIVE with WAF ops mandatory.</t>
        </is>
      </c>
      <c r="N8" s="51" t="n"/>
      <c r="O8" s="49" t="n"/>
      <c r="P8" s="50" t="n"/>
      <c r="Q8" s="49" t="inlineStr">
        <is>
          <t>CA Implemented</t>
        </is>
      </c>
      <c r="R8" s="50" t="n"/>
      <c r="S8" s="50" t="n"/>
      <c r="T8" s="51" t="inlineStr">
        <is>
          <t>VPSHR now embedded across IOR + WAF operations: SOPs, annexes, RUF, Code of Conduct, training courses, SEV procedures. LMS mandatory course set for WAF ops. Training rollout in progress via Emergent LMS. Updated 04/04/2026.</t>
        </is>
      </c>
    </row>
    <row r="9" ht="45" customHeight="1" s="31">
      <c r="A9" s="49" t="inlineStr">
        <is>
          <t>NCR-004</t>
        </is>
      </c>
      <c r="B9" s="50" t="n">
        <v>46043</v>
      </c>
      <c r="C9" s="51" t="inlineStr">
        <is>
          <t>External Audit</t>
        </is>
      </c>
      <c r="D9" s="51" t="inlineStr">
        <is>
          <t>Operations</t>
        </is>
      </c>
      <c r="E9" s="49" t="inlineStr">
        <is>
          <t>18788 Cl. 9.1 / 28007 Cl. 4.6</t>
        </is>
      </c>
      <c r="F9" s="49" t="inlineStr">
        <is>
          <t>Minor</t>
        </is>
      </c>
      <c r="G9" s="51" t="inlineStr">
        <is>
          <t>No records of completed IRT drills or formalised after-action reviews. Incident response framework has not been tested under realistic conditions.</t>
        </is>
      </c>
      <c r="H9" s="51" t="n"/>
      <c r="I9" s="51" t="inlineStr">
        <is>
          <t>Conduct full IRT exercise simulating realistic scenario. Document objectives, scenario, performance evaluation, lessons learned and corrective actions.</t>
        </is>
      </c>
      <c r="J9" s="49" t="inlineStr">
        <is>
          <t>D. Watts (GCD)</t>
        </is>
      </c>
      <c r="K9" s="64" t="n">
        <v>46080</v>
      </c>
      <c r="L9" s="64" t="n">
        <v>46120</v>
      </c>
      <c r="M9" s="51" t="inlineStr">
        <is>
          <t>SM/HSE/RPT/001 IRT Exercise Report (Piraeus office fire, 27/03/2026). 7 participants, 4 phases. 4 improvement actions raised as OFI-013 to OFI-016.</t>
        </is>
      </c>
      <c r="N9" s="51" t="n"/>
      <c r="O9" s="49" t="n"/>
      <c r="P9" s="50" t="n"/>
      <c r="Q9" s="49" t="inlineStr">
        <is>
          <t>CA Implemented</t>
        </is>
      </c>
      <c r="R9" s="50" t="n"/>
      <c r="S9" s="50" t="n"/>
      <c r="T9" s="51" t="inlineStr">
        <is>
          <t>Incident and Crisis Management procedure provides framework. IRT exercise completed and documented. Improvement actions tracked via OFI register.</t>
        </is>
      </c>
    </row>
    <row r="10" ht="45" customHeight="1" s="31">
      <c r="A10" s="49" t="inlineStr">
        <is>
          <t>NCR-005</t>
        </is>
      </c>
      <c r="B10" s="50" t="n">
        <v>46105</v>
      </c>
      <c r="C10" s="51" t="inlineStr">
        <is>
          <t>Internal Audit</t>
        </is>
      </c>
      <c r="D10" s="51" t="inlineStr">
        <is>
          <t>Compliance</t>
        </is>
      </c>
      <c r="E10" s="49" t="inlineStr">
        <is>
          <t>45001 Cl. 6.1.1 / 18788 Cl. 6.1</t>
        </is>
      </c>
      <c r="F10" s="49" t="inlineStr">
        <is>
          <t>Minor</t>
        </is>
      </c>
      <c r="G10" s="51" t="inlineStr">
        <is>
          <t>Risk &amp; Opportunity Register outdated and incomplete. Legacy content not updated, post-controls scoring incomplete, no review date column, no formal quarterly review conducted.</t>
        </is>
      </c>
      <c r="H10" s="51" t="inlineStr">
        <is>
          <t>Register inherited from legacy system without structured overhaul. No defined review cycle or ownership established during transition.</t>
        </is>
      </c>
      <c r="I10" s="51" t="inlineStr">
        <is>
          <t>Overhaul R&amp;O Register — remove legacy content, add current threats (PG conflict, Hormuz, piracy), complete scoring, add review dates, conduct first quarterly review.</t>
        </is>
      </c>
      <c r="J10" s="49" t="inlineStr">
        <is>
          <t>D. Watts (GCD)</t>
        </is>
      </c>
      <c r="K10" s="50" t="n">
        <v>46133</v>
      </c>
      <c r="L10" s="50" t="n"/>
      <c r="M10" s="51" t="n"/>
      <c r="N10" s="51" t="n"/>
      <c r="O10" s="49" t="n"/>
      <c r="P10" s="50" t="n"/>
      <c r="Q10" s="49" t="inlineStr">
        <is>
          <t>Open</t>
        </is>
      </c>
      <c r="R10" s="50" t="n"/>
      <c r="S10" s="50" t="n"/>
      <c r="T10" s="51" t="inlineStr">
        <is>
          <t>IA-26-002 F-002 (Minor NC). CMP-003.
S14 30/03/2026: COTO (SM/INT/DOC/002) completed with PESTLE/SWOT covering all systems. Feeds into risk register rebuild.</t>
        </is>
      </c>
    </row>
    <row r="11" ht="45" customHeight="1" s="31">
      <c r="A11" s="49" t="inlineStr">
        <is>
          <t>NCR-006</t>
        </is>
      </c>
      <c r="B11" s="50" t="n">
        <v>46105</v>
      </c>
      <c r="C11" s="51" t="inlineStr">
        <is>
          <t>Internal Audit</t>
        </is>
      </c>
      <c r="D11" s="51" t="inlineStr">
        <is>
          <t>Compliance</t>
        </is>
      </c>
      <c r="E11" s="49" t="inlineStr">
        <is>
          <t>45001 Cl. 8.1.3 / 9001 Cl. 6.3</t>
        </is>
      </c>
      <c r="F11" s="49" t="inlineStr">
        <is>
          <t>Minor</t>
        </is>
      </c>
      <c r="G11" s="51" t="inlineStr">
        <is>
          <t>Management of Change procedure (MSP-B-09) inadequate — inherited document does not cover SOP changes, audit-driven changes, or provide structured impact assessment methodology.</t>
        </is>
      </c>
      <c r="H11" s="51" t="inlineStr">
        <is>
          <t>Legacy procedure inherited without review. Not updated to reflect current operational scope or ISO requirements.</t>
        </is>
      </c>
      <c r="I11" s="51" t="inlineStr">
        <is>
          <t>Rebuild MoC procedure from ground up. Cover change request/approval, impact assessment, implementation planning, communication, review and close-out. Withdraw MSP-B-09.</t>
        </is>
      </c>
      <c r="J11" s="49" t="inlineStr">
        <is>
          <t>D. Watts (GCD)</t>
        </is>
      </c>
      <c r="K11" s="50" t="n">
        <v>46126</v>
      </c>
      <c r="L11" s="50" t="n"/>
      <c r="M11" s="51" t="n"/>
      <c r="N11" s="51" t="n"/>
      <c r="O11" s="49" t="n"/>
      <c r="P11" s="50" t="n"/>
      <c r="Q11" s="49" t="inlineStr">
        <is>
          <t>Open</t>
        </is>
      </c>
      <c r="R11" s="50" t="n"/>
      <c r="S11" s="50" t="n"/>
      <c r="T11" s="51" t="inlineStr">
        <is>
          <t>IA-26-002 F-003 (Minor NC). Also Shell OFI1. CMP-002.</t>
        </is>
      </c>
    </row>
    <row r="12" ht="45" customHeight="1" s="31">
      <c r="A12" s="49" t="inlineStr">
        <is>
          <t>NCR-007</t>
        </is>
      </c>
      <c r="B12" s="50" t="n">
        <v>46105</v>
      </c>
      <c r="C12" s="51" t="inlineStr">
        <is>
          <t>Internal Audit</t>
        </is>
      </c>
      <c r="D12" s="51" t="inlineStr">
        <is>
          <t>Compliance</t>
        </is>
      </c>
      <c r="E12" s="49" t="inlineStr">
        <is>
          <t>45001 Cl. 6.1.3 / 18788 Cl. 4.1</t>
        </is>
      </c>
      <c r="F12" s="49" t="inlineStr">
        <is>
          <t>Minor</t>
        </is>
      </c>
      <c r="G12" s="51" t="inlineStr">
        <is>
          <t>Legal Requirements Register inadequate — does not reflect full Seagull Maritime context including flag state requirements, Malta licensing, PCASP regulations, port state requirements, UAE labour law.</t>
        </is>
      </c>
      <c r="H12" s="51" t="inlineStr">
        <is>
          <t>Monday.com interim version used as placeholder. Not rebuilt to full standard during management system transition.</t>
        </is>
      </c>
      <c r="I12" s="51" t="inlineStr">
        <is>
          <t>Rebuild legal requirements register with full context. Build flag state register. Build external standards register. Create legal compliance procedure and ERS procedure.</t>
        </is>
      </c>
      <c r="J12" s="49" t="inlineStr">
        <is>
          <t>D. Watts (GCD)</t>
        </is>
      </c>
      <c r="K12" s="50" t="n">
        <v>46133</v>
      </c>
      <c r="L12" s="50" t="inlineStr">
        <is>
          <t>01/04/2026</t>
        </is>
      </c>
      <c r="M12" s="51" t="inlineStr">
        <is>
          <t>SM/HSE/REG/002 v1.0, SM/SEC/REG/001 v1.0, SM/INT/REG/007 v1.0, SM/HSE/PRO/002 v1.0, SM/INT/PRO/004 v1.0</t>
        </is>
      </c>
      <c r="N12" s="51" t="n"/>
      <c r="O12" s="49" t="n"/>
      <c r="P12" s="50" t="n"/>
      <c r="Q12" s="49" t="inlineStr">
        <is>
          <t>CA Implemented</t>
        </is>
      </c>
      <c r="R12" s="50" t="n"/>
      <c r="S12" s="50" t="n"/>
      <c r="T12" s="51" t="inlineStr">
        <is>
          <t>IA-26-002 F-004 (Minor NC). Supports Shell F1. CMP-004.</t>
        </is>
      </c>
    </row>
    <row r="13" ht="45" customHeight="1" s="31">
      <c r="A13" s="49" t="inlineStr">
        <is>
          <t>NCR-008</t>
        </is>
      </c>
      <c r="B13" s="50" t="n">
        <v>46043</v>
      </c>
      <c r="C13" s="51" t="inlineStr">
        <is>
          <t>External Audit</t>
        </is>
      </c>
      <c r="D13" s="51" t="inlineStr">
        <is>
          <t>Compliance</t>
        </is>
      </c>
      <c r="E13" s="49" t="inlineStr">
        <is>
          <t>18788 Cl. 5.2</t>
        </is>
      </c>
      <c r="F13" s="49" t="inlineStr">
        <is>
          <t>Minor</t>
        </is>
      </c>
      <c r="G13" s="51" t="inlineStr">
        <is>
          <t>No formal media and social media policy — staff without clear guidance on media engagement, online behaviour or incident-related communication protocols.</t>
        </is>
      </c>
      <c r="H13" s="51" t="inlineStr">
        <is>
          <t>Policy gap — no media or social media policy had been developed. General awareness existed but no formal document.</t>
        </is>
      </c>
      <c r="I13" s="51" t="inlineStr">
        <is>
          <t>Draft, approve and issue media and social media policy. Create online awareness training course for all staff.</t>
        </is>
      </c>
      <c r="J13" s="49" t="inlineStr">
        <is>
          <t>D. Watts (GCD)</t>
        </is>
      </c>
      <c r="K13" s="50" t="n">
        <v>46064</v>
      </c>
      <c r="L13" s="50" t="n"/>
      <c r="M13" s="51" t="inlineStr">
        <is>
          <t>SM POL Media and Social Media Policy issued</t>
        </is>
      </c>
      <c r="N13" s="51" t="inlineStr">
        <is>
          <t>Document review</t>
        </is>
      </c>
      <c r="O13" s="49" t="inlineStr">
        <is>
          <t>D. Watts</t>
        </is>
      </c>
      <c r="P13" s="50" t="n">
        <v>46065</v>
      </c>
      <c r="Q13" s="49" t="inlineStr">
        <is>
          <t>In Progress</t>
        </is>
      </c>
      <c r="R13" s="50" t="n">
        <v>46093</v>
      </c>
      <c r="S13" s="50" t="n"/>
      <c r="T13" s="51" t="inlineStr">
        <is>
          <t>Shell F3. Draft policy exists but needs rebuilding in new template format and formal release.</t>
        </is>
      </c>
    </row>
    <row r="14" ht="45" customHeight="1" s="31">
      <c r="A14" s="49" t="inlineStr">
        <is>
          <t>NCR-009</t>
        </is>
      </c>
      <c r="B14" s="50" t="n">
        <v>46043</v>
      </c>
      <c r="C14" s="51" t="inlineStr">
        <is>
          <t>External Audit</t>
        </is>
      </c>
      <c r="D14" s="51" t="inlineStr">
        <is>
          <t>Compliance</t>
        </is>
      </c>
      <c r="E14" s="49" t="inlineStr">
        <is>
          <t>18788 Cl. 4.1</t>
        </is>
      </c>
      <c r="F14" s="49" t="inlineStr">
        <is>
          <t>Minor</t>
        </is>
      </c>
      <c r="G14" s="51" t="inlineStr">
        <is>
          <t>Personal insurance documentation lists wrong legal entity (Seagull UK instead of Malta) — ambiguity about validity of employee insurance coverage.</t>
        </is>
      </c>
      <c r="H14" s="51" t="inlineStr">
        <is>
          <t>Insurance policy documentation not updated when operational entity changed jurisdiction.</t>
        </is>
      </c>
      <c r="I14" s="51" t="inlineStr">
        <is>
          <t>Request update to personal insurance policy from underwriters reflecting correct Malta entity.</t>
        </is>
      </c>
      <c r="J14" s="49" t="inlineStr">
        <is>
          <t>Legal</t>
        </is>
      </c>
      <c r="K14" s="50" t="n">
        <v>46059</v>
      </c>
      <c r="L14" s="50" t="n">
        <v>46059</v>
      </c>
      <c r="M14" s="51" t="inlineStr">
        <is>
          <t>Updated insurance documentation received and filed</t>
        </is>
      </c>
      <c r="N14" s="51" t="inlineStr">
        <is>
          <t>Document review</t>
        </is>
      </c>
      <c r="O14" s="49" t="inlineStr">
        <is>
          <t>D. Watts</t>
        </is>
      </c>
      <c r="P14" s="50" t="n">
        <v>46060</v>
      </c>
      <c r="Q14" s="49" t="inlineStr">
        <is>
          <t>Closed</t>
        </is>
      </c>
      <c r="R14" s="50" t="n">
        <v>46088</v>
      </c>
      <c r="S14" s="50" t="n">
        <v>46088</v>
      </c>
      <c r="T14" s="51" t="inlineStr">
        <is>
          <t>Shell F4. Updated policy received, provided to Shell, filed in DD folders.</t>
        </is>
      </c>
    </row>
    <row r="15" ht="45" customHeight="1" s="31">
      <c r="A15" s="49" t="inlineStr">
        <is>
          <t>NCR-010</t>
        </is>
      </c>
      <c r="B15" s="50" t="n">
        <v>46043</v>
      </c>
      <c r="C15" s="51" t="inlineStr">
        <is>
          <t>External Audit</t>
        </is>
      </c>
      <c r="D15" s="51" t="inlineStr">
        <is>
          <t>Operations</t>
        </is>
      </c>
      <c r="E15" s="49" t="inlineStr">
        <is>
          <t>18788 Cl. 4.3 / 28007 Cl. 4.3</t>
        </is>
      </c>
      <c r="F15" s="49" t="inlineStr">
        <is>
          <t>Minor</t>
        </is>
      </c>
      <c r="G15" s="51" t="inlineStr">
        <is>
          <t>No formalised MOU with Nigerian Navy for armed operations in Nigerian territorial waters — Shell requirement for PMSC SEV operations.</t>
        </is>
      </c>
      <c r="H15" s="51" t="inlineStr">
        <is>
          <t>MOU process with Nigerian Navy was ongoing but not formalised at time of audit.</t>
        </is>
      </c>
      <c r="I15" s="51" t="inlineStr">
        <is>
          <t>Finalise and obtain officially endorsed MOU from Nigerian Navy. File in compliance documentation. Review training requirements.</t>
        </is>
      </c>
      <c r="J15" s="49" t="inlineStr">
        <is>
          <t>CEO / WAF Ops</t>
        </is>
      </c>
      <c r="K15" s="50" t="n">
        <v>46059</v>
      </c>
      <c r="L15" s="50" t="n">
        <v>46059</v>
      </c>
      <c r="M15" s="51" t="inlineStr">
        <is>
          <t>MOU received and filed in WAF DD folder</t>
        </is>
      </c>
      <c r="N15" s="51" t="inlineStr">
        <is>
          <t>Document review</t>
        </is>
      </c>
      <c r="O15" s="49" t="inlineStr">
        <is>
          <t>D. Watts</t>
        </is>
      </c>
      <c r="P15" s="50" t="n">
        <v>46060</v>
      </c>
      <c r="Q15" s="49" t="inlineStr">
        <is>
          <t>Closed</t>
        </is>
      </c>
      <c r="R15" s="50" t="n">
        <v>46088</v>
      </c>
      <c r="S15" s="50" t="n">
        <v>46088</v>
      </c>
      <c r="T15" s="51" t="inlineStr">
        <is>
          <t>Shell F5. MOU received, provided to Shell, filed. Training review ongoing (NCR-004 related).</t>
        </is>
      </c>
    </row>
    <row r="16" ht="15" customHeight="1" s="31">
      <c r="A16" s="49" t="n"/>
      <c r="B16" s="50" t="n"/>
      <c r="C16" s="51" t="n"/>
      <c r="D16" s="51" t="n"/>
      <c r="E16" s="49" t="n"/>
      <c r="F16" s="49" t="n"/>
      <c r="G16" s="51" t="n"/>
      <c r="H16" s="51" t="n"/>
      <c r="I16" s="51" t="n"/>
      <c r="J16" s="49" t="n"/>
      <c r="K16" s="50" t="n"/>
      <c r="L16" s="50" t="n"/>
      <c r="M16" s="51" t="n"/>
      <c r="N16" s="51" t="n"/>
      <c r="O16" s="49" t="n"/>
      <c r="P16" s="50" t="n"/>
      <c r="Q16" s="49" t="n"/>
      <c r="R16" s="50" t="n"/>
      <c r="S16" s="50" t="n"/>
      <c r="T16" s="51" t="n"/>
    </row>
    <row r="17" ht="15" customHeight="1" s="31">
      <c r="A17" s="49" t="n"/>
      <c r="B17" s="50" t="n"/>
      <c r="C17" s="51" t="n"/>
      <c r="D17" s="51" t="n"/>
      <c r="E17" s="49" t="n"/>
      <c r="F17" s="49" t="n"/>
      <c r="G17" s="51" t="n"/>
      <c r="H17" s="51" t="n"/>
      <c r="I17" s="51" t="n"/>
      <c r="J17" s="49" t="n"/>
      <c r="K17" s="50" t="n"/>
      <c r="L17" s="50" t="n"/>
      <c r="M17" s="51" t="n"/>
      <c r="N17" s="51" t="n"/>
      <c r="O17" s="49" t="n"/>
      <c r="P17" s="50" t="n"/>
      <c r="Q17" s="49" t="n"/>
      <c r="R17" s="50" t="n"/>
      <c r="S17" s="50" t="n"/>
      <c r="T17" s="51" t="n"/>
    </row>
    <row r="18" ht="15" customHeight="1" s="31">
      <c r="A18" s="49" t="n"/>
      <c r="B18" s="50" t="n"/>
      <c r="C18" s="51" t="n"/>
      <c r="D18" s="51" t="n"/>
      <c r="E18" s="49" t="n"/>
      <c r="F18" s="49" t="n"/>
      <c r="G18" s="51" t="n"/>
      <c r="H18" s="51" t="n"/>
      <c r="I18" s="51" t="n"/>
      <c r="J18" s="49" t="n"/>
      <c r="K18" s="50" t="n"/>
      <c r="L18" s="50" t="n"/>
      <c r="M18" s="51" t="n"/>
      <c r="N18" s="51" t="n"/>
      <c r="O18" s="49" t="n"/>
      <c r="P18" s="50" t="n"/>
      <c r="Q18" s="49" t="n"/>
      <c r="R18" s="50" t="n"/>
      <c r="S18" s="50" t="n"/>
      <c r="T18" s="51" t="n"/>
    </row>
    <row r="19" ht="15" customHeight="1" s="31">
      <c r="A19" s="49" t="n"/>
      <c r="B19" s="50" t="n"/>
      <c r="C19" s="51" t="n"/>
      <c r="D19" s="51" t="n"/>
      <c r="E19" s="49" t="n"/>
      <c r="F19" s="49" t="n"/>
      <c r="G19" s="51" t="n"/>
      <c r="H19" s="51" t="n"/>
      <c r="I19" s="51" t="n"/>
      <c r="J19" s="49" t="n"/>
      <c r="K19" s="50" t="n"/>
      <c r="L19" s="50" t="n"/>
      <c r="M19" s="51" t="n"/>
      <c r="N19" s="51" t="n"/>
      <c r="O19" s="49" t="n"/>
      <c r="P19" s="50" t="n"/>
      <c r="Q19" s="49" t="n"/>
      <c r="R19" s="50" t="n"/>
      <c r="S19" s="50" t="n"/>
      <c r="T19" s="51" t="n"/>
    </row>
    <row r="20" ht="15" customHeight="1" s="31">
      <c r="A20" s="49" t="n"/>
      <c r="B20" s="50" t="n"/>
      <c r="C20" s="51" t="n"/>
      <c r="D20" s="51" t="n"/>
      <c r="E20" s="49" t="n"/>
      <c r="F20" s="49" t="n"/>
      <c r="G20" s="51" t="n"/>
      <c r="H20" s="51" t="n"/>
      <c r="I20" s="51" t="n"/>
      <c r="J20" s="49" t="n"/>
      <c r="K20" s="50" t="n"/>
      <c r="L20" s="50" t="n"/>
      <c r="M20" s="51" t="n"/>
      <c r="N20" s="51" t="n"/>
      <c r="O20" s="49" t="n"/>
      <c r="P20" s="50" t="n"/>
      <c r="Q20" s="49" t="n"/>
      <c r="R20" s="50" t="n"/>
      <c r="S20" s="50" t="n"/>
      <c r="T20" s="51" t="n"/>
    </row>
    <row r="21" ht="15" customHeight="1" s="31">
      <c r="A21" s="49" t="n"/>
      <c r="B21" s="50" t="n"/>
      <c r="C21" s="51" t="n"/>
      <c r="D21" s="51" t="n"/>
      <c r="E21" s="49" t="n"/>
      <c r="F21" s="49" t="n"/>
      <c r="G21" s="51" t="n"/>
      <c r="H21" s="51" t="n"/>
      <c r="I21" s="51" t="n"/>
      <c r="J21" s="49" t="n"/>
      <c r="K21" s="50" t="n"/>
      <c r="L21" s="50" t="n"/>
      <c r="M21" s="51" t="n"/>
      <c r="N21" s="51" t="n"/>
      <c r="O21" s="49" t="n"/>
      <c r="P21" s="50" t="n"/>
      <c r="Q21" s="49" t="n"/>
      <c r="R21" s="50" t="n"/>
      <c r="S21" s="50" t="n"/>
      <c r="T21" s="51" t="n"/>
    </row>
    <row r="22" ht="15" customHeight="1" s="31">
      <c r="A22" s="49" t="n"/>
      <c r="B22" s="50" t="n"/>
      <c r="C22" s="51" t="n"/>
      <c r="D22" s="51" t="n"/>
      <c r="E22" s="49" t="n"/>
      <c r="F22" s="49" t="n"/>
      <c r="G22" s="51" t="n"/>
      <c r="H22" s="51" t="n"/>
      <c r="I22" s="51" t="n"/>
      <c r="J22" s="49" t="n"/>
      <c r="K22" s="50" t="n"/>
      <c r="L22" s="50" t="n"/>
      <c r="M22" s="51" t="n"/>
      <c r="N22" s="51" t="n"/>
      <c r="O22" s="49" t="n"/>
      <c r="P22" s="50" t="n"/>
      <c r="Q22" s="49" t="n"/>
      <c r="R22" s="50" t="n"/>
      <c r="S22" s="50" t="n"/>
      <c r="T22" s="51" t="n"/>
    </row>
    <row r="23" ht="15" customHeight="1" s="31">
      <c r="A23" s="49" t="n"/>
      <c r="B23" s="50" t="n"/>
      <c r="C23" s="51" t="n"/>
      <c r="D23" s="51" t="n"/>
      <c r="E23" s="49" t="n"/>
      <c r="F23" s="49" t="n"/>
      <c r="G23" s="51" t="n"/>
      <c r="H23" s="51" t="n"/>
      <c r="I23" s="51" t="n"/>
      <c r="J23" s="49" t="n"/>
      <c r="K23" s="50" t="n"/>
      <c r="L23" s="50" t="n"/>
      <c r="M23" s="51" t="n"/>
      <c r="N23" s="51" t="n"/>
      <c r="O23" s="49" t="n"/>
      <c r="P23" s="50" t="n"/>
      <c r="Q23" s="49" t="n"/>
      <c r="R23" s="50" t="n"/>
      <c r="S23" s="50" t="n"/>
      <c r="T23" s="51" t="n"/>
    </row>
    <row r="24" ht="15" customHeight="1" s="31">
      <c r="A24" s="49" t="n"/>
      <c r="B24" s="50" t="n"/>
      <c r="C24" s="51" t="n"/>
      <c r="D24" s="51" t="n"/>
      <c r="E24" s="49" t="n"/>
      <c r="F24" s="49" t="n"/>
      <c r="G24" s="51" t="n"/>
      <c r="H24" s="51" t="n"/>
      <c r="I24" s="51" t="n"/>
      <c r="J24" s="49" t="n"/>
      <c r="K24" s="50" t="n"/>
      <c r="L24" s="50" t="n"/>
      <c r="M24" s="51" t="n"/>
      <c r="N24" s="51" t="n"/>
      <c r="O24" s="49" t="n"/>
      <c r="P24" s="50" t="n"/>
      <c r="Q24" s="49" t="n"/>
      <c r="R24" s="50" t="n"/>
      <c r="S24" s="50" t="n"/>
      <c r="T24" s="51" t="n"/>
    </row>
    <row r="25" ht="15" customHeight="1" s="31">
      <c r="A25" s="49" t="n"/>
      <c r="B25" s="50" t="n"/>
      <c r="C25" s="51" t="n"/>
      <c r="D25" s="51" t="n"/>
      <c r="E25" s="49" t="n"/>
      <c r="F25" s="49" t="n"/>
      <c r="G25" s="51" t="n"/>
      <c r="H25" s="51" t="n"/>
      <c r="I25" s="51" t="n"/>
      <c r="J25" s="49" t="n"/>
      <c r="K25" s="50" t="n"/>
      <c r="L25" s="50" t="n"/>
      <c r="M25" s="51" t="n"/>
      <c r="N25" s="51" t="n"/>
      <c r="O25" s="49" t="n"/>
      <c r="P25" s="50" t="n"/>
      <c r="Q25" s="49" t="n"/>
      <c r="R25" s="50" t="n"/>
      <c r="S25" s="50" t="n"/>
      <c r="T25" s="51" t="n"/>
    </row>
    <row r="26" ht="15" customHeight="1" s="31">
      <c r="A26" s="49" t="n"/>
      <c r="B26" s="50" t="n"/>
      <c r="C26" s="51" t="n"/>
      <c r="D26" s="51" t="n"/>
      <c r="E26" s="49" t="n"/>
      <c r="F26" s="49" t="n"/>
      <c r="G26" s="51" t="n"/>
      <c r="H26" s="51" t="n"/>
      <c r="I26" s="51" t="n"/>
      <c r="J26" s="49" t="n"/>
      <c r="K26" s="50" t="n"/>
      <c r="L26" s="50" t="n"/>
      <c r="M26" s="51" t="n"/>
      <c r="N26" s="51" t="n"/>
      <c r="O26" s="49" t="n"/>
      <c r="P26" s="50" t="n"/>
      <c r="Q26" s="49" t="n"/>
      <c r="R26" s="50" t="n"/>
      <c r="S26" s="50" t="n"/>
      <c r="T26" s="51" t="n"/>
    </row>
    <row r="27" ht="15" customHeight="1" s="31">
      <c r="A27" s="49" t="n"/>
      <c r="B27" s="50" t="n"/>
      <c r="C27" s="51" t="n"/>
      <c r="D27" s="51" t="n"/>
      <c r="E27" s="49" t="n"/>
      <c r="F27" s="49" t="n"/>
      <c r="G27" s="51" t="n"/>
      <c r="H27" s="51" t="n"/>
      <c r="I27" s="51" t="n"/>
      <c r="J27" s="49" t="n"/>
      <c r="K27" s="50" t="n"/>
      <c r="L27" s="50" t="n"/>
      <c r="M27" s="51" t="n"/>
      <c r="N27" s="51" t="n"/>
      <c r="O27" s="49" t="n"/>
      <c r="P27" s="50" t="n"/>
      <c r="Q27" s="49" t="n"/>
      <c r="R27" s="50" t="n"/>
      <c r="S27" s="50" t="n"/>
      <c r="T27" s="51" t="n"/>
    </row>
    <row r="28" ht="15" customHeight="1" s="31">
      <c r="A28" s="49" t="n"/>
      <c r="B28" s="50" t="n"/>
      <c r="C28" s="51" t="n"/>
      <c r="D28" s="51" t="n"/>
      <c r="E28" s="49" t="n"/>
      <c r="F28" s="49" t="n"/>
      <c r="G28" s="51" t="n"/>
      <c r="H28" s="51" t="n"/>
      <c r="I28" s="51" t="n"/>
      <c r="J28" s="49" t="n"/>
      <c r="K28" s="50" t="n"/>
      <c r="L28" s="50" t="n"/>
      <c r="M28" s="51" t="n"/>
      <c r="N28" s="51" t="n"/>
      <c r="O28" s="49" t="n"/>
      <c r="P28" s="50" t="n"/>
      <c r="Q28" s="49" t="n"/>
      <c r="R28" s="50" t="n"/>
      <c r="S28" s="50" t="n"/>
      <c r="T28" s="51" t="n"/>
    </row>
    <row r="29" ht="15" customHeight="1" s="31">
      <c r="A29" s="49" t="n"/>
      <c r="B29" s="50" t="n"/>
      <c r="C29" s="51" t="n"/>
      <c r="D29" s="51" t="n"/>
      <c r="E29" s="49" t="n"/>
      <c r="F29" s="49" t="n"/>
      <c r="G29" s="51" t="n"/>
      <c r="H29" s="51" t="n"/>
      <c r="I29" s="51" t="n"/>
      <c r="J29" s="49" t="n"/>
      <c r="K29" s="50" t="n"/>
      <c r="L29" s="50" t="n"/>
      <c r="M29" s="51" t="n"/>
      <c r="N29" s="51" t="n"/>
      <c r="O29" s="49" t="n"/>
      <c r="P29" s="50" t="n"/>
      <c r="Q29" s="49" t="n"/>
      <c r="R29" s="50" t="n"/>
      <c r="S29" s="50" t="n"/>
      <c r="T29" s="51" t="n"/>
    </row>
    <row r="30" ht="15" customHeight="1" s="31">
      <c r="A30" s="49" t="n"/>
      <c r="B30" s="50" t="n"/>
      <c r="C30" s="51" t="n"/>
      <c r="D30" s="51" t="n"/>
      <c r="E30" s="49" t="n"/>
      <c r="F30" s="49" t="n"/>
      <c r="G30" s="51" t="n"/>
      <c r="H30" s="51" t="n"/>
      <c r="I30" s="51" t="n"/>
      <c r="J30" s="49" t="n"/>
      <c r="K30" s="50" t="n"/>
      <c r="L30" s="50" t="n"/>
      <c r="M30" s="51" t="n"/>
      <c r="N30" s="51" t="n"/>
      <c r="O30" s="49" t="n"/>
      <c r="P30" s="50" t="n"/>
      <c r="Q30" s="49" t="n"/>
      <c r="R30" s="50" t="n"/>
      <c r="S30" s="50" t="n"/>
      <c r="T30" s="51" t="n"/>
    </row>
    <row r="31" ht="15" customHeight="1" s="31">
      <c r="A31" s="49" t="n"/>
      <c r="B31" s="50" t="n"/>
      <c r="C31" s="51" t="n"/>
      <c r="D31" s="51" t="n"/>
      <c r="E31" s="49" t="n"/>
      <c r="F31" s="49" t="n"/>
      <c r="G31" s="51" t="n"/>
      <c r="H31" s="51" t="n"/>
      <c r="I31" s="51" t="n"/>
      <c r="J31" s="49" t="n"/>
      <c r="K31" s="50" t="n"/>
      <c r="L31" s="50" t="n"/>
      <c r="M31" s="51" t="n"/>
      <c r="N31" s="51" t="n"/>
      <c r="O31" s="49" t="n"/>
      <c r="P31" s="50" t="n"/>
      <c r="Q31" s="49" t="n"/>
      <c r="R31" s="50" t="n"/>
      <c r="S31" s="50" t="n"/>
      <c r="T31" s="51" t="n"/>
    </row>
    <row r="32" ht="15" customHeight="1" s="31">
      <c r="A32" s="49" t="n"/>
      <c r="B32" s="50" t="n"/>
      <c r="C32" s="51" t="n"/>
      <c r="D32" s="51" t="n"/>
      <c r="E32" s="49" t="n"/>
      <c r="F32" s="49" t="n"/>
      <c r="G32" s="51" t="n"/>
      <c r="H32" s="51" t="n"/>
      <c r="I32" s="51" t="n"/>
      <c r="J32" s="49" t="n"/>
      <c r="K32" s="50" t="n"/>
      <c r="L32" s="50" t="n"/>
      <c r="M32" s="51" t="n"/>
      <c r="N32" s="51" t="n"/>
      <c r="O32" s="49" t="n"/>
      <c r="P32" s="50" t="n"/>
      <c r="Q32" s="49" t="n"/>
      <c r="R32" s="50" t="n"/>
      <c r="S32" s="50" t="n"/>
      <c r="T32" s="51" t="n"/>
    </row>
    <row r="33" ht="15" customHeight="1" s="31">
      <c r="A33" s="49" t="n"/>
      <c r="B33" s="50" t="n"/>
      <c r="C33" s="51" t="n"/>
      <c r="D33" s="51" t="n"/>
      <c r="E33" s="49" t="n"/>
      <c r="F33" s="49" t="n"/>
      <c r="G33" s="51" t="n"/>
      <c r="H33" s="51" t="n"/>
      <c r="I33" s="51" t="n"/>
      <c r="J33" s="49" t="n"/>
      <c r="K33" s="50" t="n"/>
      <c r="L33" s="50" t="n"/>
      <c r="M33" s="51" t="n"/>
      <c r="N33" s="51" t="n"/>
      <c r="O33" s="49" t="n"/>
      <c r="P33" s="50" t="n"/>
      <c r="Q33" s="49" t="n"/>
      <c r="R33" s="50" t="n"/>
      <c r="S33" s="50" t="n"/>
      <c r="T33" s="51" t="n"/>
    </row>
    <row r="34" ht="15" customHeight="1" s="31">
      <c r="A34" s="49" t="n"/>
      <c r="B34" s="50" t="n"/>
      <c r="C34" s="51" t="n"/>
      <c r="D34" s="51" t="n"/>
      <c r="E34" s="49" t="n"/>
      <c r="F34" s="49" t="n"/>
      <c r="G34" s="51" t="n"/>
      <c r="H34" s="51" t="n"/>
      <c r="I34" s="51" t="n"/>
      <c r="J34" s="49" t="n"/>
      <c r="K34" s="50" t="n"/>
      <c r="L34" s="50" t="n"/>
      <c r="M34" s="51" t="n"/>
      <c r="N34" s="51" t="n"/>
      <c r="O34" s="49" t="n"/>
      <c r="P34" s="50" t="n"/>
      <c r="Q34" s="49" t="n"/>
      <c r="R34" s="50" t="n"/>
      <c r="S34" s="50" t="n"/>
      <c r="T34" s="51" t="n"/>
    </row>
    <row r="35" ht="15" customHeight="1" s="31">
      <c r="A35" s="49" t="n"/>
      <c r="B35" s="50" t="n"/>
      <c r="C35" s="51" t="n"/>
      <c r="D35" s="51" t="n"/>
      <c r="E35" s="49" t="n"/>
      <c r="F35" s="49" t="n"/>
      <c r="G35" s="51" t="n"/>
      <c r="H35" s="51" t="n"/>
      <c r="I35" s="51" t="n"/>
      <c r="J35" s="49" t="n"/>
      <c r="K35" s="50" t="n"/>
      <c r="L35" s="50" t="n"/>
      <c r="M35" s="51" t="n"/>
      <c r="N35" s="51" t="n"/>
      <c r="O35" s="49" t="n"/>
      <c r="P35" s="50" t="n"/>
      <c r="Q35" s="49" t="n"/>
      <c r="R35" s="50" t="n"/>
      <c r="S35" s="50" t="n"/>
      <c r="T35" s="51" t="n"/>
    </row>
    <row r="36" ht="15" customHeight="1" s="31">
      <c r="A36" s="49" t="n"/>
      <c r="B36" s="50" t="n"/>
      <c r="C36" s="51" t="n"/>
      <c r="D36" s="51" t="n"/>
      <c r="E36" s="49" t="n"/>
      <c r="F36" s="49" t="n"/>
      <c r="G36" s="51" t="n"/>
      <c r="H36" s="51" t="n"/>
      <c r="I36" s="51" t="n"/>
      <c r="J36" s="49" t="n"/>
      <c r="K36" s="50" t="n"/>
      <c r="L36" s="50" t="n"/>
      <c r="M36" s="51" t="n"/>
      <c r="N36" s="51" t="n"/>
      <c r="O36" s="49" t="n"/>
      <c r="P36" s="50" t="n"/>
      <c r="Q36" s="49" t="n"/>
      <c r="R36" s="50" t="n"/>
      <c r="S36" s="50" t="n"/>
      <c r="T36" s="51" t="n"/>
    </row>
    <row r="37" ht="15" customHeight="1" s="31">
      <c r="A37" s="49" t="n"/>
      <c r="B37" s="50" t="n"/>
      <c r="C37" s="51" t="n"/>
      <c r="D37" s="51" t="n"/>
      <c r="E37" s="49" t="n"/>
      <c r="F37" s="49" t="n"/>
      <c r="G37" s="51" t="n"/>
      <c r="H37" s="51" t="n"/>
      <c r="I37" s="51" t="n"/>
      <c r="J37" s="49" t="n"/>
      <c r="K37" s="50" t="n"/>
      <c r="L37" s="50" t="n"/>
      <c r="M37" s="51" t="n"/>
      <c r="N37" s="51" t="n"/>
      <c r="O37" s="49" t="n"/>
      <c r="P37" s="50" t="n"/>
      <c r="Q37" s="49" t="n"/>
      <c r="R37" s="50" t="n"/>
      <c r="S37" s="50" t="n"/>
      <c r="T37" s="51" t="n"/>
    </row>
    <row r="38" ht="15" customHeight="1" s="31">
      <c r="A38" s="49" t="n"/>
      <c r="B38" s="50" t="n"/>
      <c r="C38" s="51" t="n"/>
      <c r="D38" s="51" t="n"/>
      <c r="E38" s="49" t="n"/>
      <c r="F38" s="49" t="n"/>
      <c r="G38" s="51" t="n"/>
      <c r="H38" s="51" t="n"/>
      <c r="I38" s="51" t="n"/>
      <c r="J38" s="49" t="n"/>
      <c r="K38" s="50" t="n"/>
      <c r="L38" s="50" t="n"/>
      <c r="M38" s="51" t="n"/>
      <c r="N38" s="51" t="n"/>
      <c r="O38" s="49" t="n"/>
      <c r="P38" s="50" t="n"/>
      <c r="Q38" s="49" t="n"/>
      <c r="R38" s="50" t="n"/>
      <c r="S38" s="50" t="n"/>
      <c r="T38" s="51" t="n"/>
    </row>
    <row r="39" ht="15" customHeight="1" s="31">
      <c r="A39" s="49" t="n"/>
      <c r="B39" s="50" t="n"/>
      <c r="C39" s="51" t="n"/>
      <c r="D39" s="51" t="n"/>
      <c r="E39" s="49" t="n"/>
      <c r="F39" s="49" t="n"/>
      <c r="G39" s="51" t="n"/>
      <c r="H39" s="51" t="n"/>
      <c r="I39" s="51" t="n"/>
      <c r="J39" s="49" t="n"/>
      <c r="K39" s="50" t="n"/>
      <c r="L39" s="50" t="n"/>
      <c r="M39" s="51" t="n"/>
      <c r="N39" s="51" t="n"/>
      <c r="O39" s="49" t="n"/>
      <c r="P39" s="50" t="n"/>
      <c r="Q39" s="49" t="n"/>
      <c r="R39" s="50" t="n"/>
      <c r="S39" s="50" t="n"/>
      <c r="T39" s="51" t="n"/>
    </row>
    <row r="40" ht="15" customHeight="1" s="31">
      <c r="A40" s="49" t="n"/>
      <c r="B40" s="50" t="n"/>
      <c r="C40" s="51" t="n"/>
      <c r="D40" s="51" t="n"/>
      <c r="E40" s="49" t="n"/>
      <c r="F40" s="49" t="n"/>
      <c r="G40" s="51" t="n"/>
      <c r="H40" s="51" t="n"/>
      <c r="I40" s="51" t="n"/>
      <c r="J40" s="49" t="n"/>
      <c r="K40" s="50" t="n"/>
      <c r="L40" s="50" t="n"/>
      <c r="M40" s="51" t="n"/>
      <c r="N40" s="51" t="n"/>
      <c r="O40" s="49" t="n"/>
      <c r="P40" s="50" t="n"/>
      <c r="Q40" s="49" t="n"/>
      <c r="R40" s="50" t="n"/>
      <c r="S40" s="50" t="n"/>
      <c r="T40" s="51" t="n"/>
    </row>
    <row r="41" ht="15" customHeight="1" s="31">
      <c r="A41" s="49" t="n"/>
      <c r="B41" s="50" t="n"/>
      <c r="C41" s="51" t="n"/>
      <c r="D41" s="51" t="n"/>
      <c r="E41" s="49" t="n"/>
      <c r="F41" s="49" t="n"/>
      <c r="G41" s="51" t="n"/>
      <c r="H41" s="51" t="n"/>
      <c r="I41" s="51" t="n"/>
      <c r="J41" s="49" t="n"/>
      <c r="K41" s="50" t="n"/>
      <c r="L41" s="50" t="n"/>
      <c r="M41" s="51" t="n"/>
      <c r="N41" s="51" t="n"/>
      <c r="O41" s="49" t="n"/>
      <c r="P41" s="50" t="n"/>
      <c r="Q41" s="49" t="n"/>
      <c r="R41" s="50" t="n"/>
      <c r="S41" s="50" t="n"/>
      <c r="T41" s="51" t="n"/>
    </row>
    <row r="42" ht="15" customHeight="1" s="31">
      <c r="A42" s="49" t="n"/>
      <c r="B42" s="50" t="n"/>
      <c r="C42" s="51" t="n"/>
      <c r="D42" s="51" t="n"/>
      <c r="E42" s="49" t="n"/>
      <c r="F42" s="49" t="n"/>
      <c r="G42" s="51" t="n"/>
      <c r="H42" s="51" t="n"/>
      <c r="I42" s="51" t="n"/>
      <c r="J42" s="49" t="n"/>
      <c r="K42" s="50" t="n"/>
      <c r="L42" s="50" t="n"/>
      <c r="M42" s="51" t="n"/>
      <c r="N42" s="51" t="n"/>
      <c r="O42" s="49" t="n"/>
      <c r="P42" s="50" t="n"/>
      <c r="Q42" s="49" t="n"/>
      <c r="R42" s="50" t="n"/>
      <c r="S42" s="50" t="n"/>
      <c r="T42" s="51" t="n"/>
    </row>
    <row r="43" ht="15" customHeight="1" s="31">
      <c r="A43" s="49" t="n"/>
      <c r="B43" s="50" t="n"/>
      <c r="C43" s="51" t="n"/>
      <c r="D43" s="51" t="n"/>
      <c r="E43" s="49" t="n"/>
      <c r="F43" s="49" t="n"/>
      <c r="G43" s="51" t="n"/>
      <c r="H43" s="51" t="n"/>
      <c r="I43" s="51" t="n"/>
      <c r="J43" s="49" t="n"/>
      <c r="K43" s="50" t="n"/>
      <c r="L43" s="50" t="n"/>
      <c r="M43" s="51" t="n"/>
      <c r="N43" s="51" t="n"/>
      <c r="O43" s="49" t="n"/>
      <c r="P43" s="50" t="n"/>
      <c r="Q43" s="49" t="n"/>
      <c r="R43" s="50" t="n"/>
      <c r="S43" s="50" t="n"/>
      <c r="T43" s="51" t="n"/>
    </row>
    <row r="44" ht="15" customHeight="1" s="31">
      <c r="A44" s="49" t="n"/>
      <c r="B44" s="50" t="n"/>
      <c r="C44" s="51" t="n"/>
      <c r="D44" s="51" t="n"/>
      <c r="E44" s="49" t="n"/>
      <c r="F44" s="49" t="n"/>
      <c r="G44" s="51" t="n"/>
      <c r="H44" s="51" t="n"/>
      <c r="I44" s="51" t="n"/>
      <c r="J44" s="49" t="n"/>
      <c r="K44" s="50" t="n"/>
      <c r="L44" s="50" t="n"/>
      <c r="M44" s="51" t="n"/>
      <c r="N44" s="51" t="n"/>
      <c r="O44" s="49" t="n"/>
      <c r="P44" s="50" t="n"/>
      <c r="Q44" s="49" t="n"/>
      <c r="R44" s="50" t="n"/>
      <c r="S44" s="50" t="n"/>
      <c r="T44" s="51" t="n"/>
    </row>
    <row r="45" ht="15" customHeight="1" s="31">
      <c r="A45" s="49" t="n"/>
      <c r="B45" s="50" t="n"/>
      <c r="C45" s="51" t="n"/>
      <c r="D45" s="51" t="n"/>
      <c r="E45" s="49" t="n"/>
      <c r="F45" s="49" t="n"/>
      <c r="G45" s="51" t="n"/>
      <c r="H45" s="51" t="n"/>
      <c r="I45" s="51" t="n"/>
      <c r="J45" s="49" t="n"/>
      <c r="K45" s="50" t="n"/>
      <c r="L45" s="50" t="n"/>
      <c r="M45" s="51" t="n"/>
      <c r="N45" s="51" t="n"/>
      <c r="O45" s="49" t="n"/>
      <c r="P45" s="50" t="n"/>
      <c r="Q45" s="49" t="n"/>
      <c r="R45" s="50" t="n"/>
      <c r="S45" s="50" t="n"/>
      <c r="T45" s="51" t="n"/>
    </row>
    <row r="46" ht="15" customHeight="1" s="31">
      <c r="A46" s="49" t="n"/>
      <c r="B46" s="50" t="n"/>
      <c r="C46" s="51" t="n"/>
      <c r="D46" s="51" t="n"/>
      <c r="E46" s="49" t="n"/>
      <c r="F46" s="49" t="n"/>
      <c r="G46" s="51" t="n"/>
      <c r="H46" s="51" t="n"/>
      <c r="I46" s="51" t="n"/>
      <c r="J46" s="49" t="n"/>
      <c r="K46" s="50" t="n"/>
      <c r="L46" s="50" t="n"/>
      <c r="M46" s="51" t="n"/>
      <c r="N46" s="51" t="n"/>
      <c r="O46" s="49" t="n"/>
      <c r="P46" s="50" t="n"/>
      <c r="Q46" s="49" t="n"/>
      <c r="R46" s="50" t="n"/>
      <c r="S46" s="50" t="n"/>
      <c r="T46" s="51" t="n"/>
    </row>
    <row r="47" ht="15" customHeight="1" s="31">
      <c r="A47" s="49" t="n"/>
      <c r="B47" s="50" t="n"/>
      <c r="C47" s="51" t="n"/>
      <c r="D47" s="51" t="n"/>
      <c r="E47" s="49" t="n"/>
      <c r="F47" s="49" t="n"/>
      <c r="G47" s="51" t="n"/>
      <c r="H47" s="51" t="n"/>
      <c r="I47" s="51" t="n"/>
      <c r="J47" s="49" t="n"/>
      <c r="K47" s="50" t="n"/>
      <c r="L47" s="50" t="n"/>
      <c r="M47" s="51" t="n"/>
      <c r="N47" s="51" t="n"/>
      <c r="O47" s="49" t="n"/>
      <c r="P47" s="50" t="n"/>
      <c r="Q47" s="49" t="n"/>
      <c r="R47" s="50" t="n"/>
      <c r="S47" s="50" t="n"/>
      <c r="T47" s="51" t="n"/>
    </row>
    <row r="48" ht="15" customHeight="1" s="31">
      <c r="A48" s="49" t="n"/>
      <c r="B48" s="50" t="n"/>
      <c r="C48" s="51" t="n"/>
      <c r="D48" s="51" t="n"/>
      <c r="E48" s="49" t="n"/>
      <c r="F48" s="49" t="n"/>
      <c r="G48" s="51" t="n"/>
      <c r="H48" s="51" t="n"/>
      <c r="I48" s="51" t="n"/>
      <c r="J48" s="49" t="n"/>
      <c r="K48" s="50" t="n"/>
      <c r="L48" s="50" t="n"/>
      <c r="M48" s="51" t="n"/>
      <c r="N48" s="51" t="n"/>
      <c r="O48" s="49" t="n"/>
      <c r="P48" s="50" t="n"/>
      <c r="Q48" s="49" t="n"/>
      <c r="R48" s="50" t="n"/>
      <c r="S48" s="50" t="n"/>
      <c r="T48" s="51" t="n"/>
    </row>
    <row r="49" ht="15" customHeight="1" s="31">
      <c r="A49" s="49" t="n"/>
      <c r="B49" s="50" t="n"/>
      <c r="C49" s="51" t="n"/>
      <c r="D49" s="51" t="n"/>
      <c r="E49" s="49" t="n"/>
      <c r="F49" s="49" t="n"/>
      <c r="G49" s="51" t="n"/>
      <c r="H49" s="51" t="n"/>
      <c r="I49" s="51" t="n"/>
      <c r="J49" s="49" t="n"/>
      <c r="K49" s="50" t="n"/>
      <c r="L49" s="50" t="n"/>
      <c r="M49" s="51" t="n"/>
      <c r="N49" s="51" t="n"/>
      <c r="O49" s="49" t="n"/>
      <c r="P49" s="50" t="n"/>
      <c r="Q49" s="49" t="n"/>
      <c r="R49" s="50" t="n"/>
      <c r="S49" s="50" t="n"/>
      <c r="T49" s="51" t="n"/>
    </row>
    <row r="50" ht="15" customHeight="1" s="31">
      <c r="A50" s="49" t="n"/>
      <c r="B50" s="50" t="n"/>
      <c r="C50" s="51" t="n"/>
      <c r="D50" s="51" t="n"/>
      <c r="E50" s="49" t="n"/>
      <c r="F50" s="49" t="n"/>
      <c r="G50" s="51" t="n"/>
      <c r="H50" s="51" t="n"/>
      <c r="I50" s="51" t="n"/>
      <c r="J50" s="49" t="n"/>
      <c r="K50" s="50" t="n"/>
      <c r="L50" s="50" t="n"/>
      <c r="M50" s="51" t="n"/>
      <c r="N50" s="51" t="n"/>
      <c r="O50" s="49" t="n"/>
      <c r="P50" s="50" t="n"/>
      <c r="Q50" s="49" t="n"/>
      <c r="R50" s="50" t="n"/>
      <c r="S50" s="50" t="n"/>
      <c r="T50" s="51" t="n"/>
    </row>
    <row r="51" ht="15" customHeight="1" s="31">
      <c r="A51" s="49" t="n"/>
      <c r="B51" s="50" t="n"/>
      <c r="C51" s="51" t="n"/>
      <c r="D51" s="51" t="n"/>
      <c r="E51" s="49" t="n"/>
      <c r="F51" s="49" t="n"/>
      <c r="G51" s="51" t="n"/>
      <c r="H51" s="51" t="n"/>
      <c r="I51" s="51" t="n"/>
      <c r="J51" s="49" t="n"/>
      <c r="K51" s="50" t="n"/>
      <c r="L51" s="50" t="n"/>
      <c r="M51" s="51" t="n"/>
      <c r="N51" s="51" t="n"/>
      <c r="O51" s="49" t="n"/>
      <c r="P51" s="50" t="n"/>
      <c r="Q51" s="49" t="n"/>
      <c r="R51" s="50" t="n"/>
      <c r="S51" s="50" t="n"/>
      <c r="T51" s="51" t="n"/>
    </row>
    <row r="52" ht="15" customHeight="1" s="31">
      <c r="A52" s="49" t="n"/>
      <c r="B52" s="50" t="n"/>
      <c r="C52" s="51" t="n"/>
      <c r="D52" s="51" t="n"/>
      <c r="E52" s="49" t="n"/>
      <c r="F52" s="49" t="n"/>
      <c r="G52" s="51" t="n"/>
      <c r="H52" s="51" t="n"/>
      <c r="I52" s="51" t="n"/>
      <c r="J52" s="49" t="n"/>
      <c r="K52" s="50" t="n"/>
      <c r="L52" s="50" t="n"/>
      <c r="M52" s="51" t="n"/>
      <c r="N52" s="51" t="n"/>
      <c r="O52" s="49" t="n"/>
      <c r="P52" s="50" t="n"/>
      <c r="Q52" s="49" t="n"/>
      <c r="R52" s="50" t="n"/>
      <c r="S52" s="50" t="n"/>
      <c r="T52" s="51" t="n"/>
    </row>
    <row r="53" ht="15" customHeight="1" s="31">
      <c r="A53" s="49" t="n"/>
      <c r="B53" s="50" t="n"/>
      <c r="C53" s="51" t="n"/>
      <c r="D53" s="51" t="n"/>
      <c r="E53" s="49" t="n"/>
      <c r="F53" s="49" t="n"/>
      <c r="G53" s="51" t="n"/>
      <c r="H53" s="51" t="n"/>
      <c r="I53" s="51" t="n"/>
      <c r="J53" s="49" t="n"/>
      <c r="K53" s="50" t="n"/>
      <c r="L53" s="50" t="n"/>
      <c r="M53" s="51" t="n"/>
      <c r="N53" s="51" t="n"/>
      <c r="O53" s="49" t="n"/>
      <c r="P53" s="50" t="n"/>
      <c r="Q53" s="49" t="n"/>
      <c r="R53" s="50" t="n"/>
      <c r="S53" s="50" t="n"/>
      <c r="T53" s="51" t="n"/>
    </row>
    <row r="54" ht="15" customHeight="1" s="31">
      <c r="A54" s="49" t="n"/>
      <c r="B54" s="50" t="n"/>
      <c r="C54" s="51" t="n"/>
      <c r="D54" s="51" t="n"/>
      <c r="E54" s="49" t="n"/>
      <c r="F54" s="49" t="n"/>
      <c r="G54" s="51" t="n"/>
      <c r="H54" s="51" t="n"/>
      <c r="I54" s="51" t="n"/>
      <c r="J54" s="49" t="n"/>
      <c r="K54" s="50" t="n"/>
      <c r="L54" s="50" t="n"/>
      <c r="M54" s="51" t="n"/>
      <c r="N54" s="51" t="n"/>
      <c r="O54" s="49" t="n"/>
      <c r="P54" s="50" t="n"/>
      <c r="Q54" s="49" t="n"/>
      <c r="R54" s="50" t="n"/>
      <c r="S54" s="50" t="n"/>
      <c r="T54" s="51" t="n"/>
    </row>
    <row r="55" ht="15" customHeight="1" s="31">
      <c r="A55" s="49" t="n"/>
      <c r="B55" s="50" t="n"/>
      <c r="C55" s="51" t="n"/>
      <c r="D55" s="51" t="n"/>
      <c r="E55" s="49" t="n"/>
      <c r="F55" s="49" t="n"/>
      <c r="G55" s="51" t="n"/>
      <c r="H55" s="51" t="n"/>
      <c r="I55" s="51" t="n"/>
      <c r="J55" s="49" t="n"/>
      <c r="K55" s="50" t="n"/>
      <c r="L55" s="50" t="n"/>
      <c r="M55" s="51" t="n"/>
      <c r="N55" s="51" t="n"/>
      <c r="O55" s="49" t="n"/>
      <c r="P55" s="50" t="n"/>
      <c r="Q55" s="49" t="n"/>
      <c r="R55" s="50" t="n"/>
      <c r="S55" s="50" t="n"/>
      <c r="T55" s="51" t="n"/>
    </row>
  </sheetData>
  <autoFilter ref="A5:T5"/>
  <mergeCells count="1">
    <mergeCell ref="A4:T4"/>
  </mergeCells>
  <conditionalFormatting sqref="Q6:Q1000">
    <cfRule type="cellIs" rank="0" priority="2" equalAverage="0" operator="equal" aboveAverage="0" dxfId="3" text="" percent="0" bottom="0">
      <formula>"Open"</formula>
    </cfRule>
    <cfRule type="cellIs" rank="0" priority="3" equalAverage="0" operator="equal" aboveAverage="0" dxfId="4" text="" percent="0" bottom="0">
      <formula>"In Progress"</formula>
    </cfRule>
    <cfRule type="cellIs" rank="0" priority="4" equalAverage="0" operator="equal" aboveAverage="0" dxfId="5" text="" percent="0" bottom="0">
      <formula>"CA Implemented"</formula>
    </cfRule>
    <cfRule type="cellIs" rank="0" priority="5" equalAverage="0" operator="equal" aboveAverage="0" dxfId="6" text="" percent="0" bottom="0">
      <formula>"Verified Effective"</formula>
    </cfRule>
    <cfRule type="cellIs" rank="0" priority="6" equalAverage="0" operator="equal" aboveAverage="0" dxfId="7" text="" percent="0" bottom="0">
      <formula>"Closed"</formula>
    </cfRule>
  </conditionalFormatting>
  <conditionalFormatting sqref="F6:F1000">
    <cfRule type="cellIs" rank="0" priority="7" equalAverage="0" operator="equal" aboveAverage="0" dxfId="3" text="" percent="0" bottom="0">
      <formula>"Major"</formula>
    </cfRule>
    <cfRule type="cellIs" rank="0" priority="8" equalAverage="0" operator="equal" aboveAverage="0" dxfId="4" text="" percent="0" bottom="0">
      <formula>"Minor"</formula>
    </cfRule>
  </conditionalFormatting>
  <dataValidations count="2">
    <dataValidation sqref="F6:F1000" showDropDown="0" showInputMessage="0" showErrorMessage="0" allowBlank="1" type="list" errorStyle="stop" operator="between">
      <formula1>"Major,Minor"</formula1>
      <formula2>0</formula2>
    </dataValidation>
    <dataValidation sqref="Q6:Q1000" showDropDown="0" showInputMessage="0" showErrorMessage="0" allowBlank="1" type="list" errorStyle="stop" operator="between">
      <formula1>"Open,In Progress,CA Implemented,Verified Effective,Closed"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3C72"/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customHeight="1" zeroHeight="0" outlineLevelRow="0"/>
  <cols>
    <col width="12" customWidth="1" style="30" min="1" max="2"/>
    <col width="16" customWidth="1" style="30" min="3" max="4"/>
    <col width="14" customWidth="1" style="30" min="5" max="6"/>
    <col width="35" customWidth="1" style="30" min="7" max="7"/>
    <col width="30" customWidth="1" style="30" min="8" max="8"/>
    <col width="16" customWidth="1" style="30" min="9" max="9"/>
    <col width="12" customWidth="1" style="30" min="10" max="10"/>
    <col width="30" customWidth="1" style="30" min="11" max="11"/>
    <col width="12" customWidth="1" style="30" min="12" max="12"/>
    <col width="14" customWidth="1" style="30" min="13" max="13"/>
    <col width="25" customWidth="1" style="30" min="14" max="15"/>
  </cols>
  <sheetData>
    <row r="1" ht="24.75" customHeight="1" s="31"/>
    <row r="2" ht="24.75" customHeight="1" s="31"/>
    <row r="3" ht="24.75" customHeight="1" s="31"/>
    <row r="4" ht="15" customHeight="1" s="31">
      <c r="A4" s="40" t="inlineStr">
        <is>
          <t>OPPORTUNITY FOR IMPROVEMENT REGISTER</t>
        </is>
      </c>
    </row>
    <row r="5" ht="21.75" customHeight="1" s="31">
      <c r="A5" s="48" t="inlineStr">
        <is>
          <t>OFI Ref</t>
        </is>
      </c>
      <c r="B5" s="48" t="inlineStr">
        <is>
          <t>Date Raised</t>
        </is>
      </c>
      <c r="C5" s="48" t="inlineStr">
        <is>
          <t>Source</t>
        </is>
      </c>
      <c r="D5" s="48" t="inlineStr">
        <is>
          <t>Department</t>
        </is>
      </c>
      <c r="E5" s="48" t="inlineStr">
        <is>
          <t>ISO Clause(s)</t>
        </is>
      </c>
      <c r="F5" s="48" t="inlineStr">
        <is>
          <t>Type</t>
        </is>
      </c>
      <c r="G5" s="48" t="inlineStr">
        <is>
          <t>Description</t>
        </is>
      </c>
      <c r="H5" s="48" t="inlineStr">
        <is>
          <t>Recommended Action</t>
        </is>
      </c>
      <c r="I5" s="48" t="inlineStr">
        <is>
          <t>Responsible Person</t>
        </is>
      </c>
      <c r="J5" s="48" t="inlineStr">
        <is>
          <t>Target Date</t>
        </is>
      </c>
      <c r="K5" s="48" t="inlineStr">
        <is>
          <t>Action Taken</t>
        </is>
      </c>
      <c r="L5" s="48" t="inlineStr">
        <is>
          <t>Completion Date</t>
        </is>
      </c>
      <c r="M5" s="48" t="inlineStr">
        <is>
          <t>Status</t>
        </is>
      </c>
      <c r="N5" s="48" t="inlineStr">
        <is>
          <t>Justification (if Not Pursued)</t>
        </is>
      </c>
      <c r="O5" s="48" t="inlineStr">
        <is>
          <t>Notes</t>
        </is>
      </c>
    </row>
    <row r="6" ht="45" customHeight="1" s="31">
      <c r="A6" s="49" t="inlineStr">
        <is>
          <t>OFI-001</t>
        </is>
      </c>
      <c r="B6" s="50" t="n">
        <v>46043</v>
      </c>
      <c r="C6" s="51" t="inlineStr">
        <is>
          <t>External Audit</t>
        </is>
      </c>
      <c r="D6" s="51" t="inlineStr">
        <is>
          <t>Compliance</t>
        </is>
      </c>
      <c r="E6" s="49" t="inlineStr">
        <is>
          <t>45001 Cl. 8.1.3 / 9001 Cl. 6.3</t>
        </is>
      </c>
      <c r="F6" s="49" t="inlineStr">
        <is>
          <t>Process Improvement</t>
        </is>
      </c>
      <c r="G6" s="51" t="inlineStr">
        <is>
          <t>Implement a formal Management of Change process for procedure updates — systematic review, approval and communication.</t>
        </is>
      </c>
      <c r="H6" s="51" t="inlineStr">
        <is>
          <t>Rebuild MoC procedure. See NCR-006.</t>
        </is>
      </c>
      <c r="I6" s="49" t="inlineStr">
        <is>
          <t>D. Watts (GCD)</t>
        </is>
      </c>
      <c r="J6" s="50" t="n">
        <v>46126</v>
      </c>
      <c r="K6" s="51" t="inlineStr">
        <is>
          <t>SM/INT/PRO/013 v1.0 (Management of Change Procedure) + SM/INT/FORM/003 + SM/INT/REG/009 + online change request form. Full suite in For Distribution. S34 — 8 Apr 2026.</t>
        </is>
      </c>
      <c r="L6" s="50" t="n">
        <v>46119</v>
      </c>
      <c r="M6" s="49" t="inlineStr">
        <is>
          <t>Completed</t>
        </is>
      </c>
      <c r="N6" s="51" t="n"/>
      <c r="O6" s="51" t="inlineStr">
        <is>
          <t>Shell OFI1. Linked to NCR-006 and IA-26-002 CMP-002.</t>
        </is>
      </c>
    </row>
    <row r="7" ht="45" customHeight="1" s="31">
      <c r="A7" s="49" t="inlineStr">
        <is>
          <t>OFI-002</t>
        </is>
      </c>
      <c r="B7" s="50" t="n">
        <v>46043</v>
      </c>
      <c r="C7" s="51" t="inlineStr">
        <is>
          <t>External Audit</t>
        </is>
      </c>
      <c r="D7" s="51" t="inlineStr">
        <is>
          <t>Management</t>
        </is>
      </c>
      <c r="E7" s="49" t="inlineStr">
        <is>
          <t>9001 Cl. 9.3 / 45001 Cl. 9.3</t>
        </is>
      </c>
      <c r="F7" s="49" t="inlineStr">
        <is>
          <t>Process Improvement</t>
        </is>
      </c>
      <c r="G7" s="51" t="inlineStr">
        <is>
          <t>Establish structured annual management review cycle to support leadership accountability and continuous improvement.</t>
        </is>
      </c>
      <c r="H7" s="51" t="inlineStr">
        <is>
          <t>Review and update Management Review procedure. Conduct management review incorporating 45001 requirements.</t>
        </is>
      </c>
      <c r="I7" s="49" t="inlineStr">
        <is>
          <t>D. Watts (GCD)</t>
        </is>
      </c>
      <c r="J7" s="50" t="n">
        <v>46096</v>
      </c>
      <c r="K7" s="51" t="inlineStr">
        <is>
          <t>SM/INT/PRO/019 Management Review Procedure v1.0 built (45001 spec, 11 inputs, 5 outputs). SM-INT-MRM-001 v1.1 updated with implementation data maturity note. MR #1 conducted.</t>
        </is>
      </c>
      <c r="L7" s="50" t="n">
        <v>46120</v>
      </c>
      <c r="M7" s="49" t="inlineStr">
        <is>
          <t>Completed</t>
        </is>
      </c>
      <c r="N7" s="51" t="n"/>
      <c r="O7" s="51" t="inlineStr">
        <is>
          <t>Shell OFI2. PRO-019 replaces legacy SM/PRO/MR/001. MRM-001 v1.1 includes data maturity note for implementation phase. Full close-out: procedure + review + minutes. S34.</t>
        </is>
      </c>
    </row>
    <row r="8" ht="45" customHeight="1" s="31">
      <c r="A8" s="49" t="inlineStr">
        <is>
          <t>OFI-003</t>
        </is>
      </c>
      <c r="B8" s="50" t="n">
        <v>46043</v>
      </c>
      <c r="C8" s="51" t="inlineStr">
        <is>
          <t>External Audit</t>
        </is>
      </c>
      <c r="D8" s="51" t="inlineStr">
        <is>
          <t>Commercial</t>
        </is>
      </c>
      <c r="E8" s="49" t="inlineStr">
        <is>
          <t>18788 Cl. 4.1 / 28000 Cl. 4.4</t>
        </is>
      </c>
      <c r="F8" s="49" t="inlineStr">
        <is>
          <t>Documentation</t>
        </is>
      </c>
      <c r="G8" s="51" t="inlineStr">
        <is>
          <t>Routine sanctions listing checks should be embedded into compliance workflows. Current documentation does not cover US sanctions. Sanctions lists not in external references register.</t>
        </is>
      </c>
      <c r="H8" s="51" t="inlineStr">
        <is>
          <t>Review documents referencing sanctions. Update to include US sanctions (OFAC). Add sanctions lists to external references register.</t>
        </is>
      </c>
      <c r="I8" s="49" t="inlineStr">
        <is>
          <t>D. Watts (GCD)</t>
        </is>
      </c>
      <c r="J8" s="50" t="n">
        <v>46078</v>
      </c>
      <c r="K8" s="51" t="n"/>
      <c r="L8" s="50" t="n"/>
      <c r="M8" s="49" t="inlineStr">
        <is>
          <t>In Progress</t>
        </is>
      </c>
      <c r="N8" s="51" t="n"/>
      <c r="O8" s="51" t="inlineStr">
        <is>
          <t>Shell OFI3.</t>
        </is>
      </c>
    </row>
    <row r="9" ht="45" customHeight="1" s="31">
      <c r="A9" s="49" t="inlineStr">
        <is>
          <t>OFI-004</t>
        </is>
      </c>
      <c r="B9" s="50" t="n">
        <v>46043</v>
      </c>
      <c r="C9" s="51" t="inlineStr">
        <is>
          <t>External Audit</t>
        </is>
      </c>
      <c r="D9" s="51" t="inlineStr">
        <is>
          <t>Operations</t>
        </is>
      </c>
      <c r="E9" s="49" t="inlineStr">
        <is>
          <t>28007 Cl. 4.4 / 18788 Cl. 8.1</t>
        </is>
      </c>
      <c r="F9" s="49" t="inlineStr">
        <is>
          <t>Documentation</t>
        </is>
      </c>
      <c r="G9" s="51" t="inlineStr">
        <is>
          <t>Define and communicate minimum standards for Security Escort Vessels (SEVs).</t>
        </is>
      </c>
      <c r="H9" s="51" t="inlineStr">
        <is>
          <t>Meet with WAF team to discuss minimum requirements. Add to SOP. Release updated documentation. Train WAF team.</t>
        </is>
      </c>
      <c r="I9" s="49" t="inlineStr">
        <is>
          <t>C. Antzoulatos (WAF Ops)</t>
        </is>
      </c>
      <c r="J9" s="50" t="n">
        <v>46082</v>
      </c>
      <c r="K9" s="51" t="inlineStr">
        <is>
          <t>SM/SEC/PRO/004 (SEV Approval Procedure) defines 27 mandatory vessel documentation standards (V01-V27) with source attribution to OCIMF, Shell, SOLAS, and ISM. SM/SEC/PRO/005 (Supplier Approval — SEV) defines 11 provider documentation standards (P01-P11) aligned to Shell C8.2-C8.4. SM/SEC/FORM/001 (SEV Checklist) is the operational form. SM/SEC/FORM/002 (WAF DD Checklist) covers 52-question provider assessment. All cross-referenced to OCIMF, Shell PMSC Vetting, ISO 18788, and VPSHR. SM/SEC/DOC/002 (WAF OCIMF Due Diligence Checklist v1.0) — 52 questions, 8 sections, matching IOR DOC-001 format. PDF on WAF DD portal. SM/SEC/PRO/002 v1.1 updated to cover WAF alongside IOR.</t>
        </is>
      </c>
      <c r="L9" s="50" t="inlineStr">
        <is>
          <t>04/04/2026</t>
        </is>
      </c>
      <c r="M9" s="49" t="inlineStr">
        <is>
          <t>CA Implemented</t>
        </is>
      </c>
      <c r="N9" s="51" t="n"/>
      <c r="O9" s="51" t="inlineStr">
        <is>
          <t>Shell OFI6. Standards defined: PRO-004, PRO-005, FORM-001, FORM-002, DOC-002. DD portals (IOR + WAF) live with pre-completed questionnaires. WAF team rollout pending. Updated 04/04/2026.</t>
        </is>
      </c>
    </row>
    <row r="10" ht="45" customHeight="1" s="31">
      <c r="A10" s="49" t="inlineStr">
        <is>
          <t>OFI-005</t>
        </is>
      </c>
      <c r="B10" s="50" t="n">
        <v>46043</v>
      </c>
      <c r="C10" s="51" t="inlineStr">
        <is>
          <t>External Audit</t>
        </is>
      </c>
      <c r="D10" s="51" t="inlineStr">
        <is>
          <t>HR / Admin</t>
        </is>
      </c>
      <c r="E10" s="49" t="inlineStr">
        <is>
          <t>45001 Cl. 5.2 / 18788 Cl. 5.2</t>
        </is>
      </c>
      <c r="F10" s="49" t="inlineStr">
        <is>
          <t>Documentation</t>
        </is>
      </c>
      <c r="G10" s="51" t="inlineStr">
        <is>
          <t>Clarify applicability of Drugs &amp; Alcohol policy across all personnel types — currently only applicable to PCASP.</t>
        </is>
      </c>
      <c r="H10" s="51" t="inlineStr">
        <is>
          <t>Legal to review contractual implications of applying to office staff across multiple jurisdictions. Decide on policy scope. In interim, amend existing policy to clearly specify PCASP only.</t>
        </is>
      </c>
      <c r="I10" s="49" t="inlineStr">
        <is>
          <t>Legal / D. Watts (GCD)</t>
        </is>
      </c>
      <c r="J10" s="50" t="n">
        <v>46082</v>
      </c>
      <c r="K10" s="51" t="n"/>
      <c r="L10" s="50" t="n"/>
      <c r="M10" s="49" t="inlineStr">
        <is>
          <t>In Progress</t>
        </is>
      </c>
      <c r="N10" s="51" t="n"/>
      <c r="O10" s="51" t="inlineStr">
        <is>
          <t>Shell OFI7. Legal review ongoing.</t>
        </is>
      </c>
    </row>
    <row r="11" ht="45" customHeight="1" s="31">
      <c r="A11" s="49" t="inlineStr">
        <is>
          <t>OFI-006</t>
        </is>
      </c>
      <c r="B11" s="50" t="n">
        <v>46105</v>
      </c>
      <c r="C11" s="51" t="inlineStr">
        <is>
          <t>Internal Audit</t>
        </is>
      </c>
      <c r="D11" s="51" t="inlineStr">
        <is>
          <t>Compliance</t>
        </is>
      </c>
      <c r="E11" s="49" t="inlineStr">
        <is>
          <t>45001 Cl. 6.1 / 18788 Cl. 6.1</t>
        </is>
      </c>
      <c r="F11" s="49" t="inlineStr">
        <is>
          <t>Process Improvement</t>
        </is>
      </c>
      <c r="G11" s="51" t="inlineStr">
        <is>
          <t>Document risk architecture and escalation pathways — corporate register as strategic risk view, RA-003/RA-004 as operational tools, defined triggers for escalation.</t>
        </is>
      </c>
      <c r="H11" s="51" t="inlineStr">
        <is>
          <t>Embed within Risk Management Procedure (CMP-001). Document architecture, escalation pathways and triggers.</t>
        </is>
      </c>
      <c r="I11" s="49" t="inlineStr">
        <is>
          <t>D. Watts (GCD)</t>
        </is>
      </c>
      <c r="J11" s="50" t="n">
        <v>46126</v>
      </c>
      <c r="K11" s="51" t="n"/>
      <c r="L11" s="50" t="n"/>
      <c r="M11" s="49" t="inlineStr">
        <is>
          <t>Open</t>
        </is>
      </c>
      <c r="N11" s="51" t="n"/>
      <c r="O11" s="51" t="inlineStr">
        <is>
          <t>IA-26-002 F-005 (OFI). CMP-005. Embedded in CMP-001.</t>
        </is>
      </c>
    </row>
    <row r="12" ht="45" customHeight="1" s="31">
      <c r="A12" s="49" t="inlineStr">
        <is>
          <t>OFI-007</t>
        </is>
      </c>
      <c r="B12" s="50" t="n">
        <v>46105</v>
      </c>
      <c r="C12" s="51" t="inlineStr">
        <is>
          <t>Internal Audit</t>
        </is>
      </c>
      <c r="D12" s="51" t="inlineStr">
        <is>
          <t>Compliance</t>
        </is>
      </c>
      <c r="E12" s="49" t="inlineStr">
        <is>
          <t>45001 Cl. 5.2 / 18788 Cl. 5.2</t>
        </is>
      </c>
      <c r="F12" s="49" t="inlineStr">
        <is>
          <t>Documentation</t>
        </is>
      </c>
      <c r="G12" s="51" t="inlineStr">
        <is>
          <t>Modernise Risk Policy — update to reference RA-003/RA-004 methodologies, incorporate 45001 hazard identification language, expand change management section.</t>
        </is>
      </c>
      <c r="H12" s="51" t="inlineStr">
        <is>
          <t>Review and update Risk Policy. Reference new procedures and methodologies. Update capacity and appetite statements.</t>
        </is>
      </c>
      <c r="I12" s="49" t="inlineStr">
        <is>
          <t>D. Watts (GCD)</t>
        </is>
      </c>
      <c r="J12" s="50" t="n">
        <v>46147</v>
      </c>
      <c r="K12" s="51" t="inlineStr">
        <is>
          <t>SM/INT/POL/007 Risk Policy v1.0 — ~40% duplicated content removed as tracked changes (S24). 6 cross-reference insertions to SM/HSE/PRO/001 and SM/SEC/PRO/001 RA procedures added.</t>
        </is>
      </c>
      <c r="L12" s="50" t="n"/>
      <c r="M12" s="49" t="inlineStr">
        <is>
          <t>In Progress</t>
        </is>
      </c>
      <c r="N12" s="51" t="n"/>
      <c r="O12" s="51" t="inlineStr">
        <is>
          <t>Tracked changes applied, awaiting formal acceptance and reissue. Updated 03/04/2026.</t>
        </is>
      </c>
    </row>
    <row r="13" ht="45" customHeight="1" s="31">
      <c r="A13" s="49" t="inlineStr">
        <is>
          <t>OFI-008</t>
        </is>
      </c>
      <c r="B13" s="50" t="n">
        <v>46105</v>
      </c>
      <c r="C13" s="51" t="inlineStr">
        <is>
          <t>Internal Audit</t>
        </is>
      </c>
      <c r="D13" s="51" t="inlineStr">
        <is>
          <t>Compliance</t>
        </is>
      </c>
      <c r="E13" s="49" t="inlineStr">
        <is>
          <t>9001 Cl. 7.5 / 45001 Cl. 7.5</t>
        </is>
      </c>
      <c r="F13" s="49" t="inlineStr">
        <is>
          <t>Documentation</t>
        </is>
      </c>
      <c r="G13" s="51" t="inlineStr">
        <is>
          <t>Formally withdraw legacy MSP risk documents (MSP-A-05, MSP-B-09) — currently coexisting with new procedures, creating ambiguity.</t>
        </is>
      </c>
      <c r="H13" s="51" t="inlineStr">
        <is>
          <t>Mark as superseded in document register. Add withdrawal notice. Issue notification to all staff.</t>
        </is>
      </c>
      <c r="I13" s="49" t="inlineStr">
        <is>
          <t>D. Watts / E. Lukshin</t>
        </is>
      </c>
      <c r="J13" s="50" t="n">
        <v>46140</v>
      </c>
      <c r="K13" s="51" t="n"/>
      <c r="L13" s="50" t="n"/>
      <c r="M13" s="49" t="inlineStr">
        <is>
          <t>Open</t>
        </is>
      </c>
      <c r="N13" s="51" t="n"/>
      <c r="O13" s="51" t="inlineStr">
        <is>
          <t>IA-26-002 F-008 (OFI). CMP-008. Requires CMP-001/002 completed first.</t>
        </is>
      </c>
    </row>
    <row r="14" ht="45" customHeight="1" s="31">
      <c r="A14" s="49" t="inlineStr">
        <is>
          <t>OFI-009</t>
        </is>
      </c>
      <c r="B14" s="50" t="n">
        <v>46105</v>
      </c>
      <c r="C14" s="51" t="inlineStr">
        <is>
          <t>Internal Audit</t>
        </is>
      </c>
      <c r="D14" s="51" t="inlineStr">
        <is>
          <t>Compliance</t>
        </is>
      </c>
      <c r="E14" s="49" t="inlineStr">
        <is>
          <t>45001 Cl. 7.2 / 7.3 / 18788 Cl. 7.2</t>
        </is>
      </c>
      <c r="F14" s="49" t="inlineStr">
        <is>
          <t>Training</t>
        </is>
      </c>
      <c r="G14" s="51" t="inlineStr">
        <is>
          <t>Develop risk management awareness programme — initial risk workshop, integration into routine training schedule, documentation of attendance.</t>
        </is>
      </c>
      <c r="H14" s="51" t="inlineStr">
        <is>
          <t>Design and schedule training programme. Target operations staff and management for first workshop. Document attendance.</t>
        </is>
      </c>
      <c r="I14" s="49" t="inlineStr">
        <is>
          <t>D. Watts / O. Yurasov</t>
        </is>
      </c>
      <c r="J14" s="50" t="n">
        <v>46147</v>
      </c>
      <c r="K14" s="51" t="n"/>
      <c r="L14" s="50" t="n"/>
      <c r="M14" s="49" t="inlineStr">
        <is>
          <t>Open</t>
        </is>
      </c>
      <c r="N14" s="51" t="n"/>
      <c r="O14" s="51" t="inlineStr">
        <is>
          <t>IA-26-002 F-009 (OFI). CMP-009. Requires CMP-001 completed.</t>
        </is>
      </c>
    </row>
    <row r="15" ht="45" customHeight="1" s="31">
      <c r="A15" s="49" t="inlineStr">
        <is>
          <t>OFI-010</t>
        </is>
      </c>
      <c r="B15" s="50" t="n">
        <v>46043</v>
      </c>
      <c r="C15" s="51" t="inlineStr">
        <is>
          <t>External Audit</t>
        </is>
      </c>
      <c r="D15" s="51" t="inlineStr">
        <is>
          <t>Operations</t>
        </is>
      </c>
      <c r="E15" s="49" t="inlineStr">
        <is>
          <t>28007 Cl. 4.4</t>
        </is>
      </c>
      <c r="F15" s="49" t="inlineStr">
        <is>
          <t>Documentation</t>
        </is>
      </c>
      <c r="G15" s="51" t="inlineStr">
        <is>
          <t>Vessel delay wording — revise to clearly reflect that client vessels may be delayed for legitimate safety reasons including adverse weather during transfers.</t>
        </is>
      </c>
      <c r="H15" s="51" t="inlineStr">
        <is>
          <t>Update relevant SOP annex wording.</t>
        </is>
      </c>
      <c r="I15" s="49" t="inlineStr">
        <is>
          <t>D. Watts (GCD)</t>
        </is>
      </c>
      <c r="J15" s="50" t="n">
        <v>46048</v>
      </c>
      <c r="K15" s="51" t="inlineStr">
        <is>
          <t>SM/OPS/SOP/001-A Annex A v1.0 — vessel delay wording updated in Deployment &amp; Embarkation annex.</t>
        </is>
      </c>
      <c r="L15" s="50" t="n">
        <v>46048</v>
      </c>
      <c r="M15" s="49" t="inlineStr">
        <is>
          <t>Completed</t>
        </is>
      </c>
      <c r="N15" s="51" t="n"/>
      <c r="O15" s="51" t="inlineStr">
        <is>
          <t>Wording updated in IOR SOP Annex A. Completed 03/04/2026.</t>
        </is>
      </c>
    </row>
    <row r="16" ht="45" customHeight="1" s="31">
      <c r="A16" s="49" t="inlineStr">
        <is>
          <t>OFI-011</t>
        </is>
      </c>
      <c r="B16" s="50" t="n">
        <v>46043</v>
      </c>
      <c r="C16" s="51" t="inlineStr">
        <is>
          <t>External Audit</t>
        </is>
      </c>
      <c r="D16" s="51" t="inlineStr">
        <is>
          <t>Operations</t>
        </is>
      </c>
      <c r="E16" s="49" t="inlineStr">
        <is>
          <t>28007 Cl. 4.6</t>
        </is>
      </c>
      <c r="F16" s="49" t="inlineStr">
        <is>
          <t>Documentation</t>
        </is>
      </c>
      <c r="G16" s="51" t="inlineStr">
        <is>
          <t>Vessel defence section — update primary incident reporting pathway to designate UKMTO as initial point of contact per industry expectations.</t>
        </is>
      </c>
      <c r="H16" s="51" t="inlineStr">
        <is>
          <t>Update relevant SOP annex.</t>
        </is>
      </c>
      <c r="I16" s="49" t="inlineStr">
        <is>
          <t>D. Watts (GCD)</t>
        </is>
      </c>
      <c r="J16" s="50" t="n">
        <v>46048</v>
      </c>
      <c r="K16" s="51" t="inlineStr">
        <is>
          <t>SM/OPS/SOP/001-E Annex E v1.0 — UKMTO reporting pathway updated in Vessel Defence annex.</t>
        </is>
      </c>
      <c r="L16" s="50" t="n">
        <v>46048</v>
      </c>
      <c r="M16" s="49" t="inlineStr">
        <is>
          <t>Completed</t>
        </is>
      </c>
      <c r="N16" s="51" t="n"/>
      <c r="O16" s="51" t="inlineStr">
        <is>
          <t>UKMTO reporting updated in IOR SOP Annex E. Completed 03/04/2026.</t>
        </is>
      </c>
    </row>
    <row r="17" ht="45" customHeight="1" s="31">
      <c r="A17" s="49" t="inlineStr">
        <is>
          <t>OFI-012</t>
        </is>
      </c>
      <c r="B17" s="50" t="n">
        <v>46043</v>
      </c>
      <c r="C17" s="51" t="inlineStr">
        <is>
          <t>External Audit</t>
        </is>
      </c>
      <c r="D17" s="51" t="inlineStr">
        <is>
          <t>Operations</t>
        </is>
      </c>
      <c r="E17" s="49" t="inlineStr">
        <is>
          <t>18788 Cl. 8.1 / 28007 Cl. 4.4</t>
        </is>
      </c>
      <c r="F17" s="49" t="inlineStr">
        <is>
          <t>Communication</t>
        </is>
      </c>
      <c r="G17" s="51" t="inlineStr">
        <is>
          <t>Implement formal PCASP security briefing to Masters to enhance operational transparency and coordination.</t>
        </is>
      </c>
      <c r="H17" s="51" t="inlineStr">
        <is>
          <t>Finalise briefing draft. Reference in SOP. Issue to HR/Training and Ops for distribution.</t>
        </is>
      </c>
      <c r="I17" s="49" t="inlineStr">
        <is>
          <t>D. Watts (GCD)</t>
        </is>
      </c>
      <c r="J17" s="50" t="n">
        <v>46065</v>
      </c>
      <c r="K17" s="51" t="inlineStr">
        <is>
          <t>Briefing document finalised and referenced in SOP.</t>
        </is>
      </c>
      <c r="L17" s="50" t="n">
        <v>46065</v>
      </c>
      <c r="M17" s="49" t="inlineStr">
        <is>
          <t>Completed</t>
        </is>
      </c>
      <c r="N17" s="51" t="n"/>
      <c r="O17" s="51" t="inlineStr">
        <is>
          <t>Shell OFI8. Briefing drafted, shown on audit, now finalised. Distribution to TLs pending.</t>
        </is>
      </c>
    </row>
    <row r="18" ht="15" customHeight="1" s="31">
      <c r="A18" s="49" t="inlineStr">
        <is>
          <t>OFI-013</t>
        </is>
      </c>
      <c r="B18" s="64" t="n">
        <v>46108</v>
      </c>
      <c r="C18" s="51" t="inlineStr">
        <is>
          <t>IRT Exercise</t>
        </is>
      </c>
      <c r="D18" s="51" t="inlineStr">
        <is>
          <t>Operations</t>
        </is>
      </c>
      <c r="E18" s="49" t="inlineStr">
        <is>
          <t>45001 Cl. 8.2</t>
        </is>
      </c>
      <c r="F18" s="49" t="inlineStr">
        <is>
          <t>Process Improvement</t>
        </is>
      </c>
      <c r="G18" s="51" t="inlineStr">
        <is>
          <t>No printed emergency contact list available at Greece office — all contacts stored digitally on devices left inside the building during fire evacuation.</t>
        </is>
      </c>
      <c r="H18" s="51" t="inlineStr">
        <is>
          <t>Print and post emergency contact list at Greece office (laminated, near main exit). Reference: SM/INT/DOC/005.</t>
        </is>
      </c>
      <c r="I18" s="49" t="inlineStr">
        <is>
          <t>C. Antzoulatos (WAF Ops)</t>
        </is>
      </c>
      <c r="J18" s="64" t="n">
        <v>46116</v>
      </c>
      <c r="K18" s="51" t="inlineStr"/>
      <c r="L18" s="50" t="n"/>
      <c r="M18" s="49" t="inlineStr">
        <is>
          <t>Open</t>
        </is>
      </c>
      <c r="N18" s="51" t="inlineStr"/>
      <c r="O18" s="51" t="inlineStr">
        <is>
          <t>IRT Exercise SM/HSE/RPT/001 Action #1. Contact posters being produced.</t>
        </is>
      </c>
    </row>
    <row r="19" ht="15" customHeight="1" s="31">
      <c r="A19" s="49" t="inlineStr">
        <is>
          <t>OFI-014</t>
        </is>
      </c>
      <c r="B19" s="64" t="n">
        <v>46108</v>
      </c>
      <c r="C19" s="51" t="inlineStr">
        <is>
          <t>IRT Exercise</t>
        </is>
      </c>
      <c r="D19" s="51" t="inlineStr">
        <is>
          <t>Compliance</t>
        </is>
      </c>
      <c r="E19" s="49" t="inlineStr">
        <is>
          <t>45001 Cl. 8.2 / INT/PRO/006</t>
        </is>
      </c>
      <c r="F19" s="49" t="inlineStr">
        <is>
          <t>Communication</t>
        </is>
      </c>
      <c r="G19" s="51" t="inlineStr">
        <is>
          <t>IMP notification chain not clearly understood by all participants — on-site responder bypassed notification chain and called GCD directly instead of CEO first.</t>
        </is>
      </c>
      <c r="H19" s="51" t="inlineStr">
        <is>
          <t>Circulate IMP notification chain to all staff as a one-page quick reference. Reference: SM/INT/DOC/006.</t>
        </is>
      </c>
      <c r="I19" s="49" t="inlineStr">
        <is>
          <t>D. Watts (GCD)</t>
        </is>
      </c>
      <c r="J19" s="64" t="n">
        <v>46116</v>
      </c>
      <c r="K19" s="51" t="inlineStr"/>
      <c r="L19" s="50" t="n"/>
      <c r="M19" s="49" t="inlineStr">
        <is>
          <t>Open</t>
        </is>
      </c>
      <c r="N19" s="51" t="inlineStr"/>
      <c r="O19" s="51" t="inlineStr">
        <is>
          <t>IRT Exercise SM/HSE/RPT/001 Action #2. One-pager being prepared for circulation.</t>
        </is>
      </c>
    </row>
    <row r="20" ht="15" customHeight="1" s="31">
      <c r="A20" s="49" t="inlineStr">
        <is>
          <t>OFI-015</t>
        </is>
      </c>
      <c r="B20" s="64" t="n">
        <v>46108</v>
      </c>
      <c r="C20" s="51" t="inlineStr">
        <is>
          <t>IRT Exercise</t>
        </is>
      </c>
      <c r="D20" s="51" t="inlineStr">
        <is>
          <t>Compliance</t>
        </is>
      </c>
      <c r="E20" s="49" t="inlineStr">
        <is>
          <t>45001 Cl. 7.2 / 7.3</t>
        </is>
      </c>
      <c r="F20" s="49" t="inlineStr">
        <is>
          <t>Training</t>
        </is>
      </c>
      <c r="G20" s="51" t="inlineStr">
        <is>
          <t>Compliance Administrator uncertain on regulatory reporting requirements for shore-based incidents vs. insurance notification obligations.</t>
        </is>
      </c>
      <c r="H20" s="51" t="inlineStr">
        <is>
          <t>Brief Eugene on regulatory vs. insurance notification requirements for different incident types (maritime, shore-based, environmental).</t>
        </is>
      </c>
      <c r="I20" s="49" t="inlineStr">
        <is>
          <t>D. Watts (GCD)</t>
        </is>
      </c>
      <c r="J20" s="64" t="n">
        <v>46123</v>
      </c>
      <c r="K20" s="51" t="inlineStr"/>
      <c r="L20" s="50" t="n"/>
      <c r="M20" s="49" t="inlineStr">
        <is>
          <t>Open</t>
        </is>
      </c>
      <c r="N20" s="51" t="inlineStr"/>
      <c r="O20" s="51" t="inlineStr">
        <is>
          <t>IRT Exercise SM/HSE/RPT/001 Action #3. Scheduled for weekly GCD/Compliance call.</t>
        </is>
      </c>
    </row>
    <row r="21" ht="15" customHeight="1" s="31">
      <c r="A21" s="49" t="inlineStr">
        <is>
          <t>OFI-016</t>
        </is>
      </c>
      <c r="B21" s="64" t="n">
        <v>46108</v>
      </c>
      <c r="C21" s="51" t="inlineStr">
        <is>
          <t>IRT Exercise</t>
        </is>
      </c>
      <c r="D21" s="51" t="inlineStr">
        <is>
          <t>Compliance</t>
        </is>
      </c>
      <c r="E21" s="49" t="inlineStr">
        <is>
          <t>45001 Cl. 7.3</t>
        </is>
      </c>
      <c r="F21" s="49" t="inlineStr">
        <is>
          <t>Communication</t>
        </is>
      </c>
      <c r="G21" s="51" t="inlineStr">
        <is>
          <t>Participant suggested using personal email for operational communications during business continuity event — indicates data protection awareness gap.</t>
        </is>
      </c>
      <c r="H21" s="51" t="inlineStr">
        <is>
          <t>Include data protection and company communications reminder in next staff awareness bulletin (campaign portal).</t>
        </is>
      </c>
      <c r="I21" s="49" t="inlineStr">
        <is>
          <t>D. Watts (GCD)</t>
        </is>
      </c>
      <c r="J21" s="64" t="n">
        <v>46142</v>
      </c>
      <c r="K21" s="51" t="inlineStr"/>
      <c r="L21" s="50" t="n"/>
      <c r="M21" s="49" t="inlineStr">
        <is>
          <t>Open</t>
        </is>
      </c>
      <c r="N21" s="51" t="inlineStr"/>
      <c r="O21" s="51" t="inlineStr">
        <is>
          <t>IRT Exercise SM/HSE/RPT/001 Action #4. Planned as campaign bulletin.</t>
        </is>
      </c>
    </row>
    <row r="22" ht="15" customHeight="1" s="31">
      <c r="A22" s="49" t="n"/>
      <c r="B22" s="50" t="n"/>
      <c r="C22" s="51" t="n"/>
      <c r="D22" s="51" t="n"/>
      <c r="E22" s="49" t="n"/>
      <c r="F22" s="49" t="n"/>
      <c r="G22" s="51" t="n"/>
      <c r="H22" s="51" t="n"/>
      <c r="I22" s="49" t="n"/>
      <c r="J22" s="50" t="n"/>
      <c r="K22" s="51" t="n"/>
      <c r="L22" s="50" t="n"/>
      <c r="M22" s="49" t="n"/>
      <c r="N22" s="51" t="n"/>
      <c r="O22" s="51" t="n"/>
    </row>
    <row r="23" ht="15" customHeight="1" s="31">
      <c r="A23" s="49" t="n"/>
      <c r="B23" s="50" t="n"/>
      <c r="C23" s="51" t="n"/>
      <c r="D23" s="51" t="n"/>
      <c r="E23" s="49" t="n"/>
      <c r="F23" s="49" t="n"/>
      <c r="G23" s="51" t="n"/>
      <c r="H23" s="51" t="n"/>
      <c r="I23" s="49" t="n"/>
      <c r="J23" s="50" t="n"/>
      <c r="K23" s="51" t="n"/>
      <c r="L23" s="50" t="n"/>
      <c r="M23" s="49" t="n"/>
      <c r="N23" s="51" t="n"/>
      <c r="O23" s="51" t="n"/>
    </row>
    <row r="24" ht="15" customHeight="1" s="31">
      <c r="A24" s="49" t="n"/>
      <c r="B24" s="50" t="n"/>
      <c r="C24" s="51" t="n"/>
      <c r="D24" s="51" t="n"/>
      <c r="E24" s="49" t="n"/>
      <c r="F24" s="49" t="n"/>
      <c r="G24" s="51" t="n"/>
      <c r="H24" s="51" t="n"/>
      <c r="I24" s="49" t="n"/>
      <c r="J24" s="50" t="n"/>
      <c r="K24" s="51" t="n"/>
      <c r="L24" s="50" t="n"/>
      <c r="M24" s="49" t="n"/>
      <c r="N24" s="51" t="n"/>
      <c r="O24" s="51" t="n"/>
    </row>
    <row r="25" ht="15" customHeight="1" s="31">
      <c r="A25" s="49" t="n"/>
      <c r="B25" s="50" t="n"/>
      <c r="C25" s="51" t="n"/>
      <c r="D25" s="51" t="n"/>
      <c r="E25" s="49" t="n"/>
      <c r="F25" s="49" t="n"/>
      <c r="G25" s="51" t="n"/>
      <c r="H25" s="51" t="n"/>
      <c r="I25" s="49" t="n"/>
      <c r="J25" s="50" t="n"/>
      <c r="K25" s="51" t="n"/>
      <c r="L25" s="50" t="n"/>
      <c r="M25" s="49" t="n"/>
      <c r="N25" s="51" t="n"/>
      <c r="O25" s="51" t="n"/>
    </row>
    <row r="26" ht="15" customHeight="1" s="31">
      <c r="A26" s="49" t="n"/>
      <c r="B26" s="50" t="n"/>
      <c r="C26" s="51" t="n"/>
      <c r="D26" s="51" t="n"/>
      <c r="E26" s="49" t="n"/>
      <c r="F26" s="49" t="n"/>
      <c r="G26" s="51" t="n"/>
      <c r="H26" s="51" t="n"/>
      <c r="I26" s="49" t="n"/>
      <c r="J26" s="50" t="n"/>
      <c r="K26" s="51" t="n"/>
      <c r="L26" s="50" t="n"/>
      <c r="M26" s="49" t="n"/>
      <c r="N26" s="51" t="n"/>
      <c r="O26" s="51" t="n"/>
    </row>
    <row r="27" ht="15" customHeight="1" s="31">
      <c r="A27" s="49" t="n"/>
      <c r="B27" s="50" t="n"/>
      <c r="C27" s="51" t="n"/>
      <c r="D27" s="51" t="n"/>
      <c r="E27" s="49" t="n"/>
      <c r="F27" s="49" t="n"/>
      <c r="G27" s="51" t="n"/>
      <c r="H27" s="51" t="n"/>
      <c r="I27" s="49" t="n"/>
      <c r="J27" s="50" t="n"/>
      <c r="K27" s="51" t="n"/>
      <c r="L27" s="50" t="n"/>
      <c r="M27" s="49" t="n"/>
      <c r="N27" s="51" t="n"/>
      <c r="O27" s="51" t="n"/>
    </row>
    <row r="28" ht="15" customHeight="1" s="31">
      <c r="A28" s="49" t="n"/>
      <c r="B28" s="50" t="n"/>
      <c r="C28" s="51" t="n"/>
      <c r="D28" s="51" t="n"/>
      <c r="E28" s="49" t="n"/>
      <c r="F28" s="49" t="n"/>
      <c r="G28" s="51" t="n"/>
      <c r="H28" s="51" t="n"/>
      <c r="I28" s="49" t="n"/>
      <c r="J28" s="50" t="n"/>
      <c r="K28" s="51" t="n"/>
      <c r="L28" s="50" t="n"/>
      <c r="M28" s="49" t="n"/>
      <c r="N28" s="51" t="n"/>
      <c r="O28" s="51" t="n"/>
    </row>
    <row r="29" ht="15" customHeight="1" s="31">
      <c r="A29" s="49" t="n"/>
      <c r="B29" s="50" t="n"/>
      <c r="C29" s="51" t="n"/>
      <c r="D29" s="51" t="n"/>
      <c r="E29" s="49" t="n"/>
      <c r="F29" s="49" t="n"/>
      <c r="G29" s="51" t="n"/>
      <c r="H29" s="51" t="n"/>
      <c r="I29" s="49" t="n"/>
      <c r="J29" s="50" t="n"/>
      <c r="K29" s="51" t="n"/>
      <c r="L29" s="50" t="n"/>
      <c r="M29" s="49" t="n"/>
      <c r="N29" s="51" t="n"/>
      <c r="O29" s="51" t="n"/>
    </row>
    <row r="30" ht="15" customHeight="1" s="31">
      <c r="A30" s="49" t="n"/>
      <c r="B30" s="50" t="n"/>
      <c r="C30" s="51" t="n"/>
      <c r="D30" s="51" t="n"/>
      <c r="E30" s="49" t="n"/>
      <c r="F30" s="49" t="n"/>
      <c r="G30" s="51" t="n"/>
      <c r="H30" s="51" t="n"/>
      <c r="I30" s="49" t="n"/>
      <c r="J30" s="50" t="n"/>
      <c r="K30" s="51" t="n"/>
      <c r="L30" s="50" t="n"/>
      <c r="M30" s="49" t="n"/>
      <c r="N30" s="51" t="n"/>
      <c r="O30" s="51" t="n"/>
    </row>
    <row r="31" ht="15" customHeight="1" s="31">
      <c r="A31" s="49" t="n"/>
      <c r="B31" s="50" t="n"/>
      <c r="C31" s="51" t="n"/>
      <c r="D31" s="51" t="n"/>
      <c r="E31" s="49" t="n"/>
      <c r="F31" s="49" t="n"/>
      <c r="G31" s="51" t="n"/>
      <c r="H31" s="51" t="n"/>
      <c r="I31" s="49" t="n"/>
      <c r="J31" s="50" t="n"/>
      <c r="K31" s="51" t="n"/>
      <c r="L31" s="50" t="n"/>
      <c r="M31" s="49" t="n"/>
      <c r="N31" s="51" t="n"/>
      <c r="O31" s="51" t="n"/>
    </row>
    <row r="32" ht="15" customHeight="1" s="31">
      <c r="A32" s="49" t="n"/>
      <c r="B32" s="50" t="n"/>
      <c r="C32" s="51" t="n"/>
      <c r="D32" s="51" t="n"/>
      <c r="E32" s="49" t="n"/>
      <c r="F32" s="49" t="n"/>
      <c r="G32" s="51" t="n"/>
      <c r="H32" s="51" t="n"/>
      <c r="I32" s="49" t="n"/>
      <c r="J32" s="50" t="n"/>
      <c r="K32" s="51" t="n"/>
      <c r="L32" s="50" t="n"/>
      <c r="M32" s="49" t="n"/>
      <c r="N32" s="51" t="n"/>
      <c r="O32" s="51" t="n"/>
    </row>
    <row r="33" ht="15" customHeight="1" s="31">
      <c r="A33" s="49" t="n"/>
      <c r="B33" s="50" t="n"/>
      <c r="C33" s="51" t="n"/>
      <c r="D33" s="51" t="n"/>
      <c r="E33" s="49" t="n"/>
      <c r="F33" s="49" t="n"/>
      <c r="G33" s="51" t="n"/>
      <c r="H33" s="51" t="n"/>
      <c r="I33" s="49" t="n"/>
      <c r="J33" s="50" t="n"/>
      <c r="K33" s="51" t="n"/>
      <c r="L33" s="50" t="n"/>
      <c r="M33" s="49" t="n"/>
      <c r="N33" s="51" t="n"/>
      <c r="O33" s="51" t="n"/>
    </row>
    <row r="34" ht="15" customHeight="1" s="31">
      <c r="A34" s="49" t="n"/>
      <c r="B34" s="50" t="n"/>
      <c r="C34" s="51" t="n"/>
      <c r="D34" s="51" t="n"/>
      <c r="E34" s="49" t="n"/>
      <c r="F34" s="49" t="n"/>
      <c r="G34" s="51" t="n"/>
      <c r="H34" s="51" t="n"/>
      <c r="I34" s="49" t="n"/>
      <c r="J34" s="50" t="n"/>
      <c r="K34" s="51" t="n"/>
      <c r="L34" s="50" t="n"/>
      <c r="M34" s="49" t="n"/>
      <c r="N34" s="51" t="n"/>
      <c r="O34" s="51" t="n"/>
    </row>
    <row r="35" ht="15" customHeight="1" s="31">
      <c r="A35" s="49" t="n"/>
      <c r="B35" s="50" t="n"/>
      <c r="C35" s="51" t="n"/>
      <c r="D35" s="51" t="n"/>
      <c r="E35" s="49" t="n"/>
      <c r="F35" s="49" t="n"/>
      <c r="G35" s="51" t="n"/>
      <c r="H35" s="51" t="n"/>
      <c r="I35" s="49" t="n"/>
      <c r="J35" s="50" t="n"/>
      <c r="K35" s="51" t="n"/>
      <c r="L35" s="50" t="n"/>
      <c r="M35" s="49" t="n"/>
      <c r="N35" s="51" t="n"/>
      <c r="O35" s="51" t="n"/>
    </row>
    <row r="36" ht="15" customHeight="1" s="31">
      <c r="A36" s="49" t="n"/>
      <c r="B36" s="50" t="n"/>
      <c r="C36" s="51" t="n"/>
      <c r="D36" s="51" t="n"/>
      <c r="E36" s="49" t="n"/>
      <c r="F36" s="49" t="n"/>
      <c r="G36" s="51" t="n"/>
      <c r="H36" s="51" t="n"/>
      <c r="I36" s="49" t="n"/>
      <c r="J36" s="50" t="n"/>
      <c r="K36" s="51" t="n"/>
      <c r="L36" s="50" t="n"/>
      <c r="M36" s="49" t="n"/>
      <c r="N36" s="51" t="n"/>
      <c r="O36" s="51" t="n"/>
    </row>
    <row r="37" ht="15" customHeight="1" s="31">
      <c r="A37" s="49" t="n"/>
      <c r="B37" s="50" t="n"/>
      <c r="C37" s="51" t="n"/>
      <c r="D37" s="51" t="n"/>
      <c r="E37" s="49" t="n"/>
      <c r="F37" s="49" t="n"/>
      <c r="G37" s="51" t="n"/>
      <c r="H37" s="51" t="n"/>
      <c r="I37" s="49" t="n"/>
      <c r="J37" s="50" t="n"/>
      <c r="K37" s="51" t="n"/>
      <c r="L37" s="50" t="n"/>
      <c r="M37" s="49" t="n"/>
      <c r="N37" s="51" t="n"/>
      <c r="O37" s="51" t="n"/>
    </row>
    <row r="38" ht="15" customHeight="1" s="31">
      <c r="A38" s="49" t="n"/>
      <c r="B38" s="50" t="n"/>
      <c r="C38" s="51" t="n"/>
      <c r="D38" s="51" t="n"/>
      <c r="E38" s="49" t="n"/>
      <c r="F38" s="49" t="n"/>
      <c r="G38" s="51" t="n"/>
      <c r="H38" s="51" t="n"/>
      <c r="I38" s="49" t="n"/>
      <c r="J38" s="50" t="n"/>
      <c r="K38" s="51" t="n"/>
      <c r="L38" s="50" t="n"/>
      <c r="M38" s="49" t="n"/>
      <c r="N38" s="51" t="n"/>
      <c r="O38" s="51" t="n"/>
    </row>
    <row r="39" ht="15" customHeight="1" s="31">
      <c r="A39" s="49" t="n"/>
      <c r="B39" s="50" t="n"/>
      <c r="C39" s="51" t="n"/>
      <c r="D39" s="51" t="n"/>
      <c r="E39" s="49" t="n"/>
      <c r="F39" s="49" t="n"/>
      <c r="G39" s="51" t="n"/>
      <c r="H39" s="51" t="n"/>
      <c r="I39" s="49" t="n"/>
      <c r="J39" s="50" t="n"/>
      <c r="K39" s="51" t="n"/>
      <c r="L39" s="50" t="n"/>
      <c r="M39" s="49" t="n"/>
      <c r="N39" s="51" t="n"/>
      <c r="O39" s="51" t="n"/>
    </row>
    <row r="40" ht="15" customHeight="1" s="31">
      <c r="A40" s="49" t="n"/>
      <c r="B40" s="50" t="n"/>
      <c r="C40" s="51" t="n"/>
      <c r="D40" s="51" t="n"/>
      <c r="E40" s="49" t="n"/>
      <c r="F40" s="49" t="n"/>
      <c r="G40" s="51" t="n"/>
      <c r="H40" s="51" t="n"/>
      <c r="I40" s="49" t="n"/>
      <c r="J40" s="50" t="n"/>
      <c r="K40" s="51" t="n"/>
      <c r="L40" s="50" t="n"/>
      <c r="M40" s="49" t="n"/>
      <c r="N40" s="51" t="n"/>
      <c r="O40" s="51" t="n"/>
    </row>
    <row r="41" ht="15" customHeight="1" s="31">
      <c r="A41" s="49" t="n"/>
      <c r="B41" s="50" t="n"/>
      <c r="C41" s="51" t="n"/>
      <c r="D41" s="51" t="n"/>
      <c r="E41" s="49" t="n"/>
      <c r="F41" s="49" t="n"/>
      <c r="G41" s="51" t="n"/>
      <c r="H41" s="51" t="n"/>
      <c r="I41" s="49" t="n"/>
      <c r="J41" s="50" t="n"/>
      <c r="K41" s="51" t="n"/>
      <c r="L41" s="50" t="n"/>
      <c r="M41" s="49" t="n"/>
      <c r="N41" s="51" t="n"/>
      <c r="O41" s="51" t="n"/>
    </row>
    <row r="42" ht="15" customHeight="1" s="31">
      <c r="A42" s="49" t="n"/>
      <c r="B42" s="50" t="n"/>
      <c r="C42" s="51" t="n"/>
      <c r="D42" s="51" t="n"/>
      <c r="E42" s="49" t="n"/>
      <c r="F42" s="49" t="n"/>
      <c r="G42" s="51" t="n"/>
      <c r="H42" s="51" t="n"/>
      <c r="I42" s="49" t="n"/>
      <c r="J42" s="50" t="n"/>
      <c r="K42" s="51" t="n"/>
      <c r="L42" s="50" t="n"/>
      <c r="M42" s="49" t="n"/>
      <c r="N42" s="51" t="n"/>
      <c r="O42" s="51" t="n"/>
    </row>
    <row r="43" ht="15" customHeight="1" s="31">
      <c r="A43" s="49" t="n"/>
      <c r="B43" s="50" t="n"/>
      <c r="C43" s="51" t="n"/>
      <c r="D43" s="51" t="n"/>
      <c r="E43" s="49" t="n"/>
      <c r="F43" s="49" t="n"/>
      <c r="G43" s="51" t="n"/>
      <c r="H43" s="51" t="n"/>
      <c r="I43" s="49" t="n"/>
      <c r="J43" s="50" t="n"/>
      <c r="K43" s="51" t="n"/>
      <c r="L43" s="50" t="n"/>
      <c r="M43" s="49" t="n"/>
      <c r="N43" s="51" t="n"/>
      <c r="O43" s="51" t="n"/>
    </row>
    <row r="44" ht="15" customHeight="1" s="31">
      <c r="A44" s="49" t="n"/>
      <c r="B44" s="50" t="n"/>
      <c r="C44" s="51" t="n"/>
      <c r="D44" s="51" t="n"/>
      <c r="E44" s="49" t="n"/>
      <c r="F44" s="49" t="n"/>
      <c r="G44" s="51" t="n"/>
      <c r="H44" s="51" t="n"/>
      <c r="I44" s="49" t="n"/>
      <c r="J44" s="50" t="n"/>
      <c r="K44" s="51" t="n"/>
      <c r="L44" s="50" t="n"/>
      <c r="M44" s="49" t="n"/>
      <c r="N44" s="51" t="n"/>
      <c r="O44" s="51" t="n"/>
    </row>
    <row r="45" ht="15" customHeight="1" s="31">
      <c r="A45" s="49" t="n"/>
      <c r="B45" s="50" t="n"/>
      <c r="C45" s="51" t="n"/>
      <c r="D45" s="51" t="n"/>
      <c r="E45" s="49" t="n"/>
      <c r="F45" s="49" t="n"/>
      <c r="G45" s="51" t="n"/>
      <c r="H45" s="51" t="n"/>
      <c r="I45" s="49" t="n"/>
      <c r="J45" s="50" t="n"/>
      <c r="K45" s="51" t="n"/>
      <c r="L45" s="50" t="n"/>
      <c r="M45" s="49" t="n"/>
      <c r="N45" s="51" t="n"/>
      <c r="O45" s="51" t="n"/>
    </row>
    <row r="46" ht="15" customHeight="1" s="31">
      <c r="A46" s="49" t="n"/>
      <c r="B46" s="50" t="n"/>
      <c r="C46" s="51" t="n"/>
      <c r="D46" s="51" t="n"/>
      <c r="E46" s="49" t="n"/>
      <c r="F46" s="49" t="n"/>
      <c r="G46" s="51" t="n"/>
      <c r="H46" s="51" t="n"/>
      <c r="I46" s="49" t="n"/>
      <c r="J46" s="50" t="n"/>
      <c r="K46" s="51" t="n"/>
      <c r="L46" s="50" t="n"/>
      <c r="M46" s="49" t="n"/>
      <c r="N46" s="51" t="n"/>
      <c r="O46" s="51" t="n"/>
    </row>
    <row r="47" ht="15" customHeight="1" s="31">
      <c r="A47" s="49" t="n"/>
      <c r="B47" s="50" t="n"/>
      <c r="C47" s="51" t="n"/>
      <c r="D47" s="51" t="n"/>
      <c r="E47" s="49" t="n"/>
      <c r="F47" s="49" t="n"/>
      <c r="G47" s="51" t="n"/>
      <c r="H47" s="51" t="n"/>
      <c r="I47" s="49" t="n"/>
      <c r="J47" s="50" t="n"/>
      <c r="K47" s="51" t="n"/>
      <c r="L47" s="50" t="n"/>
      <c r="M47" s="49" t="n"/>
      <c r="N47" s="51" t="n"/>
      <c r="O47" s="51" t="n"/>
    </row>
    <row r="48" ht="15" customHeight="1" s="31">
      <c r="A48" s="49" t="n"/>
      <c r="B48" s="50" t="n"/>
      <c r="C48" s="51" t="n"/>
      <c r="D48" s="51" t="n"/>
      <c r="E48" s="49" t="n"/>
      <c r="F48" s="49" t="n"/>
      <c r="G48" s="51" t="n"/>
      <c r="H48" s="51" t="n"/>
      <c r="I48" s="49" t="n"/>
      <c r="J48" s="50" t="n"/>
      <c r="K48" s="51" t="n"/>
      <c r="L48" s="50" t="n"/>
      <c r="M48" s="49" t="n"/>
      <c r="N48" s="51" t="n"/>
      <c r="O48" s="51" t="n"/>
    </row>
    <row r="49" ht="15" customHeight="1" s="31">
      <c r="A49" s="49" t="n"/>
      <c r="B49" s="50" t="n"/>
      <c r="C49" s="51" t="n"/>
      <c r="D49" s="51" t="n"/>
      <c r="E49" s="49" t="n"/>
      <c r="F49" s="49" t="n"/>
      <c r="G49" s="51" t="n"/>
      <c r="H49" s="51" t="n"/>
      <c r="I49" s="49" t="n"/>
      <c r="J49" s="50" t="n"/>
      <c r="K49" s="51" t="n"/>
      <c r="L49" s="50" t="n"/>
      <c r="M49" s="49" t="n"/>
      <c r="N49" s="51" t="n"/>
      <c r="O49" s="51" t="n"/>
    </row>
    <row r="50" ht="15" customHeight="1" s="31">
      <c r="A50" s="49" t="n"/>
      <c r="B50" s="50" t="n"/>
      <c r="C50" s="51" t="n"/>
      <c r="D50" s="51" t="n"/>
      <c r="E50" s="49" t="n"/>
      <c r="F50" s="49" t="n"/>
      <c r="G50" s="51" t="n"/>
      <c r="H50" s="51" t="n"/>
      <c r="I50" s="49" t="n"/>
      <c r="J50" s="50" t="n"/>
      <c r="K50" s="51" t="n"/>
      <c r="L50" s="50" t="n"/>
      <c r="M50" s="49" t="n"/>
      <c r="N50" s="51" t="n"/>
      <c r="O50" s="51" t="n"/>
    </row>
    <row r="51" ht="15" customHeight="1" s="31">
      <c r="A51" s="49" t="n"/>
      <c r="B51" s="50" t="n"/>
      <c r="C51" s="51" t="n"/>
      <c r="D51" s="51" t="n"/>
      <c r="E51" s="49" t="n"/>
      <c r="F51" s="49" t="n"/>
      <c r="G51" s="51" t="n"/>
      <c r="H51" s="51" t="n"/>
      <c r="I51" s="49" t="n"/>
      <c r="J51" s="50" t="n"/>
      <c r="K51" s="51" t="n"/>
      <c r="L51" s="50" t="n"/>
      <c r="M51" s="49" t="n"/>
      <c r="N51" s="51" t="n"/>
      <c r="O51" s="51" t="n"/>
    </row>
    <row r="52" ht="15" customHeight="1" s="31">
      <c r="A52" s="49" t="n"/>
      <c r="B52" s="50" t="n"/>
      <c r="C52" s="51" t="n"/>
      <c r="D52" s="51" t="n"/>
      <c r="E52" s="49" t="n"/>
      <c r="F52" s="49" t="n"/>
      <c r="G52" s="51" t="n"/>
      <c r="H52" s="51" t="n"/>
      <c r="I52" s="49" t="n"/>
      <c r="J52" s="50" t="n"/>
      <c r="K52" s="51" t="n"/>
      <c r="L52" s="50" t="n"/>
      <c r="M52" s="49" t="n"/>
      <c r="N52" s="51" t="n"/>
      <c r="O52" s="51" t="n"/>
    </row>
    <row r="53" ht="15" customHeight="1" s="31">
      <c r="A53" s="49" t="n"/>
      <c r="B53" s="50" t="n"/>
      <c r="C53" s="51" t="n"/>
      <c r="D53" s="51" t="n"/>
      <c r="E53" s="49" t="n"/>
      <c r="F53" s="49" t="n"/>
      <c r="G53" s="51" t="n"/>
      <c r="H53" s="51" t="n"/>
      <c r="I53" s="49" t="n"/>
      <c r="J53" s="50" t="n"/>
      <c r="K53" s="51" t="n"/>
      <c r="L53" s="50" t="n"/>
      <c r="M53" s="49" t="n"/>
      <c r="N53" s="51" t="n"/>
      <c r="O53" s="51" t="n"/>
    </row>
    <row r="54" ht="15" customHeight="1" s="31">
      <c r="A54" s="49" t="n"/>
      <c r="B54" s="50" t="n"/>
      <c r="C54" s="51" t="n"/>
      <c r="D54" s="51" t="n"/>
      <c r="E54" s="49" t="n"/>
      <c r="F54" s="49" t="n"/>
      <c r="G54" s="51" t="n"/>
      <c r="H54" s="51" t="n"/>
      <c r="I54" s="49" t="n"/>
      <c r="J54" s="50" t="n"/>
      <c r="K54" s="51" t="n"/>
      <c r="L54" s="50" t="n"/>
      <c r="M54" s="49" t="n"/>
      <c r="N54" s="51" t="n"/>
      <c r="O54" s="51" t="n"/>
    </row>
    <row r="55" ht="15" customHeight="1" s="31">
      <c r="A55" s="49" t="n"/>
      <c r="B55" s="50" t="n"/>
      <c r="C55" s="51" t="n"/>
      <c r="D55" s="51" t="n"/>
      <c r="E55" s="49" t="n"/>
      <c r="F55" s="49" t="n"/>
      <c r="G55" s="51" t="n"/>
      <c r="H55" s="51" t="n"/>
      <c r="I55" s="49" t="n"/>
      <c r="J55" s="50" t="n"/>
      <c r="K55" s="51" t="n"/>
      <c r="L55" s="50" t="n"/>
      <c r="M55" s="49" t="n"/>
      <c r="N55" s="51" t="n"/>
      <c r="O55" s="51" t="n"/>
    </row>
  </sheetData>
  <autoFilter ref="A5:O5"/>
  <mergeCells count="1">
    <mergeCell ref="A4:O4"/>
  </mergeCells>
  <conditionalFormatting sqref="M6:M1000">
    <cfRule type="cellIs" rank="0" priority="2" equalAverage="0" operator="equal" aboveAverage="0" dxfId="3" text="" percent="0" bottom="0">
      <formula>"Open"</formula>
    </cfRule>
    <cfRule type="cellIs" rank="0" priority="3" equalAverage="0" operator="equal" aboveAverage="0" dxfId="4" text="" percent="0" bottom="0">
      <formula>"In Progress"</formula>
    </cfRule>
    <cfRule type="cellIs" rank="0" priority="4" equalAverage="0" operator="equal" aboveAverage="0" dxfId="7" text="" percent="0" bottom="0">
      <formula>"Completed"</formula>
    </cfRule>
    <cfRule type="cellIs" rank="0" priority="5" equalAverage="0" operator="equal" aboveAverage="0" dxfId="8" text="" percent="0" bottom="0">
      <formula>"Not Pursued"</formula>
    </cfRule>
  </conditionalFormatting>
  <dataValidations count="1">
    <dataValidation sqref="M6:M1000" showDropDown="0" showInputMessage="0" showErrorMessage="0" allowBlank="1" type="list" errorStyle="stop" operator="between">
      <formula1>"Open,In Progress,Completed,Not Pursued"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003C72"/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30" customWidth="1" style="30" min="1" max="1"/>
    <col width="12" customWidth="1" style="30" min="2" max="2"/>
  </cols>
  <sheetData>
    <row r="1" ht="24.75" customHeight="1" s="31"/>
    <row r="2" ht="24.75" customHeight="1" s="31"/>
    <row r="3" ht="24.75" customHeight="1" s="31"/>
    <row r="4" ht="24" customHeight="1" s="31">
      <c r="A4" s="52" t="inlineStr">
        <is>
          <t>NCR, OFI AND CAPA REGISTER — DASHBOARD</t>
        </is>
      </c>
    </row>
    <row r="5"/>
    <row r="6"/>
    <row r="7" ht="15" customHeight="1" s="31">
      <c r="A7" s="40" t="inlineStr">
        <is>
          <t>Non-Conformance Summary</t>
        </is>
      </c>
    </row>
    <row r="8" ht="15" customHeight="1" s="31">
      <c r="A8" s="42" t="inlineStr">
        <is>
          <t>Open</t>
        </is>
      </c>
      <c r="B8" s="53">
        <f>COUNTIF(NCR!Q5:Q1000,"Open")</f>
        <v/>
      </c>
    </row>
    <row r="9" ht="15" customHeight="1" s="31">
      <c r="A9" s="46" t="inlineStr">
        <is>
          <t>In Progress</t>
        </is>
      </c>
      <c r="B9" s="54">
        <f>COUNTIF(NCR!Q5:Q1000,"In Progress")</f>
        <v/>
      </c>
    </row>
    <row r="10" ht="15" customHeight="1" s="31">
      <c r="A10" s="42" t="inlineStr">
        <is>
          <t>CA Implemented</t>
        </is>
      </c>
      <c r="B10" s="53">
        <f>COUNTIF(NCR!Q5:Q1000,"CA Implemented")</f>
        <v/>
      </c>
    </row>
    <row r="11" ht="15" customHeight="1" s="31">
      <c r="A11" s="46" t="inlineStr">
        <is>
          <t>Verified Effective</t>
        </is>
      </c>
      <c r="B11" s="54">
        <f>COUNTIF(NCR!Q5:Q1000,"Verified Effective")</f>
        <v/>
      </c>
    </row>
    <row r="12" ht="15" customHeight="1" s="31">
      <c r="A12" s="42" t="inlineStr">
        <is>
          <t>Closed</t>
        </is>
      </c>
      <c r="B12" s="53">
        <f>COUNTIF(NCR!Q5:Q1000,"Closed")</f>
        <v/>
      </c>
    </row>
    <row r="13" ht="15" customHeight="1" s="31">
      <c r="A13" s="46" t="inlineStr">
        <is>
          <t>Total NCRs</t>
        </is>
      </c>
      <c r="B13" s="54">
        <f>COUNTA(NCR!A6:A1000)</f>
        <v/>
      </c>
    </row>
    <row r="14"/>
    <row r="15" ht="15" customHeight="1" s="31">
      <c r="A15" s="40" t="inlineStr">
        <is>
          <t>NCR by Severity</t>
        </is>
      </c>
    </row>
    <row r="16" ht="15" customHeight="1" s="31">
      <c r="A16" s="55" t="inlineStr">
        <is>
          <t>Major</t>
        </is>
      </c>
      <c r="B16" s="53">
        <f>COUNTIF(NCR!F6:F1000,"Major")</f>
        <v/>
      </c>
    </row>
    <row r="17" ht="15" customHeight="1" s="31">
      <c r="A17" s="56" t="inlineStr">
        <is>
          <t>Minor</t>
        </is>
      </c>
      <c r="B17" s="54">
        <f>COUNTIF(NCR!F6:F1000,"Minor")</f>
        <v/>
      </c>
    </row>
    <row r="18"/>
    <row r="19" ht="15" customHeight="1" s="31">
      <c r="A19" s="57" t="inlineStr">
        <is>
          <t>Overdue Corrective Actions</t>
        </is>
      </c>
    </row>
    <row r="20" ht="15" customHeight="1" s="31">
      <c r="A20" s="58" t="inlineStr">
        <is>
          <t>NCRs past target date</t>
        </is>
      </c>
      <c r="B20" s="59">
        <f>COUNTIFS(NCR!K6:K1000,"&lt;"&amp;TODAY(),NCR!Q6:Q1000,"&lt;&gt;Closed",NCR!Q6:Q1000,"&lt;&gt;Verified Effective",NCR!K6:K1000,"&lt;&gt;")</f>
        <v/>
      </c>
    </row>
    <row r="21"/>
    <row r="22" ht="15" customHeight="1" s="31">
      <c r="A22" s="40" t="inlineStr">
        <is>
          <t>OFI Summary</t>
        </is>
      </c>
    </row>
    <row r="23" ht="15" customHeight="1" s="31">
      <c r="A23" s="42" t="inlineStr">
        <is>
          <t>Open</t>
        </is>
      </c>
      <c r="B23" s="53">
        <f>COUNTIF(OFI!M6:M1000,"Open")</f>
        <v/>
      </c>
    </row>
    <row r="24" ht="15" customHeight="1" s="31">
      <c r="A24" s="46" t="inlineStr">
        <is>
          <t>In Progress</t>
        </is>
      </c>
      <c r="B24" s="54">
        <f>COUNTIF(OFI!M6:M1000,"In Progress")</f>
        <v/>
      </c>
    </row>
    <row r="25" ht="15" customHeight="1" s="31">
      <c r="A25" s="42" t="inlineStr">
        <is>
          <t>Completed</t>
        </is>
      </c>
      <c r="B25" s="53">
        <f>COUNTIF(OFI!M6:M1000,"Completed")</f>
        <v/>
      </c>
    </row>
    <row r="26" ht="15" customHeight="1" s="31">
      <c r="A26" s="46" t="inlineStr">
        <is>
          <t>Not Pursued</t>
        </is>
      </c>
      <c r="B26" s="54">
        <f>COUNTIF(OFI!M6:M1000,"Not Pursued")</f>
        <v/>
      </c>
    </row>
    <row r="27" ht="15" customHeight="1" s="31">
      <c r="A27" s="42" t="inlineStr">
        <is>
          <t>Total OFIs</t>
        </is>
      </c>
      <c r="B27" s="53">
        <f>COUNTA(OFI!A6:A1000)</f>
        <v/>
      </c>
    </row>
  </sheetData>
  <mergeCells count="5">
    <mergeCell ref="A4:H4"/>
    <mergeCell ref="A15:B15"/>
    <mergeCell ref="A7:B7"/>
    <mergeCell ref="A19:B19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22" customWidth="1" style="30" min="1" max="1"/>
    <col width="22" customWidth="1" style="30" min="3" max="3"/>
    <col width="18" customWidth="1" style="30" min="5" max="5"/>
  </cols>
  <sheetData>
    <row r="1" ht="15" customHeight="1" s="31">
      <c r="A1" s="60" t="inlineStr">
        <is>
          <t>Source</t>
        </is>
      </c>
      <c r="C1" s="60" t="inlineStr">
        <is>
          <t>OFI Type</t>
        </is>
      </c>
      <c r="E1" s="60" t="inlineStr">
        <is>
          <t>Department</t>
        </is>
      </c>
    </row>
    <row r="2" ht="15" customHeight="1" s="31">
      <c r="A2" s="61" t="inlineStr">
        <is>
          <t>Internal Audit</t>
        </is>
      </c>
      <c r="C2" s="61" t="inlineStr">
        <is>
          <t>Process Improvement</t>
        </is>
      </c>
      <c r="E2" s="61" t="inlineStr">
        <is>
          <t>Compliance</t>
        </is>
      </c>
    </row>
    <row r="3" ht="15" customHeight="1" s="31">
      <c r="A3" s="61" t="inlineStr">
        <is>
          <t>External Audit</t>
        </is>
      </c>
      <c r="C3" s="61" t="inlineStr">
        <is>
          <t>Documentation</t>
        </is>
      </c>
      <c r="E3" s="61" t="inlineStr">
        <is>
          <t>Operations</t>
        </is>
      </c>
    </row>
    <row r="4" ht="15" customHeight="1" s="31">
      <c r="A4" s="61" t="inlineStr">
        <is>
          <t>Client Due Diligence</t>
        </is>
      </c>
      <c r="C4" s="61" t="inlineStr">
        <is>
          <t>Training</t>
        </is>
      </c>
      <c r="E4" s="61" t="inlineStr">
        <is>
          <t>Commercial</t>
        </is>
      </c>
    </row>
    <row r="5" ht="15" customHeight="1" s="31">
      <c r="A5" s="61" t="inlineStr">
        <is>
          <t>Client Feedback</t>
        </is>
      </c>
      <c r="C5" s="61" t="inlineStr">
        <is>
          <t>Communication</t>
        </is>
      </c>
      <c r="E5" s="61" t="inlineStr">
        <is>
          <t>HR / Admin</t>
        </is>
      </c>
    </row>
    <row r="6" ht="15" customHeight="1" s="31">
      <c r="A6" s="61" t="inlineStr">
        <is>
          <t>HSE Reporting App</t>
        </is>
      </c>
      <c r="C6" s="61" t="inlineStr">
        <is>
          <t>Technology/Systems</t>
        </is>
      </c>
      <c r="E6" s="61" t="inlineStr">
        <is>
          <t>Training</t>
        </is>
      </c>
    </row>
    <row r="7" ht="15" customHeight="1" s="31">
      <c r="A7" s="61" t="inlineStr">
        <is>
          <t>Incident Report</t>
        </is>
      </c>
      <c r="C7" s="61" t="inlineStr">
        <is>
          <t>Resource Allocation</t>
        </is>
      </c>
      <c r="E7" s="61" t="inlineStr">
        <is>
          <t>Finance</t>
        </is>
      </c>
    </row>
    <row r="8" ht="15" customHeight="1" s="31">
      <c r="A8" s="61" t="inlineStr">
        <is>
          <t>Near-Miss Report</t>
        </is>
      </c>
      <c r="C8" s="61" t="inlineStr">
        <is>
          <t>Best Practice</t>
        </is>
      </c>
      <c r="E8" s="61" t="inlineStr">
        <is>
          <t>IT</t>
        </is>
      </c>
    </row>
    <row r="9" ht="15" customHeight="1" s="31">
      <c r="A9" s="61" t="inlineStr">
        <is>
          <t>Management Review</t>
        </is>
      </c>
      <c r="E9" s="61" t="inlineStr">
        <is>
          <t>Fleet / Vessel</t>
        </is>
      </c>
    </row>
    <row r="10" ht="15" customHeight="1" s="31">
      <c r="A10" s="61" t="inlineStr">
        <is>
          <t>Operational Observation</t>
        </is>
      </c>
      <c r="E10" s="61" t="inlineStr">
        <is>
          <t>Procurement</t>
        </is>
      </c>
    </row>
    <row r="11" ht="15" customHeight="1" s="31">
      <c r="A11" s="61" t="inlineStr">
        <is>
          <t>Compliance Campaign</t>
        </is>
      </c>
      <c r="E11" s="61" t="inlineStr">
        <is>
          <t>Management</t>
        </is>
      </c>
    </row>
    <row r="12" ht="15" customHeight="1" s="31">
      <c r="A12" s="61" t="inlineStr">
        <is>
          <t>Regulatory Inspection</t>
        </is>
      </c>
    </row>
    <row r="13" ht="15" customHeight="1" s="31">
      <c r="A13" s="61" t="inlineStr">
        <is>
          <t>Flag State Review</t>
        </is>
      </c>
    </row>
    <row r="14" ht="15" customHeight="1" s="31">
      <c r="A14" s="61" t="inlineStr">
        <is>
          <t>Supplier/Subcontractor</t>
        </is>
      </c>
    </row>
    <row r="15" ht="15" customHeight="1" s="31">
      <c r="A15" s="61" t="inlineStr">
        <is>
          <t>Self-Identified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22" customWidth="1" style="30" min="1" max="1"/>
    <col width="18" customWidth="1" style="30" min="2" max="6"/>
  </cols>
  <sheetData>
    <row r="1" ht="24.75" customHeight="1" s="31"/>
    <row r="2" ht="24.75" customHeight="1" s="31"/>
    <row r="3" ht="24.75" customHeight="1" s="31"/>
    <row r="4" ht="24" customHeight="1" s="31">
      <c r="A4" s="52" t="inlineStr">
        <is>
          <t>NCR, OFI AND CAPA REGISTER — INSTRUCTIONS</t>
        </is>
      </c>
    </row>
    <row r="5" ht="15" customHeight="1" s="31">
      <c r="A5" s="40" t="inlineStr">
        <is>
          <t>SM/INT/REG/004 v1.0</t>
        </is>
      </c>
    </row>
    <row r="6"/>
    <row r="7" ht="21.75" customHeight="1" s="31">
      <c r="A7" s="34" t="inlineStr">
        <is>
          <t>Purpose</t>
        </is>
      </c>
      <c r="B7" s="62" t="inlineStr">
        <is>
          <t>This register records all non-conformances, opportunities for improvement and corrective/preventive actions across all Seagull Maritime entities and management systems.</t>
        </is>
      </c>
      <c r="C7" s="36" t="n"/>
      <c r="D7" s="36" t="n"/>
      <c r="E7" s="36" t="n"/>
      <c r="F7" s="36" t="n"/>
    </row>
    <row r="8" ht="21.75" customHeight="1" s="31">
      <c r="A8" s="38" t="inlineStr">
        <is>
          <t>Governing Procedure</t>
        </is>
      </c>
      <c r="B8" s="63" t="inlineStr">
        <is>
          <t>SM/INT/PRO/001 — Non-Conformance, OFI and Corrective Action Management. All processes described in this register are governed by this procedure.</t>
        </is>
      </c>
      <c r="C8" s="36" t="n"/>
      <c r="D8" s="36" t="n"/>
      <c r="E8" s="36" t="n"/>
      <c r="F8" s="36" t="n"/>
    </row>
    <row r="9" ht="21.75" customHeight="1" s="31">
      <c r="A9" s="34" t="inlineStr">
        <is>
          <t>Reporting Channels</t>
        </is>
      </c>
      <c r="B9" s="62" t="inlineStr">
        <is>
          <t>Findings can be raised via the Non-Conformance Report Form (SM/INT/FORM/001), the company HSE reporting application, or directly by auditors during internal/external audits.</t>
        </is>
      </c>
      <c r="C9" s="36" t="n"/>
      <c r="D9" s="36" t="n"/>
      <c r="E9" s="36" t="n"/>
      <c r="F9" s="36" t="n"/>
    </row>
    <row r="10" ht="32.25" customHeight="1" s="31">
      <c r="A10" s="38" t="inlineStr">
        <is>
          <t>NCR Sheet</t>
        </is>
      </c>
      <c r="B10" s="63" t="inlineStr">
        <is>
          <t>Record all non-conformances. Each NCR must have a unique reference (e.g. NCR-001), root cause analysis, corrective action plan, and follow the lifecycle: Open → In Progress → CA Implemented → Verified Effective → Closed.</t>
        </is>
      </c>
      <c r="C10" s="36" t="n"/>
      <c r="D10" s="36" t="n"/>
      <c r="E10" s="36" t="n"/>
      <c r="F10" s="36" t="n"/>
    </row>
    <row r="11" ht="21.75" customHeight="1" s="31">
      <c r="A11" s="34" t="inlineStr">
        <is>
          <t>OFI Sheet</t>
        </is>
      </c>
      <c r="B11" s="62" t="inlineStr">
        <is>
          <t>Record all opportunities for improvement. OFIs follow a simplified lifecycle: Open → In Progress → Completed or Not Pursued (with justification recorded).</t>
        </is>
      </c>
      <c r="C11" s="36" t="n"/>
      <c r="D11" s="36" t="n"/>
      <c r="E11" s="36" t="n"/>
      <c r="F11" s="36" t="n"/>
    </row>
    <row r="12" ht="21.75" customHeight="1" s="31">
      <c r="A12" s="38" t="inlineStr">
        <is>
          <t>Dashboard</t>
        </is>
      </c>
      <c r="B12" s="63" t="inlineStr">
        <is>
          <t>Auto-calculated summary of all NCRs and OFIs including overdue items. Do not edit — values are formula-driven.</t>
        </is>
      </c>
      <c r="C12" s="36" t="n"/>
      <c r="D12" s="36" t="n"/>
      <c r="E12" s="36" t="n"/>
      <c r="F12" s="36" t="n"/>
    </row>
    <row r="13" ht="15" customHeight="1" s="31">
      <c r="A13" s="34" t="inlineStr">
        <is>
          <t>Lists Sheet</t>
        </is>
      </c>
      <c r="B13" s="62" t="inlineStr">
        <is>
          <t>Dropdown source data for data validation. Add new sources, OFI types or departments here as required.</t>
        </is>
      </c>
      <c r="C13" s="36" t="n"/>
      <c r="D13" s="36" t="n"/>
      <c r="E13" s="36" t="n"/>
      <c r="F13" s="36" t="n"/>
    </row>
    <row r="14" ht="21.75" customHeight="1" s="31">
      <c r="A14" s="38" t="inlineStr">
        <is>
          <t>Severity (NCR)</t>
        </is>
      </c>
      <c r="B14" s="63" t="inlineStr">
        <is>
          <t>Major: systemic failure, regulatory breach, safety risk, or failure to deliver contracted services. Minor: isolated failure that does not represent systemic breakdown.</t>
        </is>
      </c>
      <c r="C14" s="36" t="n"/>
      <c r="D14" s="36" t="n"/>
      <c r="E14" s="36" t="n"/>
      <c r="F14" s="36" t="n"/>
    </row>
    <row r="15" ht="32.25" customHeight="1" s="31">
      <c r="A15" s="34" t="inlineStr">
        <is>
          <t>Status Lifecycle (NCR)</t>
        </is>
      </c>
      <c r="B15" s="62" t="inlineStr">
        <is>
          <t>Open — recorded, not yet investigated. In Progress — root cause analysis or CA underway. CA Implemented — action completed, awaiting verification. Verified Effective — verification confirms root cause addressed. Closed — effectiveness review completed.</t>
        </is>
      </c>
      <c r="C15" s="36" t="n"/>
      <c r="D15" s="36" t="n"/>
      <c r="E15" s="36" t="n"/>
      <c r="F15" s="36" t="n"/>
    </row>
    <row r="16" ht="21.75" customHeight="1" s="31">
      <c r="A16" s="38" t="inlineStr">
        <is>
          <t>Status Lifecycle (OFI)</t>
        </is>
      </c>
      <c r="B16" s="63" t="inlineStr">
        <is>
          <t>Open — recorded. In Progress — action underway. Completed — action implemented. Not Pursued — decision recorded with justification.</t>
        </is>
      </c>
      <c r="C16" s="36" t="n"/>
      <c r="D16" s="36" t="n"/>
      <c r="E16" s="36" t="n"/>
      <c r="F16" s="36" t="n"/>
    </row>
    <row r="17" ht="21.75" customHeight="1" s="31">
      <c r="A17" s="34" t="inlineStr">
        <is>
          <t>Target Dates</t>
        </is>
      </c>
      <c r="B17" s="62" t="inlineStr">
        <is>
          <t>Set by the Group Compliance Director. Overdue items are flagged on the Dashboard. Escalation: Minor NCR overdue = follow-up then CEO escalation. Major NCR overdue = immediate CEO escalation.</t>
        </is>
      </c>
      <c r="C17" s="36" t="n"/>
      <c r="D17" s="36" t="n"/>
      <c r="E17" s="36" t="n"/>
      <c r="F17" s="36" t="n"/>
    </row>
    <row r="18" ht="15" customHeight="1" s="31">
      <c r="A18" s="38" t="inlineStr">
        <is>
          <t>Evidence</t>
        </is>
      </c>
      <c r="B18" s="63" t="inlineStr">
        <is>
          <t>All corrective actions must be supported by evidence of implementation, filed against the NCR reference.</t>
        </is>
      </c>
      <c r="C18" s="36" t="n"/>
      <c r="D18" s="36" t="n"/>
      <c r="E18" s="36" t="n"/>
      <c r="F18" s="36" t="n"/>
    </row>
    <row r="19" ht="15" customHeight="1" s="31">
      <c r="A19" s="34" t="inlineStr">
        <is>
          <t>Maintained By</t>
        </is>
      </c>
      <c r="B19" s="62" t="inlineStr">
        <is>
          <t>Compliance Administrator under direction of the Group Compliance Director.</t>
        </is>
      </c>
      <c r="C19" s="36" t="n"/>
      <c r="D19" s="36" t="n"/>
      <c r="E19" s="36" t="n"/>
      <c r="F19" s="36" t="n"/>
    </row>
  </sheetData>
  <mergeCells count="15">
    <mergeCell ref="B12:F12"/>
    <mergeCell ref="B7:F7"/>
    <mergeCell ref="B9:F9"/>
    <mergeCell ref="B16:F16"/>
    <mergeCell ref="B15:F15"/>
    <mergeCell ref="B10:F10"/>
    <mergeCell ref="A5:F5"/>
    <mergeCell ref="B11:F11"/>
    <mergeCell ref="B19:F19"/>
    <mergeCell ref="A4:F4"/>
    <mergeCell ref="B14:F14"/>
    <mergeCell ref="B8:F8"/>
    <mergeCell ref="B17:F17"/>
    <mergeCell ref="B18:F18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2026-03-30T08:23:36Z</dcterms:created>
  <dcterms:modified xmlns:dcterms="http://purl.org/dc/terms/" xmlns:xsi="http://www.w3.org/2001/XMLSchema-instance" xsi:type="dcterms:W3CDTF">2026-04-10T05:54:46Z</dcterms:modified>
  <cp:lastModifiedBy>Darren Watts</cp:lastModifiedBy>
  <cp:revision>0</cp:revision>
</cp:coreProperties>
</file>