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4310" yWindow="-90" windowWidth="19380" windowHeight="10260" tabRatio="500" firstSheet="2" activeTab="3" autoFilterDateGrouping="1"/>
  </bookViews>
  <sheets>
    <sheet xmlns:r="http://schemas.openxmlformats.org/officeDocument/2006/relationships" name="Register Information" sheetId="1" state="visible" r:id="rId1"/>
    <sheet xmlns:r="http://schemas.openxmlformats.org/officeDocument/2006/relationships" name="International" sheetId="2" state="visible" r:id="rId2"/>
    <sheet xmlns:r="http://schemas.openxmlformats.org/officeDocument/2006/relationships" name="United Kingdom" sheetId="3" state="visible" r:id="rId3"/>
    <sheet xmlns:r="http://schemas.openxmlformats.org/officeDocument/2006/relationships" name="Greece" sheetId="4" state="visible" r:id="rId4"/>
    <sheet xmlns:r="http://schemas.openxmlformats.org/officeDocument/2006/relationships" name="Nigeria" sheetId="5" state="visible" r:id="rId5"/>
    <sheet xmlns:r="http://schemas.openxmlformats.org/officeDocument/2006/relationships" name="UAE" sheetId="6" state="visible" r:id="rId6"/>
    <sheet xmlns:r="http://schemas.openxmlformats.org/officeDocument/2006/relationships" name="Dashboard" sheetId="7" state="visible" r:id="rId7"/>
    <sheet xmlns:r="http://schemas.openxmlformats.org/officeDocument/2006/relationships" name="Methodology" sheetId="8" state="visible" r:id="rId8"/>
    <sheet xmlns:r="http://schemas.openxmlformats.org/officeDocument/2006/relationships" name="Instructions" sheetId="9" state="visible" r:id="rId9"/>
  </sheets>
  <definedNames/>
  <calcPr calcId="191029" fullCalcOnLoad="1"/>
</workbook>
</file>

<file path=xl/styles.xml><?xml version="1.0" encoding="utf-8"?>
<styleSheet xmlns="http://schemas.openxmlformats.org/spreadsheetml/2006/main">
  <numFmts count="1">
    <numFmt numFmtId="164" formatCode="yyyy-mm-dd"/>
  </numFmts>
  <fonts count="8">
    <font>
      <name val="Calibri"/>
      <charset val="1"/>
      <family val="2"/>
      <color theme="1"/>
      <sz val="11"/>
    </font>
    <font>
      <name val="Avenir Next LT Pro"/>
      <charset val="1"/>
      <b val="1"/>
      <color rgb="FF003C72"/>
      <sz val="20"/>
    </font>
    <font>
      <name val="Avenir Next LT Pro"/>
      <charset val="1"/>
      <b val="1"/>
      <color rgb="FF003C72"/>
      <sz val="12"/>
    </font>
    <font>
      <name val="Aptos"/>
      <charset val="1"/>
      <b val="1"/>
      <color rgb="FFFFFFFF"/>
      <sz val="9"/>
    </font>
    <font>
      <name val="Aptos"/>
      <charset val="1"/>
      <sz val="9"/>
    </font>
    <font>
      <name val="Aptos"/>
      <charset val="1"/>
      <b val="1"/>
      <color rgb="FF003C72"/>
      <sz val="9"/>
    </font>
    <font>
      <name val="Aptos"/>
      <charset val="1"/>
      <b val="1"/>
      <color rgb="FF9C6500"/>
      <sz val="9"/>
    </font>
    <font>
      <name val="Aptos"/>
      <charset val="1"/>
      <b val="1"/>
      <sz val="9"/>
    </font>
  </fonts>
  <fills count="6">
    <fill>
      <patternFill/>
    </fill>
    <fill>
      <patternFill patternType="gray125"/>
    </fill>
    <fill>
      <patternFill patternType="solid">
        <fgColor rgb="FF003C72"/>
        <bgColor rgb="FF333399"/>
      </patternFill>
    </fill>
    <fill>
      <patternFill patternType="solid">
        <fgColor rgb="FFFFF2CC"/>
        <bgColor rgb="FFE2EFDA"/>
      </patternFill>
    </fill>
    <fill>
      <patternFill patternType="solid">
        <fgColor rgb="FFE2EFDA"/>
        <bgColor rgb="FFFFF2CC"/>
      </patternFill>
    </fill>
    <fill>
      <patternFill patternType="solid">
        <fgColor rgb="FFFFC7CE"/>
        <bgColor rgb="FFCCCCFF"/>
      </patternFill>
    </fill>
  </fills>
  <borders count="7">
    <border>
      <left/>
      <right/>
      <top/>
      <bottom/>
      <diagonal/>
    </border>
    <border>
      <left style="thin">
        <color rgb="FF003C72"/>
      </left>
      <right style="thin">
        <color rgb="FF003C72"/>
      </right>
      <top style="thin">
        <color rgb="FF003C72"/>
      </top>
      <bottom style="thin">
        <color rgb="FF003C72"/>
      </bottom>
      <diagonal/>
    </border>
    <border>
      <left style="thin">
        <color rgb="FF003C72"/>
      </left>
      <right/>
      <top style="thin">
        <color rgb="FF003C72"/>
      </top>
      <bottom style="thin">
        <color rgb="FF003C72"/>
      </bottom>
      <diagonal/>
    </border>
    <border>
      <left/>
      <right/>
      <top style="thin">
        <color rgb="FF003C72"/>
      </top>
      <bottom/>
      <diagonal/>
    </border>
    <border>
      <left/>
      <right style="thin">
        <color rgb="FF003C72"/>
      </right>
      <top style="thin">
        <color rgb="FF003C72"/>
      </top>
      <bottom/>
      <diagonal/>
    </border>
    <border>
      <left/>
      <right/>
      <top style="thin">
        <color rgb="FF003C72"/>
      </top>
      <bottom style="thin">
        <color rgb="FF003C72"/>
      </bottom>
      <diagonal/>
    </border>
    <border>
      <left/>
      <right style="thin">
        <color rgb="FF003C72"/>
      </right>
      <top style="thin">
        <color rgb="FF003C72"/>
      </top>
      <bottom style="thin">
        <color rgb="FF003C72"/>
      </bottom>
      <diagonal/>
    </border>
  </borders>
  <cellStyleXfs count="1">
    <xf numFmtId="0" fontId="0" fillId="0" borderId="0"/>
  </cellStyleXfs>
  <cellXfs count="22">
    <xf numFmtId="0" fontId="0"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3"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6" fillId="3" borderId="1" applyAlignment="1" pivotButton="0" quotePrefix="0" xfId="0">
      <alignment horizontal="center" vertical="center" wrapText="1"/>
    </xf>
    <xf numFmtId="0" fontId="4" fillId="0" borderId="1" pivotButton="0" quotePrefix="0" xfId="0"/>
    <xf numFmtId="0" fontId="7"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0" borderId="1" pivotButton="0" quotePrefix="0" xfId="0"/>
    <xf numFmtId="0" fontId="1" fillId="0" borderId="0" pivotButton="0" quotePrefix="0" xfId="0"/>
    <xf numFmtId="0" fontId="2" fillId="0" borderId="0" pivotButton="0" quotePrefix="0" xfId="0"/>
    <xf numFmtId="0" fontId="4" fillId="0" borderId="2" applyAlignment="1" pivotButton="0" quotePrefix="0" xfId="0">
      <alignment horizontal="left" vertical="center" wrapText="1"/>
    </xf>
    <xf numFmtId="0" fontId="4" fillId="0" borderId="1" applyAlignment="1" pivotButton="0" quotePrefix="0" xfId="0">
      <alignment horizontal="left" vertical="center" wrapText="1"/>
    </xf>
    <xf numFmtId="0" fontId="4" fillId="0" borderId="0" applyAlignment="1" pivotButton="0" quotePrefix="0" xfId="0">
      <alignment horizontal="left" vertical="center" wrapText="1"/>
    </xf>
    <xf numFmtId="0" fontId="4" fillId="0" borderId="0" pivotButton="0" quotePrefix="0" xfId="0"/>
    <xf numFmtId="0" fontId="0" fillId="0" borderId="5" pivotButton="0" quotePrefix="0" xfId="0"/>
    <xf numFmtId="0" fontId="0" fillId="0" borderId="6" pivotButton="0" quotePrefix="0" xfId="0"/>
    <xf numFmtId="164" fontId="4" fillId="0" borderId="1"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9C65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C72"/>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F32"/>
  <sheetViews>
    <sheetView showGridLines="0" zoomScale="80" zoomScaleNormal="80" workbookViewId="0">
      <selection activeCell="B42" sqref="B42"/>
    </sheetView>
  </sheetViews>
  <sheetFormatPr baseColWidth="8" defaultColWidth="8.7265625" defaultRowHeight="14.5"/>
  <cols>
    <col width="22" customWidth="1" min="1" max="1"/>
    <col width="30" customWidth="1" min="2" max="2"/>
    <col width="14" customWidth="1" min="3" max="3"/>
    <col width="50" customWidth="1" min="4" max="4"/>
  </cols>
  <sheetData>
    <row r="2" ht="25.5" customHeight="1">
      <c r="A2" s="13" t="inlineStr">
        <is>
          <t>LEGAL AND REGULATORY REQUIREMENTS REGISTER</t>
        </is>
      </c>
    </row>
    <row r="4" ht="15.5" customHeight="1">
      <c r="A4" s="14" t="inlineStr">
        <is>
          <t>REGISTER INFORMATION</t>
        </is>
      </c>
    </row>
    <row r="6" ht="15" customHeight="1">
      <c r="A6" s="2" t="inlineStr">
        <is>
          <t>Document Reference:</t>
        </is>
      </c>
      <c r="B6" s="16" t="inlineStr">
        <is>
          <t>SM/HSE/REG/002</t>
        </is>
      </c>
      <c r="C6" s="19" t="n"/>
      <c r="D6" s="20" t="n"/>
    </row>
    <row r="7" ht="15" customHeight="1">
      <c r="A7" s="2" t="inlineStr">
        <is>
          <t>Document Title:</t>
        </is>
      </c>
      <c r="B7" s="16" t="inlineStr">
        <is>
          <t>Legal and Regulatory Requirements Register</t>
        </is>
      </c>
      <c r="C7" s="19" t="n"/>
      <c r="D7" s="20" t="n"/>
    </row>
    <row r="8" ht="15" customHeight="1">
      <c r="A8" s="2" t="inlineStr">
        <is>
          <t>System:</t>
        </is>
      </c>
      <c r="B8" s="16" t="inlineStr">
        <is>
          <t>Health, Safety &amp; Environment (ISO 45001) — cross-referenced to ISO 18788 / ISO 28007</t>
        </is>
      </c>
      <c r="C8" s="19" t="n"/>
      <c r="D8" s="20" t="n"/>
    </row>
    <row r="9" ht="15" customHeight="1">
      <c r="A9" s="2" t="inlineStr">
        <is>
          <t>Version:</t>
        </is>
      </c>
      <c r="B9" s="16" t="inlineStr">
        <is>
          <t>1.1</t>
        </is>
      </c>
      <c r="C9" s="19" t="n"/>
      <c r="D9" s="20" t="n"/>
    </row>
    <row r="10" ht="15" customHeight="1">
      <c r="A10" s="2" t="inlineStr">
        <is>
          <t>Status:</t>
        </is>
      </c>
      <c r="B10" s="16" t="inlineStr">
        <is>
          <t>Approved</t>
        </is>
      </c>
      <c r="C10" s="19" t="n"/>
      <c r="D10" s="20" t="n"/>
    </row>
    <row r="11" ht="15" customHeight="1">
      <c r="A11" s="2" t="inlineStr">
        <is>
          <t>Created by:</t>
        </is>
      </c>
      <c r="B11" s="16" t="inlineStr">
        <is>
          <t>Group Compliance Director</t>
        </is>
      </c>
      <c r="C11" s="19" t="n"/>
      <c r="D11" s="20" t="n"/>
    </row>
    <row r="12" ht="15" customHeight="1">
      <c r="A12" s="2" t="inlineStr">
        <is>
          <t>Approved by:</t>
        </is>
      </c>
      <c r="B12" s="16" t="inlineStr">
        <is>
          <t>Pavel Shparber, CEO</t>
        </is>
      </c>
      <c r="C12" s="19" t="n"/>
      <c r="D12" s="20" t="n"/>
    </row>
    <row r="13" ht="15" customHeight="1">
      <c r="A13" s="2" t="inlineStr">
        <is>
          <t>Effective Date:</t>
        </is>
      </c>
      <c r="B13" s="16" t="inlineStr">
        <is>
          <t>1 April 2026</t>
        </is>
      </c>
      <c r="C13" s="19" t="n"/>
      <c r="D13" s="20" t="n"/>
    </row>
    <row r="14" ht="15" customHeight="1">
      <c r="A14" s="2" t="inlineStr">
        <is>
          <t>Review Date:</t>
        </is>
      </c>
      <c r="B14" s="16" t="inlineStr">
        <is>
          <t>1 October 2026</t>
        </is>
      </c>
      <c r="C14" s="19" t="n"/>
      <c r="D14" s="20" t="n"/>
    </row>
    <row r="15" ht="15" customHeight="1">
      <c r="A15" s="2" t="inlineStr">
        <is>
          <t>Review Frequency:</t>
        </is>
      </c>
      <c r="B15" s="16" t="inlineStr">
        <is>
          <t>Annual per jurisdiction, and upon change in law, operations, or audit finding</t>
        </is>
      </c>
      <c r="C15" s="19" t="n"/>
      <c r="D15" s="20" t="n"/>
    </row>
    <row r="17" ht="15.5" customHeight="1">
      <c r="A17" s="14" t="inlineStr">
        <is>
          <t>PURPOSE</t>
        </is>
      </c>
    </row>
    <row r="18" ht="43.4" customHeight="1">
      <c r="A18" s="17" t="inlineStr">
        <is>
          <t>This register identifies all legal and regulatory requirements applicable to Seagull Maritime across each jurisdiction in which it operates. It satisfies ISO 45001 Clause 6.1.3 (Determination of legal requirements and other requirements) and provides cross-references to ISO 18788 and ISO 28007 where applicable. It is the auditable evidence that Seagull Maritime has identified, evaluated, and maintains awareness of its legal obligations.</t>
        </is>
      </c>
    </row>
    <row r="20" ht="15.5" customHeight="1">
      <c r="A20" s="14" t="inlineStr">
        <is>
          <t>SCOPE</t>
        </is>
      </c>
    </row>
    <row r="21" ht="22.4" customHeight="1">
      <c r="A21" s="17" t="inlineStr">
        <is>
          <t>All jurisdictions in which Seagull Maritime entities operate or hold offices: International (IMO/ILO/ISO), United Kingdom, Greece, Nigeria, United Arab Emirates. Additional jurisdiction tabs will be added as operations expand.</t>
        </is>
      </c>
    </row>
    <row r="23" ht="15.5" customHeight="1">
      <c r="A23" s="14" t="inlineStr">
        <is>
          <t>RELATED DOCUMENTS</t>
        </is>
      </c>
    </row>
    <row r="24">
      <c r="A24" s="18" t="inlineStr">
        <is>
          <t>SM/HSE/PRO/002 — Legal and Regulatory Compliance Procedure</t>
        </is>
      </c>
    </row>
    <row r="25">
      <c r="A25" s="18" t="inlineStr">
        <is>
          <t>SM/INT/PRO/004 — External References and Standards Procedure</t>
        </is>
      </c>
    </row>
    <row r="26">
      <c r="A26" s="18" t="inlineStr">
        <is>
          <t>SM/SEC/REG/001 — Flag State Requirements Register</t>
        </is>
      </c>
    </row>
    <row r="27">
      <c r="A27" s="18" t="inlineStr">
        <is>
          <t>SM/INT/REG/007 — External Standards and References Register</t>
        </is>
      </c>
    </row>
    <row r="28">
      <c r="A28" s="18" t="inlineStr">
        <is>
          <t>SM/INT/PRO/001 — NCR/OFI/CAPA Management Procedure</t>
        </is>
      </c>
    </row>
    <row r="30">
      <c r="A30" t="inlineStr">
        <is>
          <t>REVISION HISTORY</t>
        </is>
      </c>
    </row>
    <row r="31">
      <c r="A31" t="inlineStr">
        <is>
          <t>v1.0</t>
        </is>
      </c>
      <c r="B31" t="inlineStr">
        <is>
          <t>1 April 2026 — Initial issue (37 requirements across 5 jurisdictions).</t>
        </is>
      </c>
    </row>
    <row r="32">
      <c r="A32" t="inlineStr">
        <is>
          <t>v1.1</t>
        </is>
      </c>
      <c r="B32" t="inlineStr">
        <is>
          <t>20 April 2026 — Pre-Libero Stage 1 refresh: dropdowns added to Category / Impact / Responsible / Status / Review Frequency; ISO 45001, 18788 and 28007 clause mappings completed on all rows; high-confidence issue and amendment dates populated; Next Review Date set to 30 June 2026 across all entries; Dashboard extended with Partial, Under Review and Compliant – N/A counts.</t>
        </is>
      </c>
    </row>
  </sheetData>
  <mergeCells count="22">
    <mergeCell ref="B11:D11"/>
    <mergeCell ref="A23:D23"/>
    <mergeCell ref="A17:D17"/>
    <mergeCell ref="B14:D14"/>
    <mergeCell ref="B8:D8"/>
    <mergeCell ref="A20:D20"/>
    <mergeCell ref="B13:D13"/>
    <mergeCell ref="A28:D28"/>
    <mergeCell ref="B10:D10"/>
    <mergeCell ref="A2:F2"/>
    <mergeCell ref="B9:D9"/>
    <mergeCell ref="A24:D24"/>
    <mergeCell ref="A4:F4"/>
    <mergeCell ref="B15:D15"/>
    <mergeCell ref="B6:D6"/>
    <mergeCell ref="A25:D25"/>
    <mergeCell ref="B7:D7"/>
    <mergeCell ref="A18:D18"/>
    <mergeCell ref="A27:D27"/>
    <mergeCell ref="A26:D26"/>
    <mergeCell ref="A21:D21"/>
    <mergeCell ref="B12:D12"/>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2:R10"/>
  <sheetViews>
    <sheetView showGridLines="0"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8.7265625" defaultRowHeight="14.5"/>
  <cols>
    <col width="8" customWidth="1" min="1" max="1"/>
    <col width="14" customWidth="1" min="2" max="2"/>
    <col width="32" customWidth="1" min="3" max="3"/>
    <col width="12" customWidth="1" min="4" max="5"/>
    <col width="14" customWidth="1" min="6" max="6"/>
    <col width="45" customWidth="1" min="7" max="7"/>
    <col width="14" customWidth="1" min="8" max="10"/>
    <col width="20" customWidth="1" min="11" max="11"/>
    <col width="18" customWidth="1" min="12" max="12"/>
    <col width="14" customWidth="1" min="13" max="13"/>
    <col width="30" customWidth="1" min="14" max="14"/>
    <col width="16" customWidth="1" min="15" max="15"/>
    <col width="12" customWidth="1" min="16" max="17"/>
    <col width="25" customWidth="1" min="18" max="18"/>
  </cols>
  <sheetData>
    <row r="2" ht="25.5" customHeight="1">
      <c r="A2" s="13" t="inlineStr">
        <is>
          <t>LEGAL AND REGULATORY REQUIREMENTS — INTERNATIONAL</t>
        </is>
      </c>
    </row>
    <row r="4" ht="24" customHeight="1">
      <c r="A4" s="3" t="inlineStr">
        <is>
          <t>Ref</t>
        </is>
      </c>
      <c r="B4" s="3" t="inlineStr">
        <is>
          <t>Category</t>
        </is>
      </c>
      <c r="C4" s="3" t="inlineStr">
        <is>
          <t>Legal / Standard Source</t>
        </is>
      </c>
      <c r="D4" s="3" t="inlineStr">
        <is>
          <t>Date of Issue</t>
        </is>
      </c>
      <c r="E4" s="3" t="inlineStr">
        <is>
          <t>Last Amendment</t>
        </is>
      </c>
      <c r="F4" s="3" t="inlineStr">
        <is>
          <t>Impact Assessment</t>
        </is>
      </c>
      <c r="G4" s="3" t="inlineStr">
        <is>
          <t>Key Requirement Summary</t>
        </is>
      </c>
      <c r="H4" s="3" t="inlineStr">
        <is>
          <t>ISO 45001 Clauses</t>
        </is>
      </c>
      <c r="I4" s="3" t="inlineStr">
        <is>
          <t>ISO 18788 Clauses</t>
        </is>
      </c>
      <c r="J4" s="3" t="inlineStr">
        <is>
          <t>ISO 28007 Clauses</t>
        </is>
      </c>
      <c r="K4" s="3" t="inlineStr">
        <is>
          <t>Applicability</t>
        </is>
      </c>
      <c r="L4" s="3" t="inlineStr">
        <is>
          <t>Responsible Role</t>
        </is>
      </c>
      <c r="M4" s="3" t="inlineStr">
        <is>
          <t>Compliance Status</t>
        </is>
      </c>
      <c r="N4" s="3" t="inlineStr">
        <is>
          <t>Evidence / Records</t>
        </is>
      </c>
      <c r="O4" s="3" t="inlineStr">
        <is>
          <t>Review Frequency</t>
        </is>
      </c>
      <c r="P4" s="3" t="inlineStr">
        <is>
          <t>Last Review Date</t>
        </is>
      </c>
      <c r="Q4" s="3" t="inlineStr">
        <is>
          <t>Next Review Date</t>
        </is>
      </c>
      <c r="R4" s="3" t="inlineStr">
        <is>
          <t>Comments / Actions</t>
        </is>
      </c>
    </row>
    <row r="5" ht="36" customHeight="1">
      <c r="A5" s="4" t="inlineStr">
        <is>
          <t>INT-01</t>
        </is>
      </c>
      <c r="B5" s="16" t="inlineStr">
        <is>
          <t>Maritime</t>
        </is>
      </c>
      <c r="C5" s="16" t="inlineStr">
        <is>
          <t>Maritime Labour Convention (MLC), 2006</t>
        </is>
      </c>
      <c r="D5" s="16" t="inlineStr">
        <is>
          <t>2006-02-23</t>
        </is>
      </c>
      <c r="E5" s="16" t="inlineStr">
        <is>
          <t>2022-12-23</t>
        </is>
      </c>
      <c r="F5" s="6" t="inlineStr">
        <is>
          <t>Not Assessed</t>
        </is>
      </c>
      <c r="G5" s="16" t="inlineStr">
        <is>
          <t>Ensure seafarer welfare: medical fitness, minimum rest, decent conditions, complaint mechanisms; verify through MLC documentation where applicable.</t>
        </is>
      </c>
      <c r="H5" s="16" t="inlineStr">
        <is>
          <t>7.1, 8.1, 8.2, 9.1.2</t>
        </is>
      </c>
      <c r="I5" s="16" t="inlineStr">
        <is>
          <t>4.3, 6.1.3, 6.1.4, 9.1.3</t>
        </is>
      </c>
      <c r="J5" s="16" t="inlineStr">
        <is>
          <t>6.4, 6.5, 8.4, 9.1</t>
        </is>
      </c>
      <c r="K5" s="16" t="inlineStr">
        <is>
          <t>Armed / Unarmed (maritime-linked roles)</t>
        </is>
      </c>
      <c r="L5" s="16" t="inlineStr">
        <is>
          <t>QHSE Manager</t>
        </is>
      </c>
      <c r="M5" s="6" t="inlineStr">
        <is>
          <t>Not Assessed</t>
        </is>
      </c>
      <c r="N5" s="16" t="inlineStr">
        <is>
          <t>Medical fitness certificates; rest-hour logs; welfare checks; DMLC references (if shipowner); deployment files</t>
        </is>
      </c>
      <c r="O5" s="16" t="inlineStr">
        <is>
          <t>Annual</t>
        </is>
      </c>
      <c r="P5" s="16" t="n"/>
      <c r="Q5" s="21" t="n">
        <v>46203</v>
      </c>
      <c r="R5" s="16" t="n"/>
    </row>
    <row r="6" ht="36" customHeight="1">
      <c r="A6" s="4" t="inlineStr">
        <is>
          <t>INT-02</t>
        </is>
      </c>
      <c r="B6" s="16" t="inlineStr">
        <is>
          <t>Maritime</t>
        </is>
      </c>
      <c r="C6" s="16" t="inlineStr">
        <is>
          <t>SOLAS Convention (as applicable)</t>
        </is>
      </c>
      <c r="D6" s="16" t="inlineStr">
        <is>
          <t>1974-11-01</t>
        </is>
      </c>
      <c r="E6" s="16" t="inlineStr">
        <is>
          <t>2024-01-01</t>
        </is>
      </c>
      <c r="F6" s="6" t="inlineStr">
        <is>
          <t>Not Assessed</t>
        </is>
      </c>
      <c r="G6" s="16" t="inlineStr">
        <is>
          <t>Maintain emergency preparedness interface: emergency roles, drills coordination, muster familiarity for deployed personnel; align shipboard emergency integration.</t>
        </is>
      </c>
      <c r="H6" s="16" t="inlineStr">
        <is>
          <t>8.2</t>
        </is>
      </c>
      <c r="I6" s="16" t="inlineStr">
        <is>
          <t>8.2</t>
        </is>
      </c>
      <c r="J6" s="16" t="inlineStr">
        <is>
          <t>8.1</t>
        </is>
      </c>
      <c r="K6" s="16" t="inlineStr">
        <is>
          <t>Armed / Unarmed (embarked / interface)</t>
        </is>
      </c>
      <c r="L6" s="16" t="inlineStr">
        <is>
          <t>Operations Manager</t>
        </is>
      </c>
      <c r="M6" s="6" t="inlineStr">
        <is>
          <t>Not Assessed</t>
        </is>
      </c>
      <c r="N6" s="16" t="inlineStr">
        <is>
          <t>ERP; drill participation records; emergency contact trees; briefing records</t>
        </is>
      </c>
      <c r="O6" s="16" t="inlineStr">
        <is>
          <t>Event-driven</t>
        </is>
      </c>
      <c r="P6" s="16" t="n"/>
      <c r="Q6" s="21" t="n">
        <v>46203</v>
      </c>
      <c r="R6" s="16" t="n"/>
    </row>
    <row r="7" ht="36" customHeight="1">
      <c r="A7" s="4" t="inlineStr">
        <is>
          <t>INT-03</t>
        </is>
      </c>
      <c r="B7" s="16" t="inlineStr">
        <is>
          <t>Maritime</t>
        </is>
      </c>
      <c r="C7" s="16" t="inlineStr">
        <is>
          <t>ISM Code (Safety Management)</t>
        </is>
      </c>
      <c r="D7" s="16" t="inlineStr">
        <is>
          <t>1993-11-04</t>
        </is>
      </c>
      <c r="E7" s="16" t="inlineStr">
        <is>
          <t>2022-01-01</t>
        </is>
      </c>
      <c r="F7" s="6" t="inlineStr">
        <is>
          <t>Not Assessed</t>
        </is>
      </c>
      <c r="G7" s="16" t="inlineStr">
        <is>
          <t>Integrate with vessel SMS interface: change control, incident reporting, competence, and operational controls impacting safety.</t>
        </is>
      </c>
      <c r="H7" s="16" t="inlineStr">
        <is>
          <t>5.3, 6.1, 7.5, 8.1.3, 10.2</t>
        </is>
      </c>
      <c r="I7" s="16" t="inlineStr">
        <is>
          <t>5.3, 6.1.1, 8.3, 8.4, 10.2</t>
        </is>
      </c>
      <c r="J7" s="16" t="inlineStr">
        <is>
          <t>5.2, 6.2, 8.1, 8.3</t>
        </is>
      </c>
      <c r="K7" s="16" t="inlineStr">
        <is>
          <t>Armed / Unarmed (embarked / interface)</t>
        </is>
      </c>
      <c r="L7" s="16" t="inlineStr">
        <is>
          <t>Operations Manager</t>
        </is>
      </c>
      <c r="M7" s="6" t="inlineStr">
        <is>
          <t>Not Assessed</t>
        </is>
      </c>
      <c r="N7" s="16" t="inlineStr">
        <is>
          <t>Interface procedures with Master; ship briefing records; incident reporting SOPs</t>
        </is>
      </c>
      <c r="O7" s="16" t="inlineStr">
        <is>
          <t>Event-driven</t>
        </is>
      </c>
      <c r="P7" s="16" t="n"/>
      <c r="Q7" s="21" t="n">
        <v>46203</v>
      </c>
      <c r="R7" s="16" t="n"/>
    </row>
    <row r="8" ht="36" customHeight="1">
      <c r="A8" s="4" t="inlineStr">
        <is>
          <t>INT-04</t>
        </is>
      </c>
      <c r="B8" s="16" t="inlineStr">
        <is>
          <t>OH&amp;S</t>
        </is>
      </c>
      <c r="C8" s="16" t="inlineStr">
        <is>
          <t>ISO 45001:2018</t>
        </is>
      </c>
      <c r="D8" s="16" t="inlineStr">
        <is>
          <t>2018-03-12</t>
        </is>
      </c>
      <c r="E8" s="16" t="n"/>
      <c r="F8" s="6" t="inlineStr">
        <is>
          <t>Not Assessed</t>
        </is>
      </c>
      <c r="G8" s="16" t="inlineStr">
        <is>
          <t>Maintain OH&amp;S MS: hazards, legal register, objectives, training, consultation, incident investigation, compliance evaluation.</t>
        </is>
      </c>
      <c r="H8" s="16" t="inlineStr">
        <is>
          <t>All clauses (4–10)</t>
        </is>
      </c>
      <c r="I8" s="16" t="inlineStr">
        <is>
          <t>All clauses (parallel MS structure)</t>
        </is>
      </c>
      <c r="J8" s="16" t="inlineStr">
        <is>
          <t>All clauses (parallel MS structure)</t>
        </is>
      </c>
      <c r="K8" s="16" t="inlineStr">
        <is>
          <t>All</t>
        </is>
      </c>
      <c r="L8" s="16" t="inlineStr">
        <is>
          <t>IMS Manager</t>
        </is>
      </c>
      <c r="M8" s="6" t="inlineStr">
        <is>
          <t>Not Assessed</t>
        </is>
      </c>
      <c r="N8" s="16" t="inlineStr">
        <is>
          <t>IMS manual; risk assessments; objectives &amp; KPI; audit &amp; management review minutes</t>
        </is>
      </c>
      <c r="O8" s="16" t="inlineStr">
        <is>
          <t>Annual</t>
        </is>
      </c>
      <c r="P8" s="16" t="n"/>
      <c r="Q8" s="21" t="n">
        <v>46203</v>
      </c>
      <c r="R8" s="16" t="n"/>
    </row>
    <row r="9" ht="36" customHeight="1">
      <c r="A9" s="4" t="inlineStr">
        <is>
          <t>INT-05</t>
        </is>
      </c>
      <c r="B9" s="16" t="inlineStr">
        <is>
          <t>OH&amp;S / Security</t>
        </is>
      </c>
      <c r="C9" s="16" t="inlineStr">
        <is>
          <t>ISO 18788:2015</t>
        </is>
      </c>
      <c r="D9" s="16" t="inlineStr">
        <is>
          <t>2015-11-01</t>
        </is>
      </c>
      <c r="E9" s="16" t="inlineStr">
        <is>
          <t>2021-01-01</t>
        </is>
      </c>
      <c r="F9" s="6" t="inlineStr">
        <is>
          <t>Not Assessed</t>
        </is>
      </c>
      <c r="G9" s="16" t="inlineStr">
        <is>
          <t>Implement private security operations MS: duty of care, human rights due diligence, use-of-force governance, operational planning, incident mgmt, grievance mechanisms.</t>
        </is>
      </c>
      <c r="H9" s="16" t="inlineStr">
        <is>
          <t>5.1, 5.2, 6.1, 7.2, 8.1, 10.2</t>
        </is>
      </c>
      <c r="I9" s="16" t="inlineStr">
        <is>
          <t>All clauses (4–10)</t>
        </is>
      </c>
      <c r="J9" s="16" t="inlineStr">
        <is>
          <t>All clauses (overlapping HLS)</t>
        </is>
      </c>
      <c r="K9" s="16" t="inlineStr">
        <is>
          <t>Unarmed / Armed</t>
        </is>
      </c>
      <c r="L9" s="16" t="inlineStr">
        <is>
          <t>Security Director</t>
        </is>
      </c>
      <c r="M9" s="6" t="inlineStr">
        <is>
          <t>Not Assessed</t>
        </is>
      </c>
      <c r="N9" s="16" t="inlineStr">
        <is>
          <t>HRDD records; RUF/RoE; vetting; training matrix; grievance/complaints log; post-incident care records</t>
        </is>
      </c>
      <c r="O9" s="16" t="inlineStr">
        <is>
          <t>Quarterly</t>
        </is>
      </c>
      <c r="P9" s="16" t="n"/>
      <c r="Q9" s="21" t="n">
        <v>46203</v>
      </c>
      <c r="R9" s="16" t="n"/>
    </row>
    <row r="10" ht="36" customHeight="1">
      <c r="A10" s="4" t="inlineStr">
        <is>
          <t>INT-06</t>
        </is>
      </c>
      <c r="B10" s="16" t="inlineStr">
        <is>
          <t>Firearms / Security</t>
        </is>
      </c>
      <c r="C10" s="16" t="inlineStr">
        <is>
          <t>ISO 28007-1:2015</t>
        </is>
      </c>
      <c r="D10" s="16" t="inlineStr">
        <is>
          <t>2015-12-01</t>
        </is>
      </c>
      <c r="E10" s="16" t="inlineStr">
        <is>
          <t>2021-01-01</t>
        </is>
      </c>
      <c r="F10" s="6" t="inlineStr">
        <is>
          <t>Not Assessed</t>
        </is>
      </c>
      <c r="G10" s="16" t="inlineStr">
        <is>
          <t>For armed PMSO on board: firearms lifecycle controls, armoury procedures, competence/medical fitness, ship interface, incident &amp; use-of-force reporting.</t>
        </is>
      </c>
      <c r="H10" s="16" t="inlineStr">
        <is>
          <t>6.1, 8.1, 8.2</t>
        </is>
      </c>
      <c r="I10" s="16" t="inlineStr">
        <is>
          <t>8.1, 8.3, 8.4, 8.5, 8.6</t>
        </is>
      </c>
      <c r="J10" s="16" t="inlineStr">
        <is>
          <t>All clauses (4–10)</t>
        </is>
      </c>
      <c r="K10" s="16" t="inlineStr">
        <is>
          <t>Armed only</t>
        </is>
      </c>
      <c r="L10" s="16" t="inlineStr">
        <is>
          <t>Security Director / Armoury Officer</t>
        </is>
      </c>
      <c r="M10" s="6" t="inlineStr">
        <is>
          <t>Not Assessed</t>
        </is>
      </c>
      <c r="N10" s="16" t="inlineStr">
        <is>
          <t>Armoury SOP; weapon issue/return logs; inventory; ND controls; live-fire quals; post-use reporting</t>
        </is>
      </c>
      <c r="O10" s="16" t="inlineStr">
        <is>
          <t>Quarterly</t>
        </is>
      </c>
      <c r="P10" s="16" t="n"/>
      <c r="Q10" s="21" t="n">
        <v>46203</v>
      </c>
      <c r="R10" s="16" t="n"/>
    </row>
  </sheetData>
  <mergeCells count="1">
    <mergeCell ref="A2:R2"/>
  </mergeCells>
  <dataValidations count="5">
    <dataValidation sqref="B5:B50" showDropDown="0" showInputMessage="0" showErrorMessage="0" allowBlank="1" errorTitle="Invalid entry" error="Invalid Category. Pick from the list." promptTitle="Category" prompt="Select a category from the dropdown." type="list">
      <formula1>"Maritime,OH&amp;S,Security,Firearms,Fire,Labour,Data Protection,Environmental,OH&amp;S / Security,Firearms / Security,Other"</formula1>
    </dataValidation>
    <dataValidation sqref="F5:F50" showDropDown="0" showInputMessage="0" showErrorMessage="0" allowBlank="1" errorTitle="Invalid entry" error="Invalid Impact Assessment. Pick from the list." promptTitle="Impact Assessment" prompt="Select a impact assessment from the dropdown." type="list">
      <formula1>"Not Assessed,No Impact,Low,Medium,High,Critical"</formula1>
    </dataValidation>
    <dataValidation sqref="L5:L50" showDropDown="0" showInputMessage="0" showErrorMessage="0" allowBlank="1" errorTitle="Invalid entry" error="Invalid Responsible Role. Pick from the list." promptTitle="Responsible Role" prompt="Select a responsible role from the dropdown." type="list">
      <formula1>"Group Compliance Director,QHSE Manager,Operations Manager,HR Manager,Facilities Manager,Security Director,Armoury Officer,Training Manager,UK Country Manager,Greece Country Manager,Nigeria Country Manager,UAE Country Manager,CEO"</formula1>
    </dataValidation>
    <dataValidation sqref="M5:M50" showDropDown="0" showInputMessage="0" showErrorMessage="0" allowBlank="1" errorTitle="Invalid entry" error="Invalid Compliance Status. Pick from the list." promptTitle="Compliance Status" prompt="Select a compliance status from the dropdown." type="list">
      <formula1>"Not Assessed,Under Review,Compliant,Compliant - Not Currently Applicable,Partial,Non-Compliant"</formula1>
    </dataValidation>
    <dataValidation sqref="O5:O50" showDropDown="0" showInputMessage="0" showErrorMessage="0" allowBlank="1" errorTitle="Invalid entry" error="Invalid Review Frequency. Pick from the list." promptTitle="Review Frequency" prompt="Select a review frequency from the dropdown." type="list">
      <formula1>"Annual,Biennial,Semi-Annual,Quarterly,Monthly,Event-driven,On Change"</formula1>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2:R17"/>
  <sheetViews>
    <sheetView showGridLines="0" zoomScaleNormal="100" workbookViewId="0">
      <pane xSplit="2" ySplit="4" topLeftCell="C5" activePane="bottomRight" state="frozen"/>
      <selection pane="topRight" activeCell="C1" sqref="C1"/>
      <selection pane="bottomLeft" activeCell="A5" sqref="A5"/>
      <selection pane="bottomRight" activeCell="G6" sqref="G6"/>
    </sheetView>
  </sheetViews>
  <sheetFormatPr baseColWidth="8" defaultColWidth="8.7265625" defaultRowHeight="14.5"/>
  <cols>
    <col width="8" customWidth="1" min="1" max="1"/>
    <col width="14" customWidth="1" min="2" max="2"/>
    <col width="32" customWidth="1" min="3" max="3"/>
    <col width="12" customWidth="1" min="4" max="5"/>
    <col width="14" customWidth="1" min="6" max="6"/>
    <col width="45" customWidth="1" min="7" max="7"/>
    <col width="14" customWidth="1" min="8" max="10"/>
    <col width="20" customWidth="1" min="11" max="11"/>
    <col width="18" customWidth="1" min="12" max="12"/>
    <col width="14" customWidth="1" min="13" max="13"/>
    <col width="30" customWidth="1" min="14" max="14"/>
    <col width="16" customWidth="1" min="15" max="15"/>
    <col width="12" customWidth="1" min="16" max="17"/>
    <col width="25" customWidth="1" min="18" max="18"/>
  </cols>
  <sheetData>
    <row r="2" ht="25.5" customHeight="1">
      <c r="A2" s="13" t="inlineStr">
        <is>
          <t>LEGAL AND REGULATORY REQUIREMENTS — UNITED KINGDOM</t>
        </is>
      </c>
    </row>
    <row r="4" ht="24" customHeight="1">
      <c r="A4" s="3" t="inlineStr">
        <is>
          <t>Ref</t>
        </is>
      </c>
      <c r="B4" s="3" t="inlineStr">
        <is>
          <t>Category</t>
        </is>
      </c>
      <c r="C4" s="3" t="inlineStr">
        <is>
          <t>Legal / Standard Source</t>
        </is>
      </c>
      <c r="D4" s="3" t="inlineStr">
        <is>
          <t>Date of Issue</t>
        </is>
      </c>
      <c r="E4" s="3" t="inlineStr">
        <is>
          <t>Last Amendment</t>
        </is>
      </c>
      <c r="F4" s="3" t="inlineStr">
        <is>
          <t>Impact Assessment</t>
        </is>
      </c>
      <c r="G4" s="3" t="inlineStr">
        <is>
          <t>Key Requirement Summary</t>
        </is>
      </c>
      <c r="H4" s="3" t="inlineStr">
        <is>
          <t>ISO 45001 Clauses</t>
        </is>
      </c>
      <c r="I4" s="3" t="inlineStr">
        <is>
          <t>ISO 18788 Clauses</t>
        </is>
      </c>
      <c r="J4" s="3" t="inlineStr">
        <is>
          <t>ISO 28007 Clauses</t>
        </is>
      </c>
      <c r="K4" s="3" t="inlineStr">
        <is>
          <t>Applicability</t>
        </is>
      </c>
      <c r="L4" s="3" t="inlineStr">
        <is>
          <t>Responsible Role</t>
        </is>
      </c>
      <c r="M4" s="3" t="inlineStr">
        <is>
          <t>Compliance Status</t>
        </is>
      </c>
      <c r="N4" s="3" t="inlineStr">
        <is>
          <t>Evidence / Records</t>
        </is>
      </c>
      <c r="O4" s="3" t="inlineStr">
        <is>
          <t>Review Frequency</t>
        </is>
      </c>
      <c r="P4" s="3" t="inlineStr">
        <is>
          <t>Last Review Date</t>
        </is>
      </c>
      <c r="Q4" s="3" t="inlineStr">
        <is>
          <t>Next Review Date</t>
        </is>
      </c>
      <c r="R4" s="3" t="inlineStr">
        <is>
          <t>Comments / Actions</t>
        </is>
      </c>
    </row>
    <row r="5" ht="24" customHeight="1">
      <c r="A5" s="4" t="inlineStr">
        <is>
          <t>UK-01</t>
        </is>
      </c>
      <c r="B5" s="16" t="inlineStr">
        <is>
          <t>OH&amp;S</t>
        </is>
      </c>
      <c r="C5" s="16" t="inlineStr">
        <is>
          <t>Health and Safety at Work etc. Act 1974</t>
        </is>
      </c>
      <c r="D5" s="16" t="inlineStr">
        <is>
          <t>1974</t>
        </is>
      </c>
      <c r="E5" s="16" t="inlineStr">
        <is>
          <t>2015-03-26</t>
        </is>
      </c>
      <c r="F5" s="6" t="inlineStr">
        <is>
          <t>Not Assessed</t>
        </is>
      </c>
      <c r="G5" s="16" t="inlineStr">
        <is>
          <t>Provide safe working, safe systems, information/training/supervision.</t>
        </is>
      </c>
      <c r="H5" s="16" t="inlineStr">
        <is>
          <t>5.1, 5.3, 6.1.2, 7.2, 7.3, 8.1</t>
        </is>
      </c>
      <c r="I5" s="16" t="inlineStr">
        <is>
          <t>5.1, 6.1.1, 7.2</t>
        </is>
      </c>
      <c r="J5" s="16" t="inlineStr">
        <is>
          <t>6.3</t>
        </is>
      </c>
      <c r="K5" s="16" t="inlineStr">
        <is>
          <t>Office / Unarmed</t>
        </is>
      </c>
      <c r="L5" s="16" t="inlineStr">
        <is>
          <t>UK Country Manager</t>
        </is>
      </c>
      <c r="M5" s="6" t="inlineStr">
        <is>
          <t>Not Assessed</t>
        </is>
      </c>
      <c r="N5" s="16" t="inlineStr">
        <is>
          <t>Risk assessments; policies</t>
        </is>
      </c>
      <c r="O5" s="16" t="inlineStr">
        <is>
          <t>Annual</t>
        </is>
      </c>
      <c r="P5" s="16" t="n"/>
      <c r="Q5" s="21" t="n">
        <v>46203</v>
      </c>
      <c r="R5" s="16" t="n"/>
    </row>
    <row r="6" ht="24" customHeight="1">
      <c r="A6" s="4" t="inlineStr">
        <is>
          <t>UK-02</t>
        </is>
      </c>
      <c r="B6" s="16" t="inlineStr">
        <is>
          <t>OH&amp;S</t>
        </is>
      </c>
      <c r="C6" s="16" t="inlineStr">
        <is>
          <t>Management of Health and Safety at Work Regulations 1999</t>
        </is>
      </c>
      <c r="D6" s="16" t="inlineStr">
        <is>
          <t>1999-12-29</t>
        </is>
      </c>
      <c r="E6" s="16" t="inlineStr">
        <is>
          <t>2003-09-01</t>
        </is>
      </c>
      <c r="F6" s="6" t="inlineStr">
        <is>
          <t>Not Assessed</t>
        </is>
      </c>
      <c r="G6" s="16" t="inlineStr">
        <is>
          <t>Conduct suitable and sufficient risk assessments; arrange competent assistance.</t>
        </is>
      </c>
      <c r="H6" s="16" t="inlineStr">
        <is>
          <t>6.3</t>
        </is>
      </c>
      <c r="I6" s="16" t="inlineStr">
        <is>
          <t>5.3, 6.1.1, 6.1.3</t>
        </is>
      </c>
      <c r="J6" s="16" t="inlineStr">
        <is>
          <t>6.1</t>
        </is>
      </c>
      <c r="K6" s="16" t="inlineStr">
        <is>
          <t>Office / Unarmed</t>
        </is>
      </c>
      <c r="L6" s="16" t="inlineStr">
        <is>
          <t>UK HSE Focal Point</t>
        </is>
      </c>
      <c r="M6" s="6" t="inlineStr">
        <is>
          <t>Not Assessed</t>
        </is>
      </c>
      <c r="N6" s="16" t="inlineStr">
        <is>
          <t>RA register; competent person records</t>
        </is>
      </c>
      <c r="O6" s="16" t="inlineStr">
        <is>
          <t>Annual</t>
        </is>
      </c>
      <c r="P6" s="16" t="n"/>
      <c r="Q6" s="21" t="n">
        <v>46203</v>
      </c>
      <c r="R6" s="16" t="n"/>
    </row>
    <row r="7" ht="24" customHeight="1">
      <c r="A7" s="4" t="inlineStr">
        <is>
          <t>UK-03</t>
        </is>
      </c>
      <c r="B7" s="16" t="inlineStr">
        <is>
          <t>OH&amp;S</t>
        </is>
      </c>
      <c r="C7" s="16" t="inlineStr">
        <is>
          <t>Working Time Regulations 1998</t>
        </is>
      </c>
      <c r="D7" s="16" t="inlineStr">
        <is>
          <t>1998-10-01</t>
        </is>
      </c>
      <c r="E7" s="16" t="inlineStr">
        <is>
          <t>2020-12-31</t>
        </is>
      </c>
      <c r="F7" s="6" t="inlineStr">
        <is>
          <t>Not Assessed</t>
        </is>
      </c>
      <c r="G7" s="16" t="inlineStr">
        <is>
          <t>Manage working hours/rest and fatigue; record where required.</t>
        </is>
      </c>
      <c r="H7" s="16" t="inlineStr">
        <is>
          <t>7.2, 8.1, 10.2</t>
        </is>
      </c>
      <c r="I7" s="16" t="inlineStr">
        <is>
          <t>6.1.3, 8.3</t>
        </is>
      </c>
      <c r="J7" s="16" t="inlineStr">
        <is>
          <t>7.2</t>
        </is>
      </c>
      <c r="K7" s="16" t="inlineStr">
        <is>
          <t>Office / Unarmed</t>
        </is>
      </c>
      <c r="L7" s="16" t="inlineStr">
        <is>
          <t>HR Manager</t>
        </is>
      </c>
      <c r="M7" s="6" t="inlineStr">
        <is>
          <t>Not Assessed</t>
        </is>
      </c>
      <c r="N7" s="16" t="inlineStr">
        <is>
          <t>Time/attendance records</t>
        </is>
      </c>
      <c r="O7" s="16" t="inlineStr">
        <is>
          <t>Annual</t>
        </is>
      </c>
      <c r="P7" s="16" t="n"/>
      <c r="Q7" s="21" t="n">
        <v>46203</v>
      </c>
      <c r="R7" s="16" t="n"/>
    </row>
    <row r="8" ht="24" customHeight="1">
      <c r="A8" s="4" t="inlineStr">
        <is>
          <t>UK-04</t>
        </is>
      </c>
      <c r="B8" s="16" t="inlineStr">
        <is>
          <t>Fire</t>
        </is>
      </c>
      <c r="C8" s="16" t="inlineStr">
        <is>
          <t>Regulatory Reform (Fire Safety) Order 2005</t>
        </is>
      </c>
      <c r="D8" s="16" t="inlineStr">
        <is>
          <t>2005-06-15</t>
        </is>
      </c>
      <c r="E8" s="16" t="inlineStr">
        <is>
          <t>2022-05-01</t>
        </is>
      </c>
      <c r="F8" s="6" t="inlineStr">
        <is>
          <t>Not Assessed</t>
        </is>
      </c>
      <c r="G8" s="16" t="inlineStr">
        <is>
          <t>Maintain fire risk assessment (FRA). Fire precautions, evacuation plan, fire drills.</t>
        </is>
      </c>
      <c r="H8" s="16" t="inlineStr">
        <is>
          <t>8.2</t>
        </is>
      </c>
      <c r="I8" s="16" t="inlineStr">
        <is>
          <t>8.2</t>
        </is>
      </c>
      <c r="J8" s="16" t="inlineStr">
        <is>
          <t>8.1</t>
        </is>
      </c>
      <c r="K8" s="16" t="inlineStr">
        <is>
          <t>Office</t>
        </is>
      </c>
      <c r="L8" s="16" t="inlineStr">
        <is>
          <t>Facilities Manager</t>
        </is>
      </c>
      <c r="M8" s="6" t="inlineStr">
        <is>
          <t>Not Assessed</t>
        </is>
      </c>
      <c r="N8" s="16" t="inlineStr">
        <is>
          <t>FRA; fire drill records</t>
        </is>
      </c>
      <c r="O8" s="16" t="inlineStr">
        <is>
          <t>Annual</t>
        </is>
      </c>
      <c r="P8" s="16" t="n"/>
      <c r="Q8" s="21" t="n">
        <v>46203</v>
      </c>
      <c r="R8" s="16" t="n"/>
    </row>
    <row r="9" ht="24" customHeight="1">
      <c r="A9" s="4" t="inlineStr">
        <is>
          <t>UK-05</t>
        </is>
      </c>
      <c r="B9" s="16" t="inlineStr">
        <is>
          <t>OH&amp;S</t>
        </is>
      </c>
      <c r="C9" s="16" t="inlineStr">
        <is>
          <t>Workplace (Health, Safety and Welfare) Regulations 1992</t>
        </is>
      </c>
      <c r="D9" s="16" t="inlineStr">
        <is>
          <t>1992-12-18</t>
        </is>
      </c>
      <c r="E9" s="16" t="inlineStr">
        <is>
          <t>2002-10-09</t>
        </is>
      </c>
      <c r="F9" s="6" t="inlineStr">
        <is>
          <t>Not Assessed</t>
        </is>
      </c>
      <c r="G9" s="16" t="inlineStr">
        <is>
          <t>Provide suitable workspace conditions: ventilation, lighting, welfare, safety.</t>
        </is>
      </c>
      <c r="H9" s="16" t="inlineStr">
        <is>
          <t>6.1, 8.1</t>
        </is>
      </c>
      <c r="I9" s="16" t="inlineStr">
        <is>
          <t>7.4</t>
        </is>
      </c>
      <c r="J9" s="16" t="inlineStr">
        <is>
          <t>7.1</t>
        </is>
      </c>
      <c r="K9" s="16" t="inlineStr">
        <is>
          <t>Office</t>
        </is>
      </c>
      <c r="L9" s="16" t="inlineStr">
        <is>
          <t>Facilities Manager</t>
        </is>
      </c>
      <c r="M9" s="6" t="inlineStr">
        <is>
          <t>Not Assessed</t>
        </is>
      </c>
      <c r="N9" s="16" t="inlineStr">
        <is>
          <t>HSE assessment</t>
        </is>
      </c>
      <c r="O9" s="16" t="inlineStr">
        <is>
          <t>Annual</t>
        </is>
      </c>
      <c r="P9" s="16" t="n"/>
      <c r="Q9" s="21" t="n">
        <v>46203</v>
      </c>
      <c r="R9" s="16" t="n"/>
    </row>
    <row r="10" ht="24" customHeight="1">
      <c r="A10" s="4" t="inlineStr">
        <is>
          <t>UK-06</t>
        </is>
      </c>
      <c r="B10" s="16" t="inlineStr">
        <is>
          <t>OH&amp;S</t>
        </is>
      </c>
      <c r="C10" s="16" t="inlineStr">
        <is>
          <t>Display Screen Equipment Regulations 1992</t>
        </is>
      </c>
      <c r="D10" s="16" t="inlineStr">
        <is>
          <t>1992-12-18</t>
        </is>
      </c>
      <c r="E10" s="16" t="inlineStr">
        <is>
          <t>2002-10-09</t>
        </is>
      </c>
      <c r="F10" s="6" t="inlineStr">
        <is>
          <t>Not Assessed</t>
        </is>
      </c>
      <c r="G10" s="16" t="inlineStr">
        <is>
          <t>Provide suitable DSE workstations, provide training, manage musculoskeletal risks.</t>
        </is>
      </c>
      <c r="H10" s="16" t="inlineStr">
        <is>
          <t>6.1, 7.2</t>
        </is>
      </c>
      <c r="I10" s="16" t="inlineStr">
        <is>
          <t>6.1, 7.3</t>
        </is>
      </c>
      <c r="J10" s="16" t="inlineStr">
        <is>
          <t>7.2</t>
        </is>
      </c>
      <c r="K10" s="16" t="inlineStr">
        <is>
          <t>Office / Unarmed</t>
        </is>
      </c>
      <c r="L10" s="16" t="inlineStr">
        <is>
          <t>UK HSE Focal Point</t>
        </is>
      </c>
      <c r="M10" s="6" t="inlineStr">
        <is>
          <t>Not Assessed</t>
        </is>
      </c>
      <c r="N10" s="16" t="inlineStr">
        <is>
          <t>DSE assessments</t>
        </is>
      </c>
      <c r="O10" s="16" t="inlineStr">
        <is>
          <t>Annual</t>
        </is>
      </c>
      <c r="P10" s="16" t="n"/>
      <c r="Q10" s="21" t="n">
        <v>46203</v>
      </c>
      <c r="R10" s="16" t="n"/>
    </row>
    <row r="11" ht="24" customHeight="1">
      <c r="A11" s="4" t="inlineStr">
        <is>
          <t>UK-07</t>
        </is>
      </c>
      <c r="B11" s="16" t="inlineStr">
        <is>
          <t>OH&amp;S</t>
        </is>
      </c>
      <c r="C11" s="16" t="inlineStr">
        <is>
          <t>Manual Handling Operations Regulations 1992</t>
        </is>
      </c>
      <c r="D11" s="16" t="inlineStr">
        <is>
          <t>1992-12-18</t>
        </is>
      </c>
      <c r="E11" s="16" t="inlineStr">
        <is>
          <t>2002-10-09</t>
        </is>
      </c>
      <c r="F11" s="6" t="inlineStr">
        <is>
          <t>Not Assessed</t>
        </is>
      </c>
      <c r="G11" s="16" t="inlineStr">
        <is>
          <t>Avoid hazardous manual handling; assess unavoidable risks; reduce risk.</t>
        </is>
      </c>
      <c r="H11" s="16" t="inlineStr">
        <is>
          <t>6.1, 7.2, 8.1</t>
        </is>
      </c>
      <c r="I11" s="16" t="inlineStr">
        <is>
          <t>6.1, 7.3</t>
        </is>
      </c>
      <c r="J11" s="16" t="inlineStr">
        <is>
          <t>7.1</t>
        </is>
      </c>
      <c r="K11" s="16" t="inlineStr">
        <is>
          <t>Office / Logistics</t>
        </is>
      </c>
      <c r="L11" s="16" t="inlineStr">
        <is>
          <t>Facilities Manager</t>
        </is>
      </c>
      <c r="M11" s="6" t="inlineStr">
        <is>
          <t>Not Assessed</t>
        </is>
      </c>
      <c r="N11" s="16" t="inlineStr">
        <is>
          <t>Manual handling assessments</t>
        </is>
      </c>
      <c r="O11" s="16" t="inlineStr">
        <is>
          <t>Annual</t>
        </is>
      </c>
      <c r="P11" s="16" t="n"/>
      <c r="Q11" s="21" t="n">
        <v>46203</v>
      </c>
      <c r="R11" s="16" t="n"/>
    </row>
    <row r="12" ht="24" customHeight="1">
      <c r="A12" s="4" t="inlineStr">
        <is>
          <t>UK-08</t>
        </is>
      </c>
      <c r="B12" s="16" t="inlineStr">
        <is>
          <t>OH&amp;S</t>
        </is>
      </c>
      <c r="C12" s="16" t="inlineStr">
        <is>
          <t>Control of Substances Hazardous to Health Regulations 2002 (COSHH)</t>
        </is>
      </c>
      <c r="D12" s="16" t="inlineStr">
        <is>
          <t>2002-10-09</t>
        </is>
      </c>
      <c r="E12" s="16" t="inlineStr">
        <is>
          <t>2021-01-01</t>
        </is>
      </c>
      <c r="F12" s="6" t="inlineStr">
        <is>
          <t>Not Assessed</t>
        </is>
      </c>
      <c r="G12" s="16" t="inlineStr">
        <is>
          <t>Assess and control exposure to hazardous substances (cleaning, maritime ops).</t>
        </is>
      </c>
      <c r="H12" s="16" t="inlineStr">
        <is>
          <t>6.1, 7.2, 8.1</t>
        </is>
      </c>
      <c r="I12" s="16" t="inlineStr">
        <is>
          <t>6.1, 7.3</t>
        </is>
      </c>
      <c r="J12" s="16" t="inlineStr">
        <is>
          <t>7.1</t>
        </is>
      </c>
      <c r="K12" s="16" t="inlineStr">
        <is>
          <t>Office / Unarmed</t>
        </is>
      </c>
      <c r="L12" s="16" t="inlineStr">
        <is>
          <t>Facilities Manager</t>
        </is>
      </c>
      <c r="M12" s="6" t="inlineStr">
        <is>
          <t>Not Assessed</t>
        </is>
      </c>
      <c r="N12" s="16" t="inlineStr">
        <is>
          <t>COSHH assessments</t>
        </is>
      </c>
      <c r="O12" s="16" t="inlineStr">
        <is>
          <t>Annual</t>
        </is>
      </c>
      <c r="P12" s="16" t="n"/>
      <c r="Q12" s="21" t="n">
        <v>46203</v>
      </c>
      <c r="R12" s="16" t="n"/>
    </row>
    <row r="13" ht="36" customHeight="1">
      <c r="A13" s="4" t="inlineStr">
        <is>
          <t>UK-09</t>
        </is>
      </c>
      <c r="B13" s="16" t="inlineStr">
        <is>
          <t>OH&amp;S</t>
        </is>
      </c>
      <c r="C13" s="16" t="inlineStr">
        <is>
          <t>Reporting of Injuries, Diseases and Dangerous Occurrences Regulations 2013 (RIDDOR)</t>
        </is>
      </c>
      <c r="D13" s="16" t="inlineStr">
        <is>
          <t>2013-10-01</t>
        </is>
      </c>
      <c r="E13" s="16" t="inlineStr">
        <is>
          <t>2020-12-31</t>
        </is>
      </c>
      <c r="F13" s="6" t="inlineStr">
        <is>
          <t>Not Assessed</t>
        </is>
      </c>
      <c r="G13" s="16" t="inlineStr">
        <is>
          <t>Report applicable injuries/diseases/dangerous occurrences to HSE; maintain records.</t>
        </is>
      </c>
      <c r="H13" s="16" t="inlineStr">
        <is>
          <t>10.2, 9.1.2</t>
        </is>
      </c>
      <c r="I13" s="16" t="inlineStr">
        <is>
          <t>10.1, 10.2</t>
        </is>
      </c>
      <c r="J13" s="16" t="inlineStr">
        <is>
          <t>10.1</t>
        </is>
      </c>
      <c r="K13" s="16" t="inlineStr">
        <is>
          <t>Office / Unarmed</t>
        </is>
      </c>
      <c r="L13" s="16" t="inlineStr">
        <is>
          <t>UK HSE Manager</t>
        </is>
      </c>
      <c r="M13" s="6" t="inlineStr">
        <is>
          <t>Not Assessed</t>
        </is>
      </c>
      <c r="N13" s="16" t="inlineStr">
        <is>
          <t>Incident reports</t>
        </is>
      </c>
      <c r="O13" s="16" t="inlineStr">
        <is>
          <t>Event-driven</t>
        </is>
      </c>
      <c r="P13" s="16" t="n"/>
      <c r="Q13" s="21" t="n">
        <v>46203</v>
      </c>
      <c r="R13" s="16" t="n"/>
    </row>
    <row r="14" ht="24" customHeight="1">
      <c r="A14" s="4" t="inlineStr">
        <is>
          <t>UK-10</t>
        </is>
      </c>
      <c r="B14" s="16" t="inlineStr">
        <is>
          <t>Firearms</t>
        </is>
      </c>
      <c r="C14" s="16" t="inlineStr">
        <is>
          <t>Firearms Act 1968</t>
        </is>
      </c>
      <c r="D14" s="16" t="inlineStr">
        <is>
          <t>1968-07-25</t>
        </is>
      </c>
      <c r="E14" s="16" t="inlineStr">
        <is>
          <t>2017-01-31</t>
        </is>
      </c>
      <c r="F14" s="6" t="inlineStr">
        <is>
          <t>Not Assessed</t>
        </is>
      </c>
      <c r="G14" s="16" t="inlineStr">
        <is>
          <t>If any firearms/ammunition are handled in UK jurisdiction, require appropriate licensing.</t>
        </is>
      </c>
      <c r="H14" s="16" t="inlineStr">
        <is>
          <t>6.1.3, 8.1</t>
        </is>
      </c>
      <c r="I14" s="16" t="inlineStr">
        <is>
          <t>8.5</t>
        </is>
      </c>
      <c r="J14" s="16" t="inlineStr">
        <is>
          <t>7.1, 7.2, 8.1, 8.3</t>
        </is>
      </c>
      <c r="K14" s="16" t="inlineStr">
        <is>
          <t>Armed only</t>
        </is>
      </c>
      <c r="L14" s="16" t="inlineStr">
        <is>
          <t>Security Director</t>
        </is>
      </c>
      <c r="M14" s="6" t="inlineStr">
        <is>
          <t>Not Assessed</t>
        </is>
      </c>
      <c r="N14" s="16" t="inlineStr">
        <is>
          <t>Licences (if any); compliance records</t>
        </is>
      </c>
      <c r="O14" s="16" t="inlineStr">
        <is>
          <t>Event-driven</t>
        </is>
      </c>
      <c r="P14" s="16" t="n"/>
      <c r="Q14" s="21" t="n">
        <v>46203</v>
      </c>
      <c r="R14" s="16" t="n"/>
    </row>
    <row r="15" ht="24" customHeight="1">
      <c r="A15" s="4" t="inlineStr">
        <is>
          <t>UK-11</t>
        </is>
      </c>
      <c r="B15" s="16" t="inlineStr">
        <is>
          <t>Maritime</t>
        </is>
      </c>
      <c r="C15" s="16" t="inlineStr">
        <is>
          <t>Merchant Shipping Act 1995</t>
        </is>
      </c>
      <c r="D15" s="16" t="inlineStr">
        <is>
          <t>1995-07-19</t>
        </is>
      </c>
      <c r="E15" s="16" t="inlineStr">
        <is>
          <t>2023-01-01</t>
        </is>
      </c>
      <c r="F15" s="6" t="inlineStr">
        <is>
          <t>Not Assessed</t>
        </is>
      </c>
      <c r="G15" s="16" t="inlineStr">
        <is>
          <t>When acting as shipowner/operator in UK scope; apply relevant sections.</t>
        </is>
      </c>
      <c r="H15" s="16" t="inlineStr">
        <is>
          <t>6.1.3, 8.1</t>
        </is>
      </c>
      <c r="I15" s="16" t="inlineStr">
        <is>
          <t>6.1.3</t>
        </is>
      </c>
      <c r="J15" s="16" t="inlineStr">
        <is>
          <t>6.3</t>
        </is>
      </c>
      <c r="K15" s="16" t="inlineStr">
        <is>
          <t>Maritime-linked</t>
        </is>
      </c>
      <c r="L15" s="16" t="inlineStr">
        <is>
          <t>Operations Manager</t>
        </is>
      </c>
      <c r="M15" s="6" t="inlineStr">
        <is>
          <t>Not Assessed</t>
        </is>
      </c>
      <c r="N15" s="16" t="inlineStr">
        <is>
          <t>Employment contracts; deployment records</t>
        </is>
      </c>
      <c r="O15" s="16" t="inlineStr">
        <is>
          <t>Event-driven</t>
        </is>
      </c>
      <c r="P15" s="16" t="n"/>
      <c r="Q15" s="21" t="n">
        <v>46203</v>
      </c>
      <c r="R15" s="16" t="n"/>
    </row>
    <row r="16" ht="24" customHeight="1">
      <c r="A16" s="4" t="inlineStr">
        <is>
          <t>UK-12</t>
        </is>
      </c>
      <c r="B16" s="16" t="inlineStr">
        <is>
          <t>OH&amp;S</t>
        </is>
      </c>
      <c r="C16" s="16" t="inlineStr">
        <is>
          <t>Health and Safety (Offences) Act 2008</t>
        </is>
      </c>
      <c r="D16" s="16" t="inlineStr">
        <is>
          <t>2008-10-16</t>
        </is>
      </c>
      <c r="E16" s="16" t="n"/>
      <c r="F16" s="6" t="inlineStr">
        <is>
          <t>Not Assessed</t>
        </is>
      </c>
      <c r="G16" s="16" t="inlineStr">
        <is>
          <t>Provide adequate and appropriate first aid equipment, facilities and training.</t>
        </is>
      </c>
      <c r="H16" s="16" t="inlineStr">
        <is>
          <t>7.2, 8.1, 9.1.2</t>
        </is>
      </c>
      <c r="I16" s="16" t="inlineStr">
        <is>
          <t>7.3, 10.2</t>
        </is>
      </c>
      <c r="J16" s="16" t="inlineStr">
        <is>
          <t>5.4</t>
        </is>
      </c>
      <c r="K16" s="16" t="inlineStr">
        <is>
          <t>Office / Unarmed</t>
        </is>
      </c>
      <c r="L16" s="16" t="inlineStr">
        <is>
          <t>Training Manager</t>
        </is>
      </c>
      <c r="M16" s="6" t="inlineStr">
        <is>
          <t>Not Assessed</t>
        </is>
      </c>
      <c r="N16" s="16" t="inlineStr">
        <is>
          <t>First aid needs assessment; certificates</t>
        </is>
      </c>
      <c r="O16" s="16" t="inlineStr">
        <is>
          <t>Annual</t>
        </is>
      </c>
      <c r="P16" s="16" t="n"/>
      <c r="Q16" s="21" t="n">
        <v>46203</v>
      </c>
      <c r="R16" s="16" t="n"/>
    </row>
    <row r="17" ht="24" customHeight="1">
      <c r="A17" s="4" t="inlineStr">
        <is>
          <t>UK-13</t>
        </is>
      </c>
      <c r="B17" s="16" t="inlineStr">
        <is>
          <t>Maritime</t>
        </is>
      </c>
      <c r="C17" s="16" t="inlineStr">
        <is>
          <t>Merchant Shipping (Maritime Labour Convention) Regulations</t>
        </is>
      </c>
      <c r="D17" s="16" t="inlineStr">
        <is>
          <t>2014-08-07</t>
        </is>
      </c>
      <c r="E17" s="16" t="inlineStr">
        <is>
          <t>2017-05-01</t>
        </is>
      </c>
      <c r="F17" s="6" t="inlineStr">
        <is>
          <t>Not Assessed</t>
        </is>
      </c>
      <c r="G17" s="16" t="inlineStr">
        <is>
          <t>Ensure compliance requirements are met where ratio requires maritime certification.</t>
        </is>
      </c>
      <c r="H17" s="16" t="inlineStr">
        <is>
          <t>7.2</t>
        </is>
      </c>
      <c r="I17" s="16" t="inlineStr">
        <is>
          <t>6.1.3</t>
        </is>
      </c>
      <c r="J17" s="16" t="inlineStr">
        <is>
          <t>7.2</t>
        </is>
      </c>
      <c r="K17" s="16" t="inlineStr">
        <is>
          <t>Maritime-linked</t>
        </is>
      </c>
      <c r="L17" s="16" t="inlineStr">
        <is>
          <t>Training Manager</t>
        </is>
      </c>
      <c r="M17" s="6" t="inlineStr">
        <is>
          <t>Not Assessed</t>
        </is>
      </c>
      <c r="N17" s="16" t="inlineStr">
        <is>
          <t>Certificates; training records</t>
        </is>
      </c>
      <c r="O17" s="16" t="inlineStr">
        <is>
          <t>Annual</t>
        </is>
      </c>
      <c r="P17" s="16" t="n"/>
      <c r="Q17" s="21" t="n">
        <v>46203</v>
      </c>
      <c r="R17" s="16" t="n"/>
    </row>
  </sheetData>
  <mergeCells count="1">
    <mergeCell ref="A2:R2"/>
  </mergeCells>
  <dataValidations count="5">
    <dataValidation sqref="B5:B50" showDropDown="0" showInputMessage="0" showErrorMessage="0" allowBlank="1" errorTitle="Invalid entry" error="Invalid Category. Pick from the list." promptTitle="Category" prompt="Select a category from the dropdown." type="list">
      <formula1>"Maritime,OH&amp;S,Security,Firearms,Fire,Labour,Data Protection,Environmental,OH&amp;S / Security,Firearms / Security,Other"</formula1>
    </dataValidation>
    <dataValidation sqref="F5:F50" showDropDown="0" showInputMessage="0" showErrorMessage="0" allowBlank="1" errorTitle="Invalid entry" error="Invalid Impact Assessment. Pick from the list." promptTitle="Impact Assessment" prompt="Select a impact assessment from the dropdown." type="list">
      <formula1>"Not Assessed,No Impact,Low,Medium,High,Critical"</formula1>
    </dataValidation>
    <dataValidation sqref="L5:L50" showDropDown="0" showInputMessage="0" showErrorMessage="0" allowBlank="1" errorTitle="Invalid entry" error="Invalid Responsible Role. Pick from the list." promptTitle="Responsible Role" prompt="Select a responsible role from the dropdown." type="list">
      <formula1>"Group Compliance Director,QHSE Manager,Operations Manager,HR Manager,Facilities Manager,Security Director,Armoury Officer,Training Manager,UK Country Manager,Greece Country Manager,Nigeria Country Manager,UAE Country Manager,CEO"</formula1>
    </dataValidation>
    <dataValidation sqref="M5:M50" showDropDown="0" showInputMessage="0" showErrorMessage="0" allowBlank="1" errorTitle="Invalid entry" error="Invalid Compliance Status. Pick from the list." promptTitle="Compliance Status" prompt="Select a compliance status from the dropdown." type="list">
      <formula1>"Not Assessed,Under Review,Compliant,Compliant - Not Currently Applicable,Partial,Non-Compliant"</formula1>
    </dataValidation>
    <dataValidation sqref="O5:O50" showDropDown="0" showInputMessage="0" showErrorMessage="0" allowBlank="1" errorTitle="Invalid entry" error="Invalid Review Frequency. Pick from the list." promptTitle="Review Frequency" prompt="Select a review frequency from the dropdown." type="list">
      <formula1>"Annual,Biennial,Semi-Annual,Quarterly,Monthly,Event-driven,On Change"</formula1>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2:R10"/>
  <sheetViews>
    <sheetView showGridLines="0" tabSelected="1" zoomScaleNormal="100" workbookViewId="0">
      <pane xSplit="2" ySplit="4" topLeftCell="C5" activePane="bottomRight" state="frozen"/>
      <selection pane="topRight" activeCell="C1" sqref="C1"/>
      <selection pane="bottomLeft" activeCell="A5" sqref="A5"/>
      <selection pane="bottomRight" activeCell="D6" sqref="D6"/>
    </sheetView>
  </sheetViews>
  <sheetFormatPr baseColWidth="8" defaultColWidth="8.7265625" defaultRowHeight="14.5"/>
  <cols>
    <col width="8" customWidth="1" min="1" max="1"/>
    <col width="14" customWidth="1" min="2" max="2"/>
    <col width="32" customWidth="1" min="3" max="3"/>
    <col width="12" customWidth="1" min="4" max="5"/>
    <col width="14" customWidth="1" min="6" max="6"/>
    <col width="45" customWidth="1" min="7" max="7"/>
    <col width="14" customWidth="1" min="8" max="10"/>
    <col width="20" customWidth="1" min="11" max="11"/>
    <col width="18" customWidth="1" min="12" max="12"/>
    <col width="14" customWidth="1" min="13" max="13"/>
    <col width="30" customWidth="1" min="14" max="14"/>
    <col width="16" customWidth="1" min="15" max="15"/>
    <col width="12" customWidth="1" min="16" max="17"/>
    <col width="25" customWidth="1" min="18" max="18"/>
  </cols>
  <sheetData>
    <row r="2" ht="25.5" customHeight="1">
      <c r="A2" s="13" t="inlineStr">
        <is>
          <t>LEGAL AND REGULATORY REQUIREMENTS — GREECE</t>
        </is>
      </c>
    </row>
    <row r="4" ht="24" customHeight="1">
      <c r="A4" s="3" t="inlineStr">
        <is>
          <t>Ref</t>
        </is>
      </c>
      <c r="B4" s="3" t="inlineStr">
        <is>
          <t>Category</t>
        </is>
      </c>
      <c r="C4" s="3" t="inlineStr">
        <is>
          <t>Legal / Standard Source</t>
        </is>
      </c>
      <c r="D4" s="3" t="inlineStr">
        <is>
          <t>Date of Issue</t>
        </is>
      </c>
      <c r="E4" s="3" t="inlineStr">
        <is>
          <t>Last Amendment</t>
        </is>
      </c>
      <c r="F4" s="3" t="inlineStr">
        <is>
          <t>Impact Assessment</t>
        </is>
      </c>
      <c r="G4" s="3" t="inlineStr">
        <is>
          <t>Key Requirement Summary</t>
        </is>
      </c>
      <c r="H4" s="3" t="inlineStr">
        <is>
          <t>ISO 45001 Clauses</t>
        </is>
      </c>
      <c r="I4" s="3" t="inlineStr">
        <is>
          <t>ISO 18788 Clauses</t>
        </is>
      </c>
      <c r="J4" s="3" t="inlineStr">
        <is>
          <t>ISO 28007 Clauses</t>
        </is>
      </c>
      <c r="K4" s="3" t="inlineStr">
        <is>
          <t>Applicability</t>
        </is>
      </c>
      <c r="L4" s="3" t="inlineStr">
        <is>
          <t>Responsible Role</t>
        </is>
      </c>
      <c r="M4" s="3" t="inlineStr">
        <is>
          <t>Compliance Status</t>
        </is>
      </c>
      <c r="N4" s="3" t="inlineStr">
        <is>
          <t>Evidence / Records</t>
        </is>
      </c>
      <c r="O4" s="3" t="inlineStr">
        <is>
          <t>Review Frequency</t>
        </is>
      </c>
      <c r="P4" s="3" t="inlineStr">
        <is>
          <t>Last Review Date</t>
        </is>
      </c>
      <c r="Q4" s="3" t="inlineStr">
        <is>
          <t>Next Review Date</t>
        </is>
      </c>
      <c r="R4" s="3" t="inlineStr">
        <is>
          <t>Comments / Actions</t>
        </is>
      </c>
    </row>
    <row r="5" ht="36" customHeight="1">
      <c r="A5" s="4" t="inlineStr">
        <is>
          <t>GR-01</t>
        </is>
      </c>
      <c r="B5" s="16" t="inlineStr">
        <is>
          <t>OH&amp;S</t>
        </is>
      </c>
      <c r="C5" s="16" t="inlineStr">
        <is>
          <t>Law 3850/2010 (Code on Health and Safety at Work)</t>
        </is>
      </c>
      <c r="D5" s="16" t="inlineStr">
        <is>
          <t>2010-06-02</t>
        </is>
      </c>
      <c r="E5" s="16" t="inlineStr">
        <is>
          <t>2014-04-10</t>
        </is>
      </c>
      <c r="F5" s="6" t="inlineStr">
        <is>
          <t>Not Assessed</t>
        </is>
      </c>
      <c r="G5" s="16" t="inlineStr">
        <is>
          <t>Implement OSH obligations: risk assessments, prevention measures, training, safety technician/occupational physician services where required.</t>
        </is>
      </c>
      <c r="H5" s="16" t="inlineStr">
        <is>
          <t>6.1.2, 7.2, 7.3, 8.1, 10.2</t>
        </is>
      </c>
      <c r="I5" s="16" t="inlineStr">
        <is>
          <t>5.3, 6.1.1, 7.2</t>
        </is>
      </c>
      <c r="J5" s="16" t="inlineStr">
        <is>
          <t>6.1, 7.1</t>
        </is>
      </c>
      <c r="K5" s="16" t="inlineStr">
        <is>
          <t>Office / Unarmed</t>
        </is>
      </c>
      <c r="L5" s="16" t="inlineStr">
        <is>
          <t>Greece Country Manager</t>
        </is>
      </c>
      <c r="M5" s="6" t="inlineStr">
        <is>
          <t>Not Assessed</t>
        </is>
      </c>
      <c r="N5" s="16" t="inlineStr">
        <is>
          <t>Risk assessments; training records; safety technician/occupational physician engagement; inspections</t>
        </is>
      </c>
      <c r="O5" s="16" t="inlineStr">
        <is>
          <t>Annual</t>
        </is>
      </c>
      <c r="P5" s="16" t="n"/>
      <c r="Q5" s="21" t="n">
        <v>46203</v>
      </c>
      <c r="R5" s="16" t="n"/>
    </row>
    <row r="6" ht="24" customHeight="1">
      <c r="A6" s="4" t="inlineStr">
        <is>
          <t>GR-04</t>
        </is>
      </c>
      <c r="B6" s="16" t="inlineStr">
        <is>
          <t>Fire</t>
        </is>
      </c>
      <c r="C6" s="16" t="inlineStr">
        <is>
          <t>Fire safety regulations (Greece)</t>
        </is>
      </c>
      <c r="D6" s="16" t="n"/>
      <c r="E6" s="16" t="inlineStr">
        <is>
          <t>2022-01-01</t>
        </is>
      </c>
      <c r="F6" s="6" t="inlineStr">
        <is>
          <t>Not Assessed</t>
        </is>
      </c>
      <c r="G6" s="16" t="inlineStr">
        <is>
          <t>Maintain fire precautions: detection/extinguishing systems, evacuation plan, fire drills, maintenance.</t>
        </is>
      </c>
      <c r="H6" s="16" t="inlineStr">
        <is>
          <t>8.2</t>
        </is>
      </c>
      <c r="I6" s="16" t="inlineStr">
        <is>
          <t>8.2</t>
        </is>
      </c>
      <c r="J6" s="16" t="inlineStr">
        <is>
          <t>8.1</t>
        </is>
      </c>
      <c r="K6" s="16" t="inlineStr">
        <is>
          <t>Office</t>
        </is>
      </c>
      <c r="L6" s="16" t="inlineStr">
        <is>
          <t>Facilities Manager</t>
        </is>
      </c>
      <c r="M6" s="6" t="inlineStr">
        <is>
          <t>Not Assessed</t>
        </is>
      </c>
      <c r="N6" s="16" t="inlineStr">
        <is>
          <t>Fire risk assessments; training records</t>
        </is>
      </c>
      <c r="O6" s="16" t="inlineStr">
        <is>
          <t>Annual</t>
        </is>
      </c>
      <c r="P6" s="16" t="n"/>
      <c r="Q6" s="21" t="n">
        <v>46203</v>
      </c>
      <c r="R6" s="16" t="n"/>
    </row>
    <row r="7" ht="24" customHeight="1">
      <c r="A7" s="4" t="inlineStr">
        <is>
          <t>GR-05</t>
        </is>
      </c>
      <c r="B7" s="16" t="inlineStr">
        <is>
          <t>Labour</t>
        </is>
      </c>
      <c r="C7" s="16" t="inlineStr">
        <is>
          <t>Greek labour &amp; employment legislation</t>
        </is>
      </c>
      <c r="D7" s="16" t="n"/>
      <c r="E7" s="16" t="n"/>
      <c r="F7" s="6" t="inlineStr">
        <is>
          <t>Not Assessed</t>
        </is>
      </c>
      <c r="G7" s="16" t="inlineStr">
        <is>
          <t>Manage working time/rest and fatigue; ensure duty of care for fixed-term personnel.</t>
        </is>
      </c>
      <c r="H7" s="16" t="inlineStr">
        <is>
          <t>7.2, 8.1</t>
        </is>
      </c>
      <c r="I7" s="16" t="inlineStr">
        <is>
          <t>6.1.3, 8.3</t>
        </is>
      </c>
      <c r="J7" s="16" t="inlineStr">
        <is>
          <t>5.5</t>
        </is>
      </c>
      <c r="K7" s="16" t="inlineStr">
        <is>
          <t>Office / Unarmed</t>
        </is>
      </c>
      <c r="L7" s="16" t="inlineStr">
        <is>
          <t>HR Manager</t>
        </is>
      </c>
      <c r="M7" s="6" t="inlineStr">
        <is>
          <t>Not Assessed</t>
        </is>
      </c>
      <c r="N7" s="16" t="inlineStr">
        <is>
          <t>Employment contracts; training records</t>
        </is>
      </c>
      <c r="O7" s="16" t="inlineStr">
        <is>
          <t>Annual</t>
        </is>
      </c>
      <c r="P7" s="16" t="n"/>
      <c r="Q7" s="21" t="n">
        <v>46203</v>
      </c>
      <c r="R7" s="16" t="n"/>
    </row>
    <row r="8" ht="24" customHeight="1">
      <c r="A8" s="4" t="inlineStr">
        <is>
          <t>GR-06</t>
        </is>
      </c>
      <c r="B8" s="16" t="inlineStr">
        <is>
          <t>Firearms</t>
        </is>
      </c>
      <c r="C8" s="16" t="inlineStr">
        <is>
          <t>Law 2168/1993 (Firearms Act - Greece)</t>
        </is>
      </c>
      <c r="D8" s="16" t="inlineStr">
        <is>
          <t>1993</t>
        </is>
      </c>
      <c r="E8" s="16" t="inlineStr">
        <is>
          <t>2014-09-10</t>
        </is>
      </c>
      <c r="F8" s="6" t="inlineStr">
        <is>
          <t>Not Assessed</t>
        </is>
      </c>
      <c r="G8" s="16" t="inlineStr">
        <is>
          <t>Provide unarmed/armed assessments; if applicable, ensure lawful permits for firearms.</t>
        </is>
      </c>
      <c r="H8" s="16" t="inlineStr">
        <is>
          <t>6.1.3, 8.1</t>
        </is>
      </c>
      <c r="I8" s="16" t="inlineStr">
        <is>
          <t>8.5</t>
        </is>
      </c>
      <c r="J8" s="16" t="inlineStr">
        <is>
          <t>7.1, 7.2, 8.1</t>
        </is>
      </c>
      <c r="K8" s="16" t="inlineStr">
        <is>
          <t>Armed logistics</t>
        </is>
      </c>
      <c r="L8" s="16" t="inlineStr">
        <is>
          <t>Security Director</t>
        </is>
      </c>
      <c r="M8" s="6" t="inlineStr">
        <is>
          <t>Not Assessed</t>
        </is>
      </c>
      <c r="N8" s="16" t="inlineStr">
        <is>
          <t>Permits (if any); licences</t>
        </is>
      </c>
      <c r="O8" s="16" t="inlineStr">
        <is>
          <t>Event-driven</t>
        </is>
      </c>
      <c r="P8" s="16" t="n"/>
      <c r="Q8" s="21" t="n">
        <v>46203</v>
      </c>
      <c r="R8" s="16" t="n"/>
    </row>
    <row r="9" ht="24" customHeight="1">
      <c r="A9" s="4" t="inlineStr">
        <is>
          <t>GR-07</t>
        </is>
      </c>
      <c r="B9" s="16" t="inlineStr">
        <is>
          <t>Maritime</t>
        </is>
      </c>
      <c r="C9" s="16" t="inlineStr">
        <is>
          <t>Hellenic Coast Guard requirements</t>
        </is>
      </c>
      <c r="D9" s="16" t="n"/>
      <c r="E9" s="16" t="n"/>
      <c r="F9" s="6" t="inlineStr">
        <is>
          <t>Not Assessed</t>
        </is>
      </c>
      <c r="G9" s="16" t="inlineStr">
        <is>
          <t>Ensure maritime interface compliance for Greek-flag engagements as applicable.</t>
        </is>
      </c>
      <c r="H9" s="16" t="inlineStr">
        <is>
          <t>6.1.3, 8.1</t>
        </is>
      </c>
      <c r="I9" s="16" t="inlineStr">
        <is>
          <t>6.1.3, 8.2</t>
        </is>
      </c>
      <c r="J9" s="16" t="inlineStr">
        <is>
          <t>6.2, 8.1</t>
        </is>
      </c>
      <c r="K9" s="16" t="inlineStr">
        <is>
          <t>Maritime-linked</t>
        </is>
      </c>
      <c r="L9" s="16" t="inlineStr">
        <is>
          <t>Operations Manager</t>
        </is>
      </c>
      <c r="M9" s="6" t="inlineStr">
        <is>
          <t>Not Assessed</t>
        </is>
      </c>
      <c r="N9" s="16" t="inlineStr">
        <is>
          <t>Deployment records</t>
        </is>
      </c>
      <c r="O9" s="16" t="inlineStr">
        <is>
          <t>Event-driven</t>
        </is>
      </c>
      <c r="P9" s="16" t="n"/>
      <c r="Q9" s="21" t="n">
        <v>46203</v>
      </c>
      <c r="R9" s="16" t="n"/>
    </row>
    <row r="10" ht="24" customHeight="1">
      <c r="A10" s="4" t="inlineStr">
        <is>
          <t>GR-08</t>
        </is>
      </c>
      <c r="B10" s="16" t="inlineStr">
        <is>
          <t>OH&amp;S</t>
        </is>
      </c>
      <c r="C10" s="16" t="inlineStr">
        <is>
          <t>Safety technician/physician requirements</t>
        </is>
      </c>
      <c r="D10" s="16" t="inlineStr">
        <is>
          <t>1996-01-18</t>
        </is>
      </c>
      <c r="E10" s="16" t="inlineStr">
        <is>
          <t>2010-06-02</t>
        </is>
      </c>
      <c r="F10" s="6" t="inlineStr">
        <is>
          <t>Not Assessed</t>
        </is>
      </c>
      <c r="G10" s="16" t="inlineStr">
        <is>
          <t>Recruit/engage safety technician and occupational physician as required.</t>
        </is>
      </c>
      <c r="H10" s="16" t="inlineStr">
        <is>
          <t>5.4</t>
        </is>
      </c>
      <c r="I10" s="16" t="inlineStr">
        <is>
          <t>5.3, 6.1.1</t>
        </is>
      </c>
      <c r="J10" s="16" t="inlineStr">
        <is>
          <t>5.2</t>
        </is>
      </c>
      <c r="K10" s="16" t="inlineStr">
        <is>
          <t>Office / Unarmed</t>
        </is>
      </c>
      <c r="L10" s="16" t="inlineStr">
        <is>
          <t>Greece Country Manager</t>
        </is>
      </c>
      <c r="M10" s="6" t="inlineStr">
        <is>
          <t>Not Assessed</t>
        </is>
      </c>
      <c r="N10" s="16" t="inlineStr">
        <is>
          <t>Appointment letters</t>
        </is>
      </c>
      <c r="O10" s="16" t="inlineStr">
        <is>
          <t>Annual</t>
        </is>
      </c>
      <c r="P10" s="16" t="n"/>
      <c r="Q10" s="21" t="n">
        <v>46203</v>
      </c>
      <c r="R10" s="16" t="n"/>
    </row>
  </sheetData>
  <mergeCells count="1">
    <mergeCell ref="A2:R2"/>
  </mergeCells>
  <dataValidations count="5">
    <dataValidation sqref="B5:B50" showDropDown="0" showInputMessage="0" showErrorMessage="0" allowBlank="1" errorTitle="Invalid entry" error="Invalid Category. Pick from the list." promptTitle="Category" prompt="Select a category from the dropdown." type="list">
      <formula1>"Maritime,OH&amp;S,Security,Firearms,Fire,Labour,Data Protection,Environmental,OH&amp;S / Security,Firearms / Security,Other"</formula1>
    </dataValidation>
    <dataValidation sqref="F5:F50" showDropDown="0" showInputMessage="0" showErrorMessage="0" allowBlank="1" errorTitle="Invalid entry" error="Invalid Impact Assessment. Pick from the list." promptTitle="Impact Assessment" prompt="Select a impact assessment from the dropdown." type="list">
      <formula1>"Not Assessed,No Impact,Low,Medium,High,Critical"</formula1>
    </dataValidation>
    <dataValidation sqref="L5:L50" showDropDown="0" showInputMessage="0" showErrorMessage="0" allowBlank="1" errorTitle="Invalid entry" error="Invalid Responsible Role. Pick from the list." promptTitle="Responsible Role" prompt="Select a responsible role from the dropdown." type="list">
      <formula1>"Group Compliance Director,QHSE Manager,Operations Manager,HR Manager,Facilities Manager,Security Director,Armoury Officer,Training Manager,UK Country Manager,Greece Country Manager,Nigeria Country Manager,UAE Country Manager,CEO"</formula1>
    </dataValidation>
    <dataValidation sqref="M5:M50" showDropDown="0" showInputMessage="0" showErrorMessage="0" allowBlank="1" errorTitle="Invalid entry" error="Invalid Compliance Status. Pick from the list." promptTitle="Compliance Status" prompt="Select a compliance status from the dropdown." type="list">
      <formula1>"Not Assessed,Under Review,Compliant,Compliant - Not Currently Applicable,Partial,Non-Compliant"</formula1>
    </dataValidation>
    <dataValidation sqref="O5:O50" showDropDown="0" showInputMessage="0" showErrorMessage="0" allowBlank="1" errorTitle="Invalid entry" error="Invalid Review Frequency. Pick from the list." promptTitle="Review Frequency" prompt="Select a review frequency from the dropdown." type="list">
      <formula1>"Annual,Biennial,Semi-Annual,Quarterly,Monthly,Event-driven,On Change"</formula1>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2:R11"/>
  <sheetViews>
    <sheetView showGridLines="0" zoomScaleNormal="100" workbookViewId="0">
      <pane xSplit="2" ySplit="4" topLeftCell="C5" activePane="bottomRight" state="frozen"/>
      <selection pane="topRight" activeCell="C1" sqref="C1"/>
      <selection pane="bottomLeft" activeCell="A5" sqref="A5"/>
      <selection pane="bottomRight" activeCell="C5" sqref="C5:C7"/>
    </sheetView>
  </sheetViews>
  <sheetFormatPr baseColWidth="8" defaultColWidth="8.7265625" defaultRowHeight="14.5"/>
  <cols>
    <col width="8" customWidth="1" min="1" max="1"/>
    <col width="14" customWidth="1" min="2" max="2"/>
    <col width="32" customWidth="1" min="3" max="3"/>
    <col width="12" customWidth="1" min="4" max="5"/>
    <col width="14" customWidth="1" min="6" max="6"/>
    <col width="45" customWidth="1" min="7" max="7"/>
    <col width="14" customWidth="1" min="8" max="10"/>
    <col width="20" customWidth="1" min="11" max="11"/>
    <col width="18" customWidth="1" min="12" max="12"/>
    <col width="14" customWidth="1" min="13" max="13"/>
    <col width="30" customWidth="1" min="14" max="14"/>
    <col width="16" customWidth="1" min="15" max="15"/>
    <col width="12" customWidth="1" min="16" max="17"/>
    <col width="25" customWidth="1" min="18" max="18"/>
  </cols>
  <sheetData>
    <row r="2" ht="25.5" customHeight="1">
      <c r="A2" s="13" t="inlineStr">
        <is>
          <t>LEGAL AND REGULATORY REQUIREMENTS — NIGERIA</t>
        </is>
      </c>
    </row>
    <row r="4" ht="24" customHeight="1">
      <c r="A4" s="3" t="inlineStr">
        <is>
          <t>Ref</t>
        </is>
      </c>
      <c r="B4" s="3" t="inlineStr">
        <is>
          <t>Category</t>
        </is>
      </c>
      <c r="C4" s="3" t="inlineStr">
        <is>
          <t>Legal / Standard Source</t>
        </is>
      </c>
      <c r="D4" s="3" t="inlineStr">
        <is>
          <t>Date of Issue</t>
        </is>
      </c>
      <c r="E4" s="3" t="inlineStr">
        <is>
          <t>Last Amendment</t>
        </is>
      </c>
      <c r="F4" s="3" t="inlineStr">
        <is>
          <t>Impact Assessment</t>
        </is>
      </c>
      <c r="G4" s="3" t="inlineStr">
        <is>
          <t>Key Requirement Summary</t>
        </is>
      </c>
      <c r="H4" s="3" t="inlineStr">
        <is>
          <t>ISO 45001 Clauses</t>
        </is>
      </c>
      <c r="I4" s="3" t="inlineStr">
        <is>
          <t>ISO 18788 Clauses</t>
        </is>
      </c>
      <c r="J4" s="3" t="inlineStr">
        <is>
          <t>ISO 28007 Clauses</t>
        </is>
      </c>
      <c r="K4" s="3" t="inlineStr">
        <is>
          <t>Applicability</t>
        </is>
      </c>
      <c r="L4" s="3" t="inlineStr">
        <is>
          <t>Responsible Role</t>
        </is>
      </c>
      <c r="M4" s="3" t="inlineStr">
        <is>
          <t>Compliance Status</t>
        </is>
      </c>
      <c r="N4" s="3" t="inlineStr">
        <is>
          <t>Evidence / Records</t>
        </is>
      </c>
      <c r="O4" s="3" t="inlineStr">
        <is>
          <t>Review Frequency</t>
        </is>
      </c>
      <c r="P4" s="3" t="inlineStr">
        <is>
          <t>Last Review Date</t>
        </is>
      </c>
      <c r="Q4" s="3" t="inlineStr">
        <is>
          <t>Next Review Date</t>
        </is>
      </c>
      <c r="R4" s="3" t="inlineStr">
        <is>
          <t>Comments / Actions</t>
        </is>
      </c>
    </row>
    <row r="5" ht="24" customHeight="1">
      <c r="A5" s="4" t="inlineStr">
        <is>
          <t>NG-01</t>
        </is>
      </c>
      <c r="B5" s="16" t="inlineStr">
        <is>
          <t>OH&amp;S</t>
        </is>
      </c>
      <c r="C5" s="16" t="inlineStr">
        <is>
          <t>Factories Act (Cap. F1, LFN 2004)</t>
        </is>
      </c>
      <c r="D5" s="16" t="inlineStr">
        <is>
          <t>2004</t>
        </is>
      </c>
      <c r="E5" s="16" t="inlineStr">
        <is>
          <t>2004-01-01</t>
        </is>
      </c>
      <c r="F5" s="6" t="inlineStr">
        <is>
          <t>Not Assessed</t>
        </is>
      </c>
      <c r="G5" s="16" t="inlineStr">
        <is>
          <t>Provide safe workplace conditions. Implement safety measures, welfare provisions.</t>
        </is>
      </c>
      <c r="H5" s="16" t="inlineStr">
        <is>
          <t>6.1</t>
        </is>
      </c>
      <c r="I5" s="16" t="inlineStr">
        <is>
          <t>6.1</t>
        </is>
      </c>
      <c r="J5" s="16" t="inlineStr">
        <is>
          <t>6.1</t>
        </is>
      </c>
      <c r="K5" s="16" t="inlineStr">
        <is>
          <t>Office</t>
        </is>
      </c>
      <c r="L5" s="16" t="inlineStr">
        <is>
          <t>Nigeria Country Manager</t>
        </is>
      </c>
      <c r="M5" s="6" t="inlineStr">
        <is>
          <t>Not Assessed</t>
        </is>
      </c>
      <c r="N5" s="16" t="inlineStr">
        <is>
          <t>Workplace inspections</t>
        </is>
      </c>
      <c r="O5" s="16" t="inlineStr">
        <is>
          <t>Annual</t>
        </is>
      </c>
      <c r="P5" s="16" t="n"/>
      <c r="Q5" s="21" t="n">
        <v>46203</v>
      </c>
      <c r="R5" s="16" t="n"/>
    </row>
    <row r="6" ht="24" customHeight="1">
      <c r="A6" s="4" t="inlineStr">
        <is>
          <t>NG-02</t>
        </is>
      </c>
      <c r="B6" s="16" t="inlineStr">
        <is>
          <t>Labour</t>
        </is>
      </c>
      <c r="C6" s="16" t="inlineStr">
        <is>
          <t>Employees Compensation Act 2010</t>
        </is>
      </c>
      <c r="D6" s="16" t="inlineStr">
        <is>
          <t>2010-12-17</t>
        </is>
      </c>
      <c r="E6" s="16" t="n"/>
      <c r="F6" s="6" t="inlineStr">
        <is>
          <t>Not Assessed</t>
        </is>
      </c>
      <c r="G6" s="16" t="inlineStr">
        <is>
          <t>Maintain compensation coverage and processes for occupational injuries.</t>
        </is>
      </c>
      <c r="H6" s="16" t="inlineStr">
        <is>
          <t>6.1</t>
        </is>
      </c>
      <c r="I6" s="16" t="inlineStr">
        <is>
          <t>10.1</t>
        </is>
      </c>
      <c r="J6" s="16" t="inlineStr">
        <is>
          <t>6.4</t>
        </is>
      </c>
      <c r="K6" s="16" t="inlineStr">
        <is>
          <t>All staff</t>
        </is>
      </c>
      <c r="L6" s="16" t="inlineStr">
        <is>
          <t>HR Manager</t>
        </is>
      </c>
      <c r="M6" s="6" t="inlineStr">
        <is>
          <t>Not Assessed</t>
        </is>
      </c>
      <c r="N6" s="16" t="inlineStr">
        <is>
          <t>Insurance / NSITF registration</t>
        </is>
      </c>
      <c r="O6" s="16" t="inlineStr">
        <is>
          <t>Annual</t>
        </is>
      </c>
      <c r="P6" s="16" t="n"/>
      <c r="Q6" s="21" t="n">
        <v>46203</v>
      </c>
      <c r="R6" s="16" t="n"/>
    </row>
    <row r="7" ht="24" customHeight="1">
      <c r="A7" s="4" t="inlineStr">
        <is>
          <t>NG-03</t>
        </is>
      </c>
      <c r="B7" s="16" t="inlineStr">
        <is>
          <t>Labour</t>
        </is>
      </c>
      <c r="C7" s="16" t="inlineStr">
        <is>
          <t>Labour Act (Cap. L1, LFN 2004)</t>
        </is>
      </c>
      <c r="D7" s="16" t="inlineStr">
        <is>
          <t>2004-01-01</t>
        </is>
      </c>
      <c r="E7" s="16" t="inlineStr">
        <is>
          <t>2004-01-01</t>
        </is>
      </c>
      <c r="F7" s="6" t="inlineStr">
        <is>
          <t>Not Assessed</t>
        </is>
      </c>
      <c r="G7" s="16" t="inlineStr">
        <is>
          <t>Meet worker welfare and conditions requirements; manage working time.</t>
        </is>
      </c>
      <c r="H7" s="16" t="inlineStr">
        <is>
          <t>7.2, 8.1</t>
        </is>
      </c>
      <c r="I7" s="16" t="inlineStr">
        <is>
          <t>6.1.3</t>
        </is>
      </c>
      <c r="J7" s="16" t="inlineStr">
        <is>
          <t>8.5</t>
        </is>
      </c>
      <c r="K7" s="16" t="inlineStr">
        <is>
          <t>All staff</t>
        </is>
      </c>
      <c r="L7" s="16" t="inlineStr">
        <is>
          <t>HR Manager</t>
        </is>
      </c>
      <c r="M7" s="6" t="inlineStr">
        <is>
          <t>Not Assessed</t>
        </is>
      </c>
      <c r="N7" s="16" t="inlineStr">
        <is>
          <t>NRMA/employment records</t>
        </is>
      </c>
      <c r="O7" s="16" t="inlineStr">
        <is>
          <t>Annual</t>
        </is>
      </c>
      <c r="P7" s="16" t="n"/>
      <c r="Q7" s="21" t="n">
        <v>46203</v>
      </c>
      <c r="R7" s="16" t="n"/>
    </row>
    <row r="8" ht="24" customHeight="1">
      <c r="A8" s="4" t="inlineStr">
        <is>
          <t>NG-04</t>
        </is>
      </c>
      <c r="B8" s="16" t="inlineStr">
        <is>
          <t>Maritime</t>
        </is>
      </c>
      <c r="C8" s="16" t="inlineStr">
        <is>
          <t>NIMASA Act / Merchant Shipping Act</t>
        </is>
      </c>
      <c r="D8" s="16" t="inlineStr">
        <is>
          <t>2007-07-25</t>
        </is>
      </c>
      <c r="E8" s="16" t="inlineStr">
        <is>
          <t>2023-01-01</t>
        </is>
      </c>
      <c r="F8" s="6" t="inlineStr">
        <is>
          <t>Not Assessed</t>
        </is>
      </c>
      <c r="G8" s="16" t="inlineStr">
        <is>
          <t>Ensure applicable maritime interface compliance in Nigeria for operations.</t>
        </is>
      </c>
      <c r="H8" s="16" t="inlineStr">
        <is>
          <t>6.1.3, 8.1</t>
        </is>
      </c>
      <c r="I8" s="16" t="inlineStr">
        <is>
          <t>6.1.3</t>
        </is>
      </c>
      <c r="J8" s="16" t="inlineStr">
        <is>
          <t>6.2</t>
        </is>
      </c>
      <c r="K8" s="16" t="inlineStr">
        <is>
          <t>Maritime-linked</t>
        </is>
      </c>
      <c r="L8" s="16" t="inlineStr">
        <is>
          <t>Operations Manager</t>
        </is>
      </c>
      <c r="M8" s="6" t="inlineStr">
        <is>
          <t>Not Assessed</t>
        </is>
      </c>
      <c r="N8" s="16" t="inlineStr">
        <is>
          <t>Operational records</t>
        </is>
      </c>
      <c r="O8" s="16" t="inlineStr">
        <is>
          <t>Event-driven</t>
        </is>
      </c>
      <c r="P8" s="16" t="n"/>
      <c r="Q8" s="21" t="n">
        <v>46203</v>
      </c>
      <c r="R8" s="16" t="n"/>
    </row>
    <row r="9" ht="24" customHeight="1">
      <c r="A9" s="4" t="inlineStr">
        <is>
          <t>NG-05</t>
        </is>
      </c>
      <c r="B9" s="16" t="inlineStr">
        <is>
          <t>Firearms</t>
        </is>
      </c>
      <c r="C9" s="16" t="inlineStr">
        <is>
          <t>Firearms Act (Cap. F28, LFN 2004)</t>
        </is>
      </c>
      <c r="D9" s="16" t="inlineStr">
        <is>
          <t>2004-01-01</t>
        </is>
      </c>
      <c r="E9" s="16" t="inlineStr">
        <is>
          <t>2004-01-01</t>
        </is>
      </c>
      <c r="F9" s="6" t="inlineStr">
        <is>
          <t>Not Assessed</t>
        </is>
      </c>
      <c r="G9" s="16" t="inlineStr">
        <is>
          <t>No possession/control of firearms or ammunition without appropriate licensing.</t>
        </is>
      </c>
      <c r="H9" s="16" t="inlineStr">
        <is>
          <t>6.1.3, 8.1</t>
        </is>
      </c>
      <c r="I9" s="16" t="inlineStr">
        <is>
          <t>8.5</t>
        </is>
      </c>
      <c r="J9" s="16" t="inlineStr">
        <is>
          <t>7.1, 7.2, 8.1</t>
        </is>
      </c>
      <c r="K9" s="16" t="inlineStr">
        <is>
          <t>Armed only / logistics</t>
        </is>
      </c>
      <c r="L9" s="16" t="inlineStr">
        <is>
          <t>Security Director</t>
        </is>
      </c>
      <c r="M9" s="6" t="inlineStr">
        <is>
          <t>Not Assessed</t>
        </is>
      </c>
      <c r="N9" s="16" t="inlineStr">
        <is>
          <t>Licences/permits</t>
        </is>
      </c>
      <c r="O9" s="16" t="inlineStr">
        <is>
          <t>Quarterly</t>
        </is>
      </c>
      <c r="P9" s="16" t="n"/>
      <c r="Q9" s="21" t="n">
        <v>46203</v>
      </c>
      <c r="R9" s="16" t="n"/>
    </row>
    <row r="10" ht="24" customHeight="1">
      <c r="A10" s="4" t="inlineStr">
        <is>
          <t>NG-06</t>
        </is>
      </c>
      <c r="B10" s="16" t="inlineStr">
        <is>
          <t>Fire</t>
        </is>
      </c>
      <c r="C10" s="16" t="inlineStr">
        <is>
          <t>Federal Fire Service Act</t>
        </is>
      </c>
      <c r="D10" s="16" t="inlineStr">
        <is>
          <t>2004-01-01</t>
        </is>
      </c>
      <c r="E10" s="16" t="n"/>
      <c r="F10" s="6" t="inlineStr">
        <is>
          <t>Not Assessed</t>
        </is>
      </c>
      <c r="G10" s="16" t="inlineStr">
        <is>
          <t>Maintain fire precautions, detection, alarms, evacuation plan, drills.</t>
        </is>
      </c>
      <c r="H10" s="16" t="inlineStr">
        <is>
          <t>8.2</t>
        </is>
      </c>
      <c r="I10" s="16" t="inlineStr">
        <is>
          <t>8.2</t>
        </is>
      </c>
      <c r="J10" s="16" t="inlineStr">
        <is>
          <t>8.1</t>
        </is>
      </c>
      <c r="K10" s="16" t="inlineStr">
        <is>
          <t>Office</t>
        </is>
      </c>
      <c r="L10" s="16" t="inlineStr">
        <is>
          <t>Facilities Manager</t>
        </is>
      </c>
      <c r="M10" s="6" t="inlineStr">
        <is>
          <t>Not Assessed</t>
        </is>
      </c>
      <c r="N10" s="16" t="inlineStr">
        <is>
          <t>Fire drill records</t>
        </is>
      </c>
      <c r="O10" s="16" t="inlineStr">
        <is>
          <t>Annual</t>
        </is>
      </c>
      <c r="P10" s="16" t="n"/>
      <c r="Q10" s="21" t="n">
        <v>46203</v>
      </c>
      <c r="R10" s="16" t="n"/>
    </row>
    <row r="11" ht="24" customHeight="1">
      <c r="A11" s="4" t="inlineStr">
        <is>
          <t>NG-07</t>
        </is>
      </c>
      <c r="B11" s="16" t="inlineStr">
        <is>
          <t>Maritime</t>
        </is>
      </c>
      <c r="C11" s="16" t="inlineStr">
        <is>
          <t>NIMASA maritime security regulations</t>
        </is>
      </c>
      <c r="D11" s="16" t="inlineStr">
        <is>
          <t>2014-01-01</t>
        </is>
      </c>
      <c r="E11" s="16" t="inlineStr">
        <is>
          <t>2023-01-01</t>
        </is>
      </c>
      <c r="F11" s="6" t="inlineStr">
        <is>
          <t>Not Assessed</t>
        </is>
      </c>
      <c r="G11" s="16" t="inlineStr">
        <is>
          <t>For seafarer/maritime welfare interface; ensure duty of care, welfare.</t>
        </is>
      </c>
      <c r="H11" s="16" t="inlineStr">
        <is>
          <t>6.1, 8.1</t>
        </is>
      </c>
      <c r="I11" s="16" t="inlineStr">
        <is>
          <t>6.1.3, 8.1</t>
        </is>
      </c>
      <c r="J11" s="16" t="inlineStr">
        <is>
          <t>6.5</t>
        </is>
      </c>
      <c r="K11" s="16" t="inlineStr">
        <is>
          <t>Maritime-linked</t>
        </is>
      </c>
      <c r="L11" s="16" t="inlineStr">
        <is>
          <t>Operations Manager</t>
        </is>
      </c>
      <c r="M11" s="6" t="inlineStr">
        <is>
          <t>Not Assessed</t>
        </is>
      </c>
      <c r="N11" s="16" t="inlineStr">
        <is>
          <t>Welfare checks; certificates</t>
        </is>
      </c>
      <c r="O11" s="16" t="inlineStr">
        <is>
          <t>Annual</t>
        </is>
      </c>
      <c r="P11" s="16" t="n"/>
      <c r="Q11" s="21" t="n">
        <v>46203</v>
      </c>
      <c r="R11" s="16" t="n"/>
    </row>
  </sheetData>
  <mergeCells count="1">
    <mergeCell ref="A2:R2"/>
  </mergeCells>
  <dataValidations count="5">
    <dataValidation sqref="B5:B50" showDropDown="0" showInputMessage="0" showErrorMessage="0" allowBlank="1" errorTitle="Invalid entry" error="Invalid Category. Pick from the list." promptTitle="Category" prompt="Select a category from the dropdown." type="list">
      <formula1>"Maritime,OH&amp;S,Security,Firearms,Fire,Labour,Data Protection,Environmental,OH&amp;S / Security,Firearms / Security,Other"</formula1>
    </dataValidation>
    <dataValidation sqref="F5:F50" showDropDown="0" showInputMessage="0" showErrorMessage="0" allowBlank="1" errorTitle="Invalid entry" error="Invalid Impact Assessment. Pick from the list." promptTitle="Impact Assessment" prompt="Select a impact assessment from the dropdown." type="list">
      <formula1>"Not Assessed,No Impact,Low,Medium,High,Critical"</formula1>
    </dataValidation>
    <dataValidation sqref="L5:L50" showDropDown="0" showInputMessage="0" showErrorMessage="0" allowBlank="1" errorTitle="Invalid entry" error="Invalid Responsible Role. Pick from the list." promptTitle="Responsible Role" prompt="Select a responsible role from the dropdown." type="list">
      <formula1>"Group Compliance Director,QHSE Manager,Operations Manager,HR Manager,Facilities Manager,Security Director,Armoury Officer,Training Manager,UK Country Manager,Greece Country Manager,Nigeria Country Manager,UAE Country Manager,CEO"</formula1>
    </dataValidation>
    <dataValidation sqref="M5:M50" showDropDown="0" showInputMessage="0" showErrorMessage="0" allowBlank="1" errorTitle="Invalid entry" error="Invalid Compliance Status. Pick from the list." promptTitle="Compliance Status" prompt="Select a compliance status from the dropdown." type="list">
      <formula1>"Not Assessed,Under Review,Compliant,Compliant - Not Currently Applicable,Partial,Non-Compliant"</formula1>
    </dataValidation>
    <dataValidation sqref="O5:O50" showDropDown="0" showInputMessage="0" showErrorMessage="0" allowBlank="1" errorTitle="Invalid entry" error="Invalid Review Frequency. Pick from the list." promptTitle="Review Frequency" prompt="Select a review frequency from the dropdown." type="list">
      <formula1>"Annual,Biennial,Semi-Annual,Quarterly,Monthly,Event-driven,On Change"</formula1>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2:R9"/>
  <sheetViews>
    <sheetView showGridLines="0" zoomScaleNormal="100" workbookViewId="0">
      <pane xSplit="2" ySplit="4" topLeftCell="C5" activePane="bottomRight" state="frozen"/>
      <selection pane="topRight" activeCell="C1" sqref="C1"/>
      <selection pane="bottomLeft" activeCell="A5" sqref="A5"/>
      <selection pane="bottomRight" activeCell="G9" sqref="G9"/>
    </sheetView>
  </sheetViews>
  <sheetFormatPr baseColWidth="8" defaultColWidth="8.7265625" defaultRowHeight="14.5"/>
  <cols>
    <col width="8" customWidth="1" min="1" max="1"/>
    <col width="14" customWidth="1" min="2" max="2"/>
    <col width="32" customWidth="1" min="3" max="3"/>
    <col width="12" customWidth="1" min="4" max="5"/>
    <col width="14" customWidth="1" min="6" max="6"/>
    <col width="45" customWidth="1" min="7" max="7"/>
    <col width="14" customWidth="1" min="8" max="10"/>
    <col width="20" customWidth="1" min="11" max="11"/>
    <col width="18" customWidth="1" min="12" max="12"/>
    <col width="14" customWidth="1" min="13" max="13"/>
    <col width="30" customWidth="1" min="14" max="14"/>
    <col width="16" customWidth="1" min="15" max="15"/>
    <col width="12" customWidth="1" min="16" max="17"/>
    <col width="25" customWidth="1" min="18" max="18"/>
  </cols>
  <sheetData>
    <row r="2" ht="25.5" customHeight="1">
      <c r="A2" s="13" t="inlineStr">
        <is>
          <t>LEGAL AND REGULATORY REQUIREMENTS — UAE</t>
        </is>
      </c>
    </row>
    <row r="4" ht="24" customHeight="1">
      <c r="A4" s="3" t="inlineStr">
        <is>
          <t>Ref</t>
        </is>
      </c>
      <c r="B4" s="3" t="inlineStr">
        <is>
          <t>Category</t>
        </is>
      </c>
      <c r="C4" s="3" t="inlineStr">
        <is>
          <t>Legal / Standard Source</t>
        </is>
      </c>
      <c r="D4" s="3" t="inlineStr">
        <is>
          <t>Date of Issue</t>
        </is>
      </c>
      <c r="E4" s="3" t="inlineStr">
        <is>
          <t>Last Amendment</t>
        </is>
      </c>
      <c r="F4" s="3" t="inlineStr">
        <is>
          <t>Impact Assessment</t>
        </is>
      </c>
      <c r="G4" s="3" t="inlineStr">
        <is>
          <t>Key Requirement Summary</t>
        </is>
      </c>
      <c r="H4" s="3" t="inlineStr">
        <is>
          <t>ISO 45001 Clauses</t>
        </is>
      </c>
      <c r="I4" s="3" t="inlineStr">
        <is>
          <t>ISO 18788 Clauses</t>
        </is>
      </c>
      <c r="J4" s="3" t="inlineStr">
        <is>
          <t>ISO 28007 Clauses</t>
        </is>
      </c>
      <c r="K4" s="3" t="inlineStr">
        <is>
          <t>Applicability</t>
        </is>
      </c>
      <c r="L4" s="3" t="inlineStr">
        <is>
          <t>Responsible Role</t>
        </is>
      </c>
      <c r="M4" s="3" t="inlineStr">
        <is>
          <t>Compliance Status</t>
        </is>
      </c>
      <c r="N4" s="3" t="inlineStr">
        <is>
          <t>Evidence / Records</t>
        </is>
      </c>
      <c r="O4" s="3" t="inlineStr">
        <is>
          <t>Review Frequency</t>
        </is>
      </c>
      <c r="P4" s="3" t="inlineStr">
        <is>
          <t>Last Review Date</t>
        </is>
      </c>
      <c r="Q4" s="3" t="inlineStr">
        <is>
          <t>Next Review Date</t>
        </is>
      </c>
      <c r="R4" s="3" t="inlineStr">
        <is>
          <t>Comments / Actions</t>
        </is>
      </c>
    </row>
    <row r="5" ht="36" customHeight="1">
      <c r="A5" s="4" t="inlineStr">
        <is>
          <t>UAE-01</t>
        </is>
      </c>
      <c r="B5" s="16" t="inlineStr">
        <is>
          <t>OH&amp;S</t>
        </is>
      </c>
      <c r="C5" s="16" t="inlineStr">
        <is>
          <t>UAE Labour Law (Federal Decree-Law No. 33 of 2021)</t>
        </is>
      </c>
      <c r="D5" s="16" t="inlineStr">
        <is>
          <t>2022-02-02</t>
        </is>
      </c>
      <c r="E5" s="16" t="inlineStr">
        <is>
          <t>2024-01-01</t>
        </is>
      </c>
      <c r="F5" s="6" t="inlineStr">
        <is>
          <t>Not Assessed</t>
        </is>
      </c>
      <c r="G5" s="16" t="inlineStr">
        <is>
          <t>Comply with employment conditions, working hours, leave, end of service, worker welfare, occupational safety.</t>
        </is>
      </c>
      <c r="H5" s="16" t="inlineStr">
        <is>
          <t>6.1, 7.1, 8.1</t>
        </is>
      </c>
      <c r="I5" s="16" t="inlineStr">
        <is>
          <t>6.1.3, 6.1.4</t>
        </is>
      </c>
      <c r="J5" s="16" t="inlineStr">
        <is>
          <t>7.1</t>
        </is>
      </c>
      <c r="K5" s="16" t="inlineStr">
        <is>
          <t>All staff (FZCO)</t>
        </is>
      </c>
      <c r="L5" s="16" t="inlineStr">
        <is>
          <t>UAE Country Manager / HR</t>
        </is>
      </c>
      <c r="M5" s="6" t="inlineStr">
        <is>
          <t>Not Assessed</t>
        </is>
      </c>
      <c r="N5" s="16" t="inlineStr">
        <is>
          <t>Employment contracts; MOHRE registration; WPS compliance; leave records</t>
        </is>
      </c>
      <c r="O5" s="16" t="inlineStr">
        <is>
          <t>Annual</t>
        </is>
      </c>
      <c r="P5" s="16" t="n"/>
      <c r="Q5" s="21" t="n">
        <v>46203</v>
      </c>
      <c r="R5" s="16" t="n"/>
    </row>
    <row r="6" ht="36" customHeight="1">
      <c r="A6" s="4" t="inlineStr">
        <is>
          <t>UAE-02</t>
        </is>
      </c>
      <c r="B6" s="16" t="inlineStr">
        <is>
          <t>OH&amp;S</t>
        </is>
      </c>
      <c r="C6" s="16" t="inlineStr">
        <is>
          <t>Ministerial Resolution No. 44 of 2022 (Occupational Safety)</t>
        </is>
      </c>
      <c r="D6" s="16" t="inlineStr">
        <is>
          <t>2022</t>
        </is>
      </c>
      <c r="E6" s="16" t="n"/>
      <c r="F6" s="6" t="inlineStr">
        <is>
          <t>Not Assessed</t>
        </is>
      </c>
      <c r="G6" s="16" t="inlineStr">
        <is>
          <t>Implement occupational health and safety requirements: risk assessments, PPE, training, incident reporting, workplace conditions.</t>
        </is>
      </c>
      <c r="H6" s="16" t="inlineStr">
        <is>
          <t>6.1, 6.1.2, 8.1, 10.2</t>
        </is>
      </c>
      <c r="I6" s="16" t="inlineStr">
        <is>
          <t>6.1, 7.3</t>
        </is>
      </c>
      <c r="J6" s="16" t="inlineStr">
        <is>
          <t>7.1</t>
        </is>
      </c>
      <c r="K6" s="16" t="inlineStr">
        <is>
          <t>All staff</t>
        </is>
      </c>
      <c r="L6" s="16" t="inlineStr">
        <is>
          <t>QHSE Manager</t>
        </is>
      </c>
      <c r="M6" s="6" t="inlineStr">
        <is>
          <t>Not Assessed</t>
        </is>
      </c>
      <c r="N6" s="16" t="inlineStr">
        <is>
          <t>Risk assessments; training records; incident reports; workplace inspections</t>
        </is>
      </c>
      <c r="O6" s="16" t="inlineStr">
        <is>
          <t>Annual</t>
        </is>
      </c>
      <c r="P6" s="16" t="n"/>
      <c r="Q6" s="21" t="n">
        <v>46203</v>
      </c>
      <c r="R6" s="16" t="n"/>
    </row>
    <row r="7" ht="36" customHeight="1">
      <c r="A7" s="4" t="inlineStr">
        <is>
          <t>UAE-03</t>
        </is>
      </c>
      <c r="B7" s="16" t="inlineStr">
        <is>
          <t>Fire</t>
        </is>
      </c>
      <c r="C7" s="16" t="inlineStr">
        <is>
          <t>UAE Fire and Life Safety Code of Practice (Civil Defence)</t>
        </is>
      </c>
      <c r="D7" s="16" t="inlineStr">
        <is>
          <t>2018-01-01</t>
        </is>
      </c>
      <c r="E7" s="16" t="inlineStr">
        <is>
          <t>2023-01-01</t>
        </is>
      </c>
      <c r="F7" s="6" t="inlineStr">
        <is>
          <t>Not Assessed</t>
        </is>
      </c>
      <c r="G7" s="16" t="inlineStr">
        <is>
          <t>Comply with fire safety requirements: fire risk assessment, fire alarm, suppression, evacuation plans, fire drills, Civil Defence approvals.</t>
        </is>
      </c>
      <c r="H7" s="16" t="inlineStr">
        <is>
          <t>8.2</t>
        </is>
      </c>
      <c r="I7" s="16" t="inlineStr">
        <is>
          <t>8.2</t>
        </is>
      </c>
      <c r="J7" s="16" t="inlineStr">
        <is>
          <t>8.1.1</t>
        </is>
      </c>
      <c r="K7" s="16" t="inlineStr">
        <is>
          <t>Office</t>
        </is>
      </c>
      <c r="L7" s="16" t="inlineStr">
        <is>
          <t>Facilities Manager</t>
        </is>
      </c>
      <c r="M7" s="6" t="inlineStr">
        <is>
          <t>Not Assessed</t>
        </is>
      </c>
      <c r="N7" s="16" t="inlineStr">
        <is>
          <t>Civil Defence certificate; fire drill records; FRA</t>
        </is>
      </c>
      <c r="O7" s="16" t="inlineStr">
        <is>
          <t>Annual</t>
        </is>
      </c>
      <c r="P7" s="16" t="n"/>
      <c r="Q7" s="21" t="n">
        <v>46203</v>
      </c>
      <c r="R7" s="16" t="n"/>
    </row>
    <row r="8" ht="24" customHeight="1">
      <c r="A8" s="4" t="inlineStr">
        <is>
          <t>UAE-04</t>
        </is>
      </c>
      <c r="B8" s="16" t="inlineStr">
        <is>
          <t>Labour</t>
        </is>
      </c>
      <c r="C8" s="16" t="inlineStr">
        <is>
          <t>DIFC Employment Law (DIFC Law No. 2 of 2019) / FZCO Regulations</t>
        </is>
      </c>
      <c r="D8" s="16" t="inlineStr">
        <is>
          <t>2019</t>
        </is>
      </c>
      <c r="E8" s="16" t="inlineStr">
        <is>
          <t>2021-01-01</t>
        </is>
      </c>
      <c r="F8" s="6" t="inlineStr">
        <is>
          <t>Not Assessed</t>
        </is>
      </c>
      <c r="G8" s="16" t="inlineStr">
        <is>
          <t>Where applicable to free zone operations: employment terms, dispute resolution, worker protections.</t>
        </is>
      </c>
      <c r="H8" s="16" t="inlineStr">
        <is>
          <t>7.2, 8.1</t>
        </is>
      </c>
      <c r="I8" s="16" t="inlineStr">
        <is>
          <t>6.1.3</t>
        </is>
      </c>
      <c r="J8" s="16" t="inlineStr">
        <is>
          <t>7.2</t>
        </is>
      </c>
      <c r="K8" s="16" t="inlineStr">
        <is>
          <t>Office (FZCO)</t>
        </is>
      </c>
      <c r="L8" s="16" t="inlineStr">
        <is>
          <t>HR Manager</t>
        </is>
      </c>
      <c r="M8" s="6" t="inlineStr">
        <is>
          <t>Not Assessed</t>
        </is>
      </c>
      <c r="N8" s="16" t="inlineStr">
        <is>
          <t>FZCO registration; employment contracts</t>
        </is>
      </c>
      <c r="O8" s="16" t="inlineStr">
        <is>
          <t>Annual</t>
        </is>
      </c>
      <c r="P8" s="16" t="n"/>
      <c r="Q8" s="21" t="n">
        <v>46203</v>
      </c>
      <c r="R8" s="16" t="n"/>
    </row>
    <row r="9" ht="24" customHeight="1">
      <c r="A9" s="4" t="inlineStr">
        <is>
          <t>UAE-05</t>
        </is>
      </c>
      <c r="B9" s="16" t="inlineStr">
        <is>
          <t>OH&amp;S</t>
        </is>
      </c>
      <c r="C9" s="16" t="inlineStr">
        <is>
          <t>Ministerial Resolution No. 32 of 2022 (Heat Stress)</t>
        </is>
      </c>
      <c r="D9" s="16" t="inlineStr">
        <is>
          <t>2022</t>
        </is>
      </c>
      <c r="E9" s="16" t="n"/>
      <c r="F9" s="6" t="inlineStr">
        <is>
          <t>Not Assessed</t>
        </is>
      </c>
      <c r="G9" s="16" t="inlineStr">
        <is>
          <t>Implement midday work ban (Jun-Sep 12:30-15:00); heat stress management for outdoor workers.</t>
        </is>
      </c>
      <c r="H9" s="16" t="inlineStr">
        <is>
          <t>8.1</t>
        </is>
      </c>
      <c r="I9" s="16" t="inlineStr">
        <is>
          <t>6.1.3, 8.1</t>
        </is>
      </c>
      <c r="J9" s="16" t="inlineStr">
        <is>
          <t>7.2</t>
        </is>
      </c>
      <c r="K9" s="16" t="inlineStr">
        <is>
          <t>All operational staff</t>
        </is>
      </c>
      <c r="L9" s="16" t="inlineStr">
        <is>
          <t>Operations Manager / QHSE</t>
        </is>
      </c>
      <c r="M9" s="6" t="inlineStr">
        <is>
          <t>Not Assessed</t>
        </is>
      </c>
      <c r="N9" s="16" t="inlineStr">
        <is>
          <t>Heat stress policy; rest break records; training</t>
        </is>
      </c>
      <c r="O9" s="16" t="inlineStr">
        <is>
          <t>Annual</t>
        </is>
      </c>
      <c r="P9" s="16" t="n"/>
      <c r="Q9" s="21" t="n">
        <v>46203</v>
      </c>
      <c r="R9" s="16" t="n"/>
    </row>
  </sheetData>
  <mergeCells count="1">
    <mergeCell ref="A2:R2"/>
  </mergeCells>
  <dataValidations count="5">
    <dataValidation sqref="B5:B50" showDropDown="0" showInputMessage="0" showErrorMessage="0" allowBlank="1" errorTitle="Invalid entry" error="Invalid Category. Pick from the list." promptTitle="Category" prompt="Select a category from the dropdown." type="list">
      <formula1>"Maritime,OH&amp;S,Security,Firearms,Fire,Labour,Data Protection,Environmental,OH&amp;S / Security,Firearms / Security,Other"</formula1>
    </dataValidation>
    <dataValidation sqref="F5:F50" showDropDown="0" showInputMessage="0" showErrorMessage="0" allowBlank="1" errorTitle="Invalid entry" error="Invalid Impact Assessment. Pick from the list." promptTitle="Impact Assessment" prompt="Select a impact assessment from the dropdown." type="list">
      <formula1>"Not Assessed,No Impact,Low,Medium,High,Critical"</formula1>
    </dataValidation>
    <dataValidation sqref="L5:L50" showDropDown="0" showInputMessage="0" showErrorMessage="0" allowBlank="1" errorTitle="Invalid entry" error="Invalid Responsible Role. Pick from the list." promptTitle="Responsible Role" prompt="Select a responsible role from the dropdown." type="list">
      <formula1>"Group Compliance Director,QHSE Manager,Operations Manager,HR Manager,Facilities Manager,Security Director,Armoury Officer,Training Manager,UK Country Manager,Greece Country Manager,Nigeria Country Manager,UAE Country Manager,CEO"</formula1>
    </dataValidation>
    <dataValidation sqref="M5:M50" showDropDown="0" showInputMessage="0" showErrorMessage="0" allowBlank="1" errorTitle="Invalid entry" error="Invalid Compliance Status. Pick from the list." promptTitle="Compliance Status" prompt="Select a compliance status from the dropdown." type="list">
      <formula1>"Not Assessed,Under Review,Compliant,Compliant - Not Currently Applicable,Partial,Non-Compliant"</formula1>
    </dataValidation>
    <dataValidation sqref="O5:O50" showDropDown="0" showInputMessage="0" showErrorMessage="0" allowBlank="1" errorTitle="Invalid entry" error="Invalid Review Frequency. Pick from the list." promptTitle="Review Frequency" prompt="Select a review frequency from the dropdown." type="list">
      <formula1>"Annual,Biennial,Semi-Annual,Quarterly,Monthly,Event-driven,On Change"</formula1>
    </dataValidation>
  </dataValidation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2:H23"/>
  <sheetViews>
    <sheetView showGridLines="0" zoomScaleNormal="100" workbookViewId="0">
      <selection activeCell="E7" sqref="E7"/>
    </sheetView>
  </sheetViews>
  <sheetFormatPr baseColWidth="8" defaultColWidth="8.7265625" defaultRowHeight="14.5"/>
  <cols>
    <col width="20" customWidth="1" min="1" max="1"/>
    <col width="16" customWidth="1" min="2" max="2"/>
    <col width="12" customWidth="1" min="3" max="3"/>
    <col width="14" customWidth="1" min="4" max="5"/>
  </cols>
  <sheetData>
    <row r="2" ht="25.5" customHeight="1">
      <c r="A2" s="13" t="inlineStr">
        <is>
          <t>LEGAL REGISTER — DASHBOARD</t>
        </is>
      </c>
    </row>
    <row r="4" ht="15.5" customHeight="1">
      <c r="A4" s="14" t="inlineStr">
        <is>
          <t>SUMMARY BY JURISDICTION</t>
        </is>
      </c>
    </row>
    <row r="6">
      <c r="A6" s="3" t="inlineStr">
        <is>
          <t>Jurisdiction</t>
        </is>
      </c>
      <c r="B6" s="3" t="inlineStr">
        <is>
          <t>Total Requirements</t>
        </is>
      </c>
      <c r="C6" s="3" t="inlineStr">
        <is>
          <t>Compliant</t>
        </is>
      </c>
      <c r="D6" s="3" t="inlineStr">
        <is>
          <t>Not Assessed</t>
        </is>
      </c>
      <c r="E6" s="3" t="inlineStr">
        <is>
          <t>Non-Compliant</t>
        </is>
      </c>
      <c r="F6" t="inlineStr">
        <is>
          <t>Partial</t>
        </is>
      </c>
      <c r="G6" t="inlineStr">
        <is>
          <t>Under Review</t>
        </is>
      </c>
      <c r="H6" t="inlineStr">
        <is>
          <t>Compliant – N/A</t>
        </is>
      </c>
    </row>
    <row r="7">
      <c r="A7" s="7" t="inlineStr">
        <is>
          <t>International</t>
        </is>
      </c>
      <c r="B7" s="8">
        <f>COUNTA(International!A5:A50)</f>
        <v/>
      </c>
      <c r="C7" s="9">
        <f>COUNTIF(International!M5:M50,"Compliant")</f>
        <v/>
      </c>
      <c r="D7" s="10">
        <f>COUNTIF(International!M5:M50,"Not Assessed")</f>
        <v/>
      </c>
      <c r="E7" s="11">
        <f>COUNTIF(International!M5:M50,"Non-Compliant")</f>
        <v/>
      </c>
      <c r="F7">
        <f>COUNTIF(International!M5:M50,"Partial")</f>
        <v/>
      </c>
      <c r="G7">
        <f>COUNTIF(International!M5:M50,"Under Review")</f>
        <v/>
      </c>
      <c r="H7">
        <f>COUNTIF(International!M5:M50,"Compliant - Not Currently Applicable")</f>
        <v/>
      </c>
    </row>
    <row r="8">
      <c r="A8" s="7" t="inlineStr">
        <is>
          <t>United Kingdom</t>
        </is>
      </c>
      <c r="B8" s="8">
        <f>COUNTA('United Kingdom'!A5:A50)</f>
        <v/>
      </c>
      <c r="C8" s="9">
        <f>COUNTIF('United Kingdom'!M5:M50,"Compliant")</f>
        <v/>
      </c>
      <c r="D8" s="10">
        <f>COUNTIF('United Kingdom'!M5:M50,"Not Assessed")</f>
        <v/>
      </c>
      <c r="E8" s="11">
        <f>COUNTIF('United Kingdom'!M5:M50,"Non-Compliant")</f>
        <v/>
      </c>
      <c r="F8">
        <f>COUNTIF('United Kingdom'!M5:M50,"Partial")</f>
        <v/>
      </c>
      <c r="G8">
        <f>COUNTIF('United Kingdom'!M5:M50,"Under Review")</f>
        <v/>
      </c>
      <c r="H8">
        <f>COUNTIF('United Kingdom'!M5:M50,"Compliant - Not Currently Applicable")</f>
        <v/>
      </c>
    </row>
    <row r="9">
      <c r="A9" s="7" t="inlineStr">
        <is>
          <t>Greece</t>
        </is>
      </c>
      <c r="B9" s="8">
        <f>COUNTA(Greece!A5:A50)</f>
        <v/>
      </c>
      <c r="C9" s="9">
        <f>COUNTIF(Greece!M5:M50,"Compliant")</f>
        <v/>
      </c>
      <c r="D9" s="10">
        <f>COUNTIF(Greece!M5:M50,"Not Assessed")</f>
        <v/>
      </c>
      <c r="E9" s="11">
        <f>COUNTIF(Greece!M5:M50,"Non-Compliant")</f>
        <v/>
      </c>
      <c r="F9">
        <f>COUNTIF(Greece!M5:M50,"Partial")</f>
        <v/>
      </c>
      <c r="G9">
        <f>COUNTIF(Greece!M5:M50,"Under Review")</f>
        <v/>
      </c>
      <c r="H9">
        <f>COUNTIF(Greece!M5:M50,"Compliant - Not Currently Applicable")</f>
        <v/>
      </c>
    </row>
    <row r="10">
      <c r="A10" s="7" t="inlineStr">
        <is>
          <t>Nigeria</t>
        </is>
      </c>
      <c r="B10" s="8">
        <f>COUNTA(Nigeria!A5:A50)</f>
        <v/>
      </c>
      <c r="C10" s="9">
        <f>COUNTIF(Nigeria!M5:M50,"Compliant")</f>
        <v/>
      </c>
      <c r="D10" s="10">
        <f>COUNTIF(Nigeria!M5:M50,"Not Assessed")</f>
        <v/>
      </c>
      <c r="E10" s="11">
        <f>COUNTIF(Nigeria!M5:M50,"Non-Compliant")</f>
        <v/>
      </c>
      <c r="F10">
        <f>COUNTIF(Nigeria!M5:M50,"Partial")</f>
        <v/>
      </c>
      <c r="G10">
        <f>COUNTIF(Nigeria!M5:M50,"Under Review")</f>
        <v/>
      </c>
      <c r="H10">
        <f>COUNTIF(Nigeria!M5:M50,"Compliant - Not Currently Applicable")</f>
        <v/>
      </c>
    </row>
    <row r="11">
      <c r="A11" s="7" t="inlineStr">
        <is>
          <t>UAE</t>
        </is>
      </c>
      <c r="B11" s="8">
        <f>COUNTA(UAE!A5:A50)</f>
        <v/>
      </c>
      <c r="C11" s="9">
        <f>COUNTIF(UAE!M5:M50,"Compliant")</f>
        <v/>
      </c>
      <c r="D11" s="10">
        <f>COUNTIF(UAE!M5:M50,"Not Assessed")</f>
        <v/>
      </c>
      <c r="E11" s="11">
        <f>COUNTIF(UAE!M5:M50,"Non-Compliant")</f>
        <v/>
      </c>
      <c r="F11">
        <f>COUNTIF(UAE!M5:M50,"Partial")</f>
        <v/>
      </c>
      <c r="G11">
        <f>COUNTIF(UAE!M5:M50,"Under Review")</f>
        <v/>
      </c>
      <c r="H11">
        <f>COUNTIF(UAE!M5:M50,"Compliant - Not Currently Applicable")</f>
        <v/>
      </c>
    </row>
    <row r="12">
      <c r="A12" s="12" t="inlineStr">
        <is>
          <t>TOTAL</t>
        </is>
      </c>
      <c r="B12" s="4">
        <f>SUM(B7:B11)</f>
        <v/>
      </c>
      <c r="C12" s="4">
        <f>SUM(C7:C11)</f>
        <v/>
      </c>
      <c r="D12" s="4">
        <f>SUM(D7:D11)</f>
        <v/>
      </c>
      <c r="E12" s="4">
        <f>SUM(E7:E11)</f>
        <v/>
      </c>
      <c r="F12">
        <f>SUM(F7:F11)</f>
        <v/>
      </c>
      <c r="G12">
        <f>SUM(G7:G11)</f>
        <v/>
      </c>
      <c r="H12">
        <f>SUM(H7:H11)</f>
        <v/>
      </c>
    </row>
    <row r="14" ht="15.5" customHeight="1">
      <c r="A14" s="14" t="inlineStr">
        <is>
          <t>REQUIREMENTS BY CATEGORY</t>
        </is>
      </c>
    </row>
    <row r="16">
      <c r="A16" s="3" t="inlineStr">
        <is>
          <t>Category</t>
        </is>
      </c>
      <c r="B16" s="3" t="inlineStr">
        <is>
          <t>Count</t>
        </is>
      </c>
    </row>
    <row r="17">
      <c r="A17" s="7" t="inlineStr">
        <is>
          <t>OH&amp;S</t>
        </is>
      </c>
      <c r="B17" s="8">
        <f>COUNTIF(International!B5:B50,"OH&amp;S")+COUNTIF('United Kingdom'!B5:B50,"OH&amp;S")+COUNTIF(Greece!B5:B50,"OH&amp;S")+COUNTIF(Nigeria!B5:B50,"OH&amp;S")+COUNTIF(UAE!B5:B50,"OH&amp;S")</f>
        <v/>
      </c>
    </row>
    <row r="18">
      <c r="A18" s="7" t="inlineStr">
        <is>
          <t>Maritime</t>
        </is>
      </c>
      <c r="B18" s="8">
        <f>COUNTIF(International!B5:B50,"Maritime")+COUNTIF('United Kingdom'!B5:B50,"Maritime")+COUNTIF(Greece!B5:B50,"Maritime")+COUNTIF(Nigeria!B5:B50,"Maritime")+COUNTIF(UAE!B5:B50,"Maritime")</f>
        <v/>
      </c>
    </row>
    <row r="19">
      <c r="A19" s="7" t="inlineStr">
        <is>
          <t>Labour</t>
        </is>
      </c>
      <c r="B19" s="8">
        <f>COUNTIF(International!B5:B50,"Labour")+COUNTIF('United Kingdom'!B5:B50,"Labour")+COUNTIF(Greece!B5:B50,"Labour")+COUNTIF(Nigeria!B5:B50,"Labour")+COUNTIF(UAE!B5:B50,"Labour")</f>
        <v/>
      </c>
    </row>
    <row r="20">
      <c r="A20" s="7" t="inlineStr">
        <is>
          <t>Firearms</t>
        </is>
      </c>
      <c r="B20" s="8">
        <f>COUNTIF(International!B5:B50,"Firearms")+COUNTIF('United Kingdom'!B5:B50,"Firearms")+COUNTIF(Greece!B5:B50,"Firearms")+COUNTIF(Nigeria!B5:B50,"Firearms")+COUNTIF(UAE!B5:B50,"Firearms")</f>
        <v/>
      </c>
    </row>
    <row r="21">
      <c r="A21" s="7" t="inlineStr">
        <is>
          <t>Fire</t>
        </is>
      </c>
      <c r="B21" s="8">
        <f>COUNTIF(International!B5:B50,"Fire")+COUNTIF('United Kingdom'!B5:B50,"Fire")+COUNTIF(Greece!B5:B50,"Fire")+COUNTIF(Nigeria!B5:B50,"Fire")+COUNTIF(UAE!B5:B50,"Fire")</f>
        <v/>
      </c>
    </row>
    <row r="22">
      <c r="A22" s="7" t="inlineStr">
        <is>
          <t>OH&amp;S / Security</t>
        </is>
      </c>
      <c r="B22" s="8">
        <f>COUNTIF(International!B5:B50,"OH&amp;S / Security")+COUNTIF('United Kingdom'!B5:B50,"OH&amp;S / Security")+COUNTIF(Greece!B5:B50,"OH&amp;S / Security")+COUNTIF(Nigeria!B5:B50,"OH&amp;S / Security")+COUNTIF(UAE!B5:B50,"OH&amp;S / Security")</f>
        <v/>
      </c>
    </row>
    <row r="23">
      <c r="A23" s="7" t="inlineStr">
        <is>
          <t>Firearms / Security</t>
        </is>
      </c>
      <c r="B23" s="8">
        <f>COUNTIF(International!B5:B50,"Firearms / Security")+COUNTIF('United Kingdom'!B5:B50,"Firearms / Security")+COUNTIF(Greece!B5:B50,"Firearms / Security")+COUNTIF(Nigeria!B5:B50,"Firearms / Security")+COUNTIF(UAE!B5:B50,"Firearms / Security")</f>
        <v/>
      </c>
    </row>
  </sheetData>
  <mergeCells count="1">
    <mergeCell ref="A2:H2"/>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2:F24"/>
  <sheetViews>
    <sheetView showGridLines="0" zoomScaleNormal="100" workbookViewId="0">
      <selection activeCell="B27" sqref="B27"/>
    </sheetView>
  </sheetViews>
  <sheetFormatPr baseColWidth="8" defaultColWidth="8.7265625" defaultRowHeight="14.5"/>
  <cols>
    <col width="28" customWidth="1" min="1" max="1"/>
    <col width="80" customWidth="1" min="2" max="2"/>
  </cols>
  <sheetData>
    <row r="2" ht="25.5" customHeight="1">
      <c r="A2" s="13" t="inlineStr">
        <is>
          <t>REGISTER METHODOLOGY AND DEFINITIONS</t>
        </is>
      </c>
    </row>
    <row r="4" ht="15.5" customHeight="1">
      <c r="A4" s="14" t="inlineStr">
        <is>
          <t>COLUMN DEFINITIONS</t>
        </is>
      </c>
    </row>
    <row r="6" ht="15" customHeight="1">
      <c r="A6" s="12" t="inlineStr">
        <is>
          <t>Ref</t>
        </is>
      </c>
      <c r="B6" s="16" t="inlineStr">
        <is>
          <t>Unique reference for each legal requirement. Format: [Jurisdiction code]-[Sequence]. E.g. UK-01, NG-03, INT-04.</t>
        </is>
      </c>
      <c r="C6" s="19" t="n"/>
      <c r="D6" s="19" t="n"/>
      <c r="E6" s="19" t="n"/>
      <c r="F6" s="20" t="n"/>
    </row>
    <row r="7" ht="15" customHeight="1">
      <c r="A7" s="12" t="inlineStr">
        <is>
          <t>Category</t>
        </is>
      </c>
      <c r="B7" s="16" t="inlineStr">
        <is>
          <t>Classification of the requirement: OH&amp;S, Maritime, Labour, Firearms, Fire, Civil Defence.</t>
        </is>
      </c>
      <c r="C7" s="19" t="n"/>
      <c r="D7" s="19" t="n"/>
      <c r="E7" s="19" t="n"/>
      <c r="F7" s="20" t="n"/>
    </row>
    <row r="8" ht="15" customHeight="1">
      <c r="A8" s="12" t="inlineStr">
        <is>
          <t>Legal / Standard Source</t>
        </is>
      </c>
      <c r="B8" s="16" t="inlineStr">
        <is>
          <t>The specific legislation, regulation, code, or standard.</t>
        </is>
      </c>
      <c r="C8" s="19" t="n"/>
      <c r="D8" s="19" t="n"/>
      <c r="E8" s="19" t="n"/>
      <c r="F8" s="20" t="n"/>
    </row>
    <row r="9" ht="15" customHeight="1">
      <c r="A9" s="12" t="inlineStr">
        <is>
          <t>Date of Issue</t>
        </is>
      </c>
      <c r="B9" s="16" t="inlineStr">
        <is>
          <t>Date the legislation was originally enacted or published.</t>
        </is>
      </c>
      <c r="C9" s="19" t="n"/>
      <c r="D9" s="19" t="n"/>
      <c r="E9" s="19" t="n"/>
      <c r="F9" s="20" t="n"/>
    </row>
    <row r="10" ht="15" customHeight="1">
      <c r="A10" s="12" t="inlineStr">
        <is>
          <t>Last Amendment</t>
        </is>
      </c>
      <c r="B10" s="16" t="inlineStr">
        <is>
          <t>Date of most recent amendment or update to the legislation.</t>
        </is>
      </c>
      <c r="C10" s="19" t="n"/>
      <c r="D10" s="19" t="n"/>
      <c r="E10" s="19" t="n"/>
      <c r="F10" s="20" t="n"/>
    </row>
    <row r="11" ht="15" customHeight="1">
      <c r="A11" s="12" t="inlineStr">
        <is>
          <t>Impact Assessment</t>
        </is>
      </c>
      <c r="B11" s="16" t="inlineStr">
        <is>
          <t>Whether a change impact assessment is required following an amendment. Values: Required / Not Required / Not Assessed.</t>
        </is>
      </c>
      <c r="C11" s="19" t="n"/>
      <c r="D11" s="19" t="n"/>
      <c r="E11" s="19" t="n"/>
      <c r="F11" s="20" t="n"/>
    </row>
    <row r="12" ht="15" customHeight="1">
      <c r="A12" s="12" t="inlineStr">
        <is>
          <t>Key Requirement Summary</t>
        </is>
      </c>
      <c r="B12" s="16" t="inlineStr">
        <is>
          <t>Plain-language summary of what the legislation requires Seagull Maritime to do.</t>
        </is>
      </c>
      <c r="C12" s="19" t="n"/>
      <c r="D12" s="19" t="n"/>
      <c r="E12" s="19" t="n"/>
      <c r="F12" s="20" t="n"/>
    </row>
    <row r="13" ht="15" customHeight="1">
      <c r="A13" s="12" t="inlineStr">
        <is>
          <t>ISO 45001 / 18788 / 28007 Clauses</t>
        </is>
      </c>
      <c r="B13" s="16" t="inlineStr">
        <is>
          <t>Cross-reference to the management system clause(s) this requirement maps to.</t>
        </is>
      </c>
      <c r="C13" s="19" t="n"/>
      <c r="D13" s="19" t="n"/>
      <c r="E13" s="19" t="n"/>
      <c r="F13" s="20" t="n"/>
    </row>
    <row r="14" ht="15" customHeight="1">
      <c r="A14" s="12" t="inlineStr">
        <is>
          <t>Applicability</t>
        </is>
      </c>
      <c r="B14" s="16" t="inlineStr">
        <is>
          <t>Which personnel, roles, or operations this requirement applies to.</t>
        </is>
      </c>
      <c r="C14" s="19" t="n"/>
      <c r="D14" s="19" t="n"/>
      <c r="E14" s="19" t="n"/>
      <c r="F14" s="20" t="n"/>
    </row>
    <row r="15" ht="15" customHeight="1">
      <c r="A15" s="12" t="inlineStr">
        <is>
          <t>Responsible Role</t>
        </is>
      </c>
      <c r="B15" s="16" t="inlineStr">
        <is>
          <t>The role responsible for ensuring compliance with this requirement.</t>
        </is>
      </c>
      <c r="C15" s="19" t="n"/>
      <c r="D15" s="19" t="n"/>
      <c r="E15" s="19" t="n"/>
      <c r="F15" s="20" t="n"/>
    </row>
    <row r="16" ht="15" customHeight="1">
      <c r="A16" s="12" t="inlineStr">
        <is>
          <t>Compliance Status</t>
        </is>
      </c>
      <c r="B16" s="16" t="inlineStr">
        <is>
          <t>Current compliance status. Values: Compliant (green) / Not Assessed (amber) / Non-Compliant (red).</t>
        </is>
      </c>
      <c r="C16" s="19" t="n"/>
      <c r="D16" s="19" t="n"/>
      <c r="E16" s="19" t="n"/>
      <c r="F16" s="20" t="n"/>
    </row>
    <row r="17" ht="15" customHeight="1">
      <c r="A17" s="12" t="inlineStr">
        <is>
          <t>Evidence / Records</t>
        </is>
      </c>
      <c r="B17" s="16" t="inlineStr">
        <is>
          <t>The objective evidence that demonstrates compliance.</t>
        </is>
      </c>
      <c r="C17" s="19" t="n"/>
      <c r="D17" s="19" t="n"/>
      <c r="E17" s="19" t="n"/>
      <c r="F17" s="20" t="n"/>
    </row>
    <row r="18" ht="15" customHeight="1">
      <c r="A18" s="12" t="inlineStr">
        <is>
          <t>Review Frequency</t>
        </is>
      </c>
      <c r="B18" s="16" t="inlineStr">
        <is>
          <t>How often this requirement is reviewed: Annual / Quarterly / Event-driven.</t>
        </is>
      </c>
      <c r="C18" s="19" t="n"/>
      <c r="D18" s="19" t="n"/>
      <c r="E18" s="19" t="n"/>
      <c r="F18" s="20" t="n"/>
    </row>
    <row r="19" ht="15" customHeight="1">
      <c r="A19" s="12" t="inlineStr">
        <is>
          <t>Last Review / Next Review</t>
        </is>
      </c>
      <c r="B19" s="16" t="inlineStr">
        <is>
          <t>Dates of last and next scheduled compliance review.</t>
        </is>
      </c>
      <c r="C19" s="19" t="n"/>
      <c r="D19" s="19" t="n"/>
      <c r="E19" s="19" t="n"/>
      <c r="F19" s="20" t="n"/>
    </row>
    <row r="20" ht="15" customHeight="1">
      <c r="A20" s="12" t="inlineStr">
        <is>
          <t>Comments / Actions</t>
        </is>
      </c>
      <c r="B20" s="16" t="inlineStr">
        <is>
          <t>Any corrective actions, notes, or follow-up items.</t>
        </is>
      </c>
      <c r="C20" s="19" t="n"/>
      <c r="D20" s="19" t="n"/>
      <c r="E20" s="19" t="n"/>
      <c r="F20" s="20" t="n"/>
    </row>
    <row r="23" ht="15.5" customHeight="1">
      <c r="A23" s="14" t="inlineStr">
        <is>
          <t>ISO 45001 CLAUSE 6.1.3 COMPLIANCE</t>
        </is>
      </c>
    </row>
    <row r="24" ht="32.9" customHeight="1">
      <c r="A24" s="17" t="inlineStr">
        <is>
          <t>This register satisfies ISO 45001 Clause 6.1.3 which requires the organisation to determine and have access to the legal requirements and other requirements applicable to its OH&amp;S hazards, OH&amp;S risks, and OH&amp;S management system; determine how these requirements apply; and take these requirements into account when establishing, implementing, maintaining, and continually improving the OH&amp;S management system.</t>
        </is>
      </c>
    </row>
  </sheetData>
  <mergeCells count="17">
    <mergeCell ref="A24:F24"/>
    <mergeCell ref="A2:F2"/>
    <mergeCell ref="B12:F12"/>
    <mergeCell ref="B7:F7"/>
    <mergeCell ref="B6:F6"/>
    <mergeCell ref="B16:F16"/>
    <mergeCell ref="B20:F20"/>
    <mergeCell ref="B15:F15"/>
    <mergeCell ref="B10:F10"/>
    <mergeCell ref="B11:F11"/>
    <mergeCell ref="B18:F18"/>
    <mergeCell ref="B19:F19"/>
    <mergeCell ref="B14:F14"/>
    <mergeCell ref="B8:F8"/>
    <mergeCell ref="B17:F17"/>
    <mergeCell ref="B9:F9"/>
    <mergeCell ref="B13:F13"/>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2:F13"/>
  <sheetViews>
    <sheetView showGridLines="0" zoomScaleNormal="100" workbookViewId="0">
      <selection activeCell="A1" sqref="A1"/>
    </sheetView>
  </sheetViews>
  <sheetFormatPr baseColWidth="8" defaultColWidth="8.7265625" defaultRowHeight="14.5"/>
  <cols>
    <col width="100" customWidth="1" min="1" max="1"/>
  </cols>
  <sheetData>
    <row r="2" ht="25.5" customHeight="1">
      <c r="A2" s="13" t="inlineStr">
        <is>
          <t>INSTRUCTIONS FOR USE</t>
        </is>
      </c>
    </row>
    <row r="4">
      <c r="A4" s="18" t="inlineStr">
        <is>
          <t>1. This register is the single source of truth for all legal and regulatory requirements applicable to Seagull Maritime.</t>
        </is>
      </c>
    </row>
    <row r="5">
      <c r="A5" s="18" t="inlineStr">
        <is>
          <t>2. Each jurisdiction has its own tab. Requirements are grouped by the country/region where they apply.</t>
        </is>
      </c>
    </row>
    <row r="6">
      <c r="A6" s="18" t="inlineStr">
        <is>
          <t>3. International requirements (IMO conventions, ISO standards) apply across all entities and are recorded on the International tab.</t>
        </is>
      </c>
    </row>
    <row r="7">
      <c r="A7" s="18" t="inlineStr">
        <is>
          <t>4. The Compliance Status column must be assessed and updated for each requirement. 'Not Assessed' entries require attention.</t>
        </is>
      </c>
    </row>
    <row r="8">
      <c r="A8" s="18" t="inlineStr">
        <is>
          <t>5. When legislation is amended, update the Last Amendment column and set Impact Assessment to 'Required'.</t>
        </is>
      </c>
    </row>
    <row r="9">
      <c r="A9" s="18" t="inlineStr">
        <is>
          <t>6. When a compliance assessment is completed, update the Compliance Status, Last Review Date, and Next Review Date.</t>
        </is>
      </c>
    </row>
    <row r="10">
      <c r="A10" s="18" t="inlineStr">
        <is>
          <t>7. Non-compliant items must be raised as NCRs via SM/INT/PRO/001 and tracked in SM/INT/REG/004.</t>
        </is>
      </c>
    </row>
    <row r="11">
      <c r="A11" s="18" t="inlineStr">
        <is>
          <t>8. New legislation should be added by the Group Compliance Director. Check the External References and Standards Procedure for the identification process.</t>
        </is>
      </c>
    </row>
    <row r="12">
      <c r="A12" s="18" t="inlineStr">
        <is>
          <t>9. ISO clause cross-references allow auditors to trace from a management system clause to the legal requirement it addresses.</t>
        </is>
      </c>
    </row>
    <row r="13">
      <c r="A13" s="18" t="inlineStr">
        <is>
          <t>10. This register is reviewed annually per jurisdiction, and immediately upon change in law, change in operations, or audit finding.</t>
        </is>
      </c>
    </row>
  </sheetData>
  <mergeCells count="11">
    <mergeCell ref="A2:F2"/>
    <mergeCell ref="A11:F11"/>
    <mergeCell ref="A10:F10"/>
    <mergeCell ref="A13:F13"/>
    <mergeCell ref="A5:F5"/>
    <mergeCell ref="A9:F9"/>
    <mergeCell ref="A8:F8"/>
    <mergeCell ref="A6:F6"/>
    <mergeCell ref="A12:F12"/>
    <mergeCell ref="A4:F4"/>
    <mergeCell ref="A7:F7"/>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2026-04-01T11:13:05Z</dcterms:created>
  <dcterms:modified xmlns:dcterms="http://purl.org/dc/terms/" xmlns:xsi="http://www.w3.org/2001/XMLSchema-instance" xsi:type="dcterms:W3CDTF">2026-04-20T17:51:59Z</dcterms:modified>
  <cp:lastModifiedBy>Darren Watts</cp:lastModifiedBy>
  <cp:revision>0</cp:revision>
</cp:coreProperties>
</file>