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d.docs.live.net/dbcad5c95b35c585/Documents/Claude - Work/Projects/Seagull Maritime/Seagull Maritime Management System/04 - Registers and Trackers/"/>
    </mc:Choice>
  </mc:AlternateContent>
  <xr:revisionPtr revIDLastSave="2" documentId="11_E3BB0B5028EE09D5992427008001E4A8218658D9" xr6:coauthVersionLast="47" xr6:coauthVersionMax="47" xr10:uidLastSave="{A9208AF7-DC7F-46D2-B262-90B459A2B461}"/>
  <bookViews>
    <workbookView xWindow="10065" yWindow="2790" windowWidth="41700" windowHeight="15105" tabRatio="500" activeTab="1" xr2:uid="{00000000-000D-0000-FFFF-FFFF00000000}"/>
  </bookViews>
  <sheets>
    <sheet name="Register Information" sheetId="1" r:id="rId1"/>
    <sheet name="Flag State Register" sheetId="2" r:id="rId2"/>
    <sheet name="Dashboard" sheetId="3" r:id="rId3"/>
    <sheet name="Methodology" sheetId="4" r:id="rId4"/>
    <sheet name="Instructions" sheetId="5" r:id="rId5"/>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E57" i="3" l="1"/>
  <c r="D57" i="3"/>
  <c r="C57" i="3"/>
  <c r="B57" i="3"/>
  <c r="A57" i="3"/>
  <c r="E56" i="3"/>
  <c r="D56" i="3"/>
  <c r="C56" i="3"/>
  <c r="B56" i="3"/>
  <c r="A56" i="3"/>
  <c r="E55" i="3"/>
  <c r="D55" i="3"/>
  <c r="C55" i="3"/>
  <c r="B55" i="3"/>
  <c r="A55" i="3"/>
  <c r="E54" i="3"/>
  <c r="D54" i="3"/>
  <c r="C54" i="3"/>
  <c r="B54" i="3"/>
  <c r="A54" i="3"/>
  <c r="E53" i="3"/>
  <c r="D53" i="3"/>
  <c r="C53" i="3"/>
  <c r="B53" i="3"/>
  <c r="A53" i="3"/>
  <c r="E52" i="3"/>
  <c r="D52" i="3"/>
  <c r="C52" i="3"/>
  <c r="B52" i="3"/>
  <c r="A52" i="3"/>
  <c r="E51" i="3"/>
  <c r="D51" i="3"/>
  <c r="C51" i="3"/>
  <c r="B51" i="3"/>
  <c r="A51" i="3"/>
  <c r="E50" i="3"/>
  <c r="D50" i="3"/>
  <c r="C50" i="3"/>
  <c r="B50" i="3"/>
  <c r="A50" i="3"/>
  <c r="E49" i="3"/>
  <c r="D49" i="3"/>
  <c r="C49" i="3"/>
  <c r="B49" i="3"/>
  <c r="A49" i="3"/>
  <c r="E48" i="3"/>
  <c r="D48" i="3"/>
  <c r="C48" i="3"/>
  <c r="B48" i="3"/>
  <c r="A48" i="3"/>
  <c r="E47" i="3"/>
  <c r="D47" i="3"/>
  <c r="C47" i="3"/>
  <c r="B47" i="3"/>
  <c r="A47" i="3"/>
  <c r="E46" i="3"/>
  <c r="D46" i="3"/>
  <c r="C46" i="3"/>
  <c r="B46" i="3"/>
  <c r="A46" i="3"/>
  <c r="E45" i="3"/>
  <c r="D45" i="3"/>
  <c r="C45" i="3"/>
  <c r="B45" i="3"/>
  <c r="A45" i="3"/>
  <c r="E44" i="3"/>
  <c r="D44" i="3"/>
  <c r="C44" i="3"/>
  <c r="B44" i="3"/>
  <c r="A44" i="3"/>
  <c r="E43" i="3"/>
  <c r="D43" i="3"/>
  <c r="C43" i="3"/>
  <c r="B43" i="3"/>
  <c r="A43" i="3"/>
  <c r="E42" i="3"/>
  <c r="D42" i="3"/>
  <c r="C42" i="3"/>
  <c r="B42" i="3"/>
  <c r="A42" i="3"/>
  <c r="E41" i="3"/>
  <c r="D41" i="3"/>
  <c r="C41" i="3"/>
  <c r="B41" i="3"/>
  <c r="A41" i="3"/>
  <c r="E40" i="3"/>
  <c r="D40" i="3"/>
  <c r="C40" i="3"/>
  <c r="B40" i="3"/>
  <c r="A40" i="3"/>
  <c r="E39" i="3"/>
  <c r="D39" i="3"/>
  <c r="C39" i="3"/>
  <c r="B39" i="3"/>
  <c r="A39" i="3"/>
  <c r="E38" i="3"/>
  <c r="D38" i="3"/>
  <c r="C38" i="3"/>
  <c r="B38" i="3"/>
  <c r="A38" i="3"/>
  <c r="E37" i="3"/>
  <c r="D37" i="3"/>
  <c r="C37" i="3"/>
  <c r="B37" i="3"/>
  <c r="A37" i="3"/>
  <c r="E36" i="3"/>
  <c r="D36" i="3"/>
  <c r="C36" i="3"/>
  <c r="B36" i="3"/>
  <c r="A36" i="3"/>
  <c r="E35" i="3"/>
  <c r="D35" i="3"/>
  <c r="C35" i="3"/>
  <c r="B35" i="3"/>
  <c r="A35" i="3"/>
  <c r="E34" i="3"/>
  <c r="D34" i="3"/>
  <c r="C34" i="3"/>
  <c r="B34" i="3"/>
  <c r="A34" i="3"/>
  <c r="E33" i="3"/>
  <c r="D33" i="3"/>
  <c r="C33" i="3"/>
  <c r="B33" i="3"/>
  <c r="A33" i="3"/>
  <c r="E32" i="3"/>
  <c r="D32" i="3"/>
  <c r="C32" i="3"/>
  <c r="B32" i="3"/>
  <c r="A32" i="3"/>
  <c r="E31" i="3"/>
  <c r="D31" i="3"/>
  <c r="C31" i="3"/>
  <c r="B31" i="3"/>
  <c r="A31" i="3"/>
  <c r="E30" i="3"/>
  <c r="D30" i="3"/>
  <c r="C30" i="3"/>
  <c r="B30" i="3"/>
  <c r="A30" i="3"/>
  <c r="E29" i="3"/>
  <c r="D29" i="3"/>
  <c r="C29" i="3"/>
  <c r="B29" i="3"/>
  <c r="A29" i="3"/>
  <c r="E28" i="3"/>
  <c r="D28" i="3"/>
  <c r="C28" i="3"/>
  <c r="B28" i="3"/>
  <c r="A28" i="3"/>
  <c r="E27" i="3"/>
  <c r="D27" i="3"/>
  <c r="C27" i="3"/>
  <c r="B27" i="3"/>
  <c r="A27" i="3"/>
  <c r="E26" i="3"/>
  <c r="D26" i="3"/>
  <c r="C26" i="3"/>
  <c r="B26" i="3"/>
  <c r="A26" i="3"/>
  <c r="E25" i="3"/>
  <c r="D25" i="3"/>
  <c r="C25" i="3"/>
  <c r="B25" i="3"/>
  <c r="A25" i="3"/>
  <c r="E24" i="3"/>
  <c r="D24" i="3"/>
  <c r="C24" i="3"/>
  <c r="B24" i="3"/>
  <c r="A24" i="3"/>
  <c r="E23" i="3"/>
  <c r="D23" i="3"/>
  <c r="C23" i="3"/>
  <c r="B23" i="3"/>
  <c r="A23" i="3"/>
  <c r="E22" i="3"/>
  <c r="D22" i="3"/>
  <c r="C22" i="3"/>
  <c r="B22" i="3"/>
  <c r="A22" i="3"/>
  <c r="E21" i="3"/>
  <c r="D21" i="3"/>
  <c r="C21" i="3"/>
  <c r="B21" i="3"/>
  <c r="A21" i="3"/>
  <c r="B15" i="3"/>
  <c r="B14" i="3"/>
  <c r="B13" i="3"/>
  <c r="B12" i="3"/>
  <c r="B11" i="3"/>
  <c r="B10" i="3"/>
  <c r="B9" i="3"/>
  <c r="B8" i="3"/>
  <c r="B7" i="3"/>
  <c r="B6" i="3"/>
</calcChain>
</file>

<file path=xl/sharedStrings.xml><?xml version="1.0" encoding="utf-8"?>
<sst xmlns="http://schemas.openxmlformats.org/spreadsheetml/2006/main" count="641" uniqueCount="343">
  <si>
    <t>FLAG STATE REQUIREMENTS REGISTER</t>
  </si>
  <si>
    <t>REGISTER INFORMATION</t>
  </si>
  <si>
    <t>Document Reference:</t>
  </si>
  <si>
    <t>SM/SEC/REG/001</t>
  </si>
  <si>
    <t>Document Title:</t>
  </si>
  <si>
    <t>Flag State Requirements Register</t>
  </si>
  <si>
    <t>System:</t>
  </si>
  <si>
    <t>Security Management System (ISO 28007 / ISO 18788 / ISO 28000)</t>
  </si>
  <si>
    <t>Version:</t>
  </si>
  <si>
    <t>1.0</t>
  </si>
  <si>
    <t>Status:</t>
  </si>
  <si>
    <t>Approved</t>
  </si>
  <si>
    <t>Created by:</t>
  </si>
  <si>
    <t>Group Compliance Director</t>
  </si>
  <si>
    <t>Approved by:</t>
  </si>
  <si>
    <t>Pavel Shparber, CEO</t>
  </si>
  <si>
    <t>Effective Date:</t>
  </si>
  <si>
    <t>1 April 2026</t>
  </si>
  <si>
    <t>Review Date:</t>
  </si>
  <si>
    <t>1 October 2026</t>
  </si>
  <si>
    <t>Review Frequency:</t>
  </si>
  <si>
    <t>Quarterly, and upon regulatory update or operational trigger</t>
  </si>
  <si>
    <t>PURPOSE</t>
  </si>
  <si>
    <t>This register records the requirements of each flag state regarding the placement of Privately Contracted Armed Security Personnel (PCASP) on board merchant vessels. It serves as the single source of truth for flag state eligibility, approval requirements, licence status, and operational guidance for all Seagull Maritime entities.</t>
  </si>
  <si>
    <t>SCOPE AND APPLICABILITY</t>
  </si>
  <si>
    <t>This register applies to all armed maritime security operations conducted by Seagull Maritime FZCO, Seagull Maritime Malta, Seagull Maritime Nigeria, Seagull Maritime UK, and Seagull Offshore. It must be consulted before any quotation is issued for a vessel whose flag state requirements are not already confirmed. It is maintained by the Group Compliance Director and reviewed quarterly.</t>
  </si>
  <si>
    <t>RELATED DOCUMENTS</t>
  </si>
  <si>
    <t>SM/INT/PRO/004 — External References and Standards Procedure</t>
  </si>
  <si>
    <t>SM/SEC/PRO/001 — Security and Business Risk Assessment Procedure</t>
  </si>
  <si>
    <t>SM/HSE/REG/002 — Legal and Regulatory Requirements Register</t>
  </si>
  <si>
    <t>SM/INT/REG/007 — External Standards and References Register</t>
  </si>
  <si>
    <t>IMO MSC.1/Circ.1405/Rev.2 — Guidance on the Use of PCASP</t>
  </si>
  <si>
    <t>IMO MSC.1/Circ.1406/Rev.3 — Interim Recommendations for Flag States</t>
  </si>
  <si>
    <t>IMO MSC.1/Circ.1408/Rev.1 — Interim Recommendations for Port and Coastal States</t>
  </si>
  <si>
    <t>FLAG STATE REQUIREMENTS REGISTER — SM/SEC/REG/001</t>
  </si>
  <si>
    <t>#</t>
  </si>
  <si>
    <t>Flag State</t>
  </si>
  <si>
    <t>PCASP Stance</t>
  </si>
  <si>
    <t>Approval Model</t>
  </si>
  <si>
    <t>Key Legislation / Circular</t>
  </si>
  <si>
    <t>Seagull Approved</t>
  </si>
  <si>
    <t>Licence / Approval Ref</t>
  </si>
  <si>
    <t>Expiry Date</t>
  </si>
  <si>
    <t>Renewal Lead Time</t>
  </si>
  <si>
    <t>Application Route</t>
  </si>
  <si>
    <t>Required Documents</t>
  </si>
  <si>
    <t>Fees</t>
  </si>
  <si>
    <t>Fees Payable By</t>
  </si>
  <si>
    <t>Responsible Party</t>
  </si>
  <si>
    <t>Contact / Website</t>
  </si>
  <si>
    <t>Key Notes / Restrictions</t>
  </si>
  <si>
    <t>Last Verified</t>
  </si>
  <si>
    <t>Verified By</t>
  </si>
  <si>
    <t>Liberia</t>
  </si>
  <si>
    <t>Permits</t>
  </si>
  <si>
    <t>Licence</t>
  </si>
  <si>
    <t>Liberian Maritime Authority regulations</t>
  </si>
  <si>
    <t>Yes</t>
  </si>
  <si>
    <t>Annual renewal</t>
  </si>
  <si>
    <t>PMSC submits to Liberian Maritime Authority</t>
  </si>
  <si>
    <t>Team details, equipment kit, transit details</t>
  </si>
  <si>
    <t>Per transit + annual licence fee</t>
  </si>
  <si>
    <t>PMSC</t>
  </si>
  <si>
    <t>security@liscr.com</t>
  </si>
  <si>
    <t>PMSC must hold valid licence. Annual activity reporting required on flagged vessels.</t>
  </si>
  <si>
    <t>NOT YET VERIFIED</t>
  </si>
  <si>
    <t>Panama</t>
  </si>
  <si>
    <t>MMC-245 (March 2026)</t>
  </si>
  <si>
    <t>01/08/2026</t>
  </si>
  <si>
    <t>Annual</t>
  </si>
  <si>
    <t>PMA Portal (new or old) — PMSC or Client</t>
  </si>
  <si>
    <t>ST passports, equipment kit details, GUARDCON</t>
  </si>
  <si>
    <t>Annual licence fee</t>
  </si>
  <si>
    <t>PMSC / Client</t>
  </si>
  <si>
    <t>asp@amp.gob.pa
https://ecertificatespanama.amp.gob.pa</t>
  </si>
  <si>
    <t>PMSC must be on approved list per MMC-245. Post-transit report required via PMA portal.</t>
  </si>
  <si>
    <t>Marshall Islands</t>
  </si>
  <si>
    <t>Case-by-case</t>
  </si>
  <si>
    <t>MI Maritime Administrator guidance</t>
  </si>
  <si>
    <t>5–7 days</t>
  </si>
  <si>
    <t>Client submits LONO application to flag</t>
  </si>
  <si>
    <t>Team details, weapons details</t>
  </si>
  <si>
    <t>None</t>
  </si>
  <si>
    <t>N/A</t>
  </si>
  <si>
    <t>Client</t>
  </si>
  <si>
    <t>marsec@register-iri.com
https://www.register-iri.com/</t>
  </si>
  <si>
    <t>LONO required. PMSC supplies team and weapons details. Client acquires LONO.</t>
  </si>
  <si>
    <t>Malta</t>
  </si>
  <si>
    <t>Transport Malta maritime security regulations</t>
  </si>
  <si>
    <t>Client submits to Transport Malta</t>
  </si>
  <si>
    <t>comms.isps@transport.gov.mt
https://www.transport.gov.mt/</t>
  </si>
  <si>
    <t>LONO required. PMSC supplies details, client acquires LONO.</t>
  </si>
  <si>
    <t>Guinea Bissau</t>
  </si>
  <si>
    <t>Guinea Bissau International Ship Registry regulations</t>
  </si>
  <si>
    <t>PMSC submits to GBISR</t>
  </si>
  <si>
    <t>ISO 28007 certificate, team details, transit details</t>
  </si>
  <si>
    <t>ops@gbi-lb.org; tech@gbi-lb.org
https://gbisr.com/</t>
  </si>
  <si>
    <t>PMSC must hold valid licence and ISO 28007. Each transit requires separate approval.</t>
  </si>
  <si>
    <t>Cyprus</t>
  </si>
  <si>
    <t>Cyprus Department of Merchant Shipping regulations</t>
  </si>
  <si>
    <t>No</t>
  </si>
  <si>
    <t>PMSC submits to DMS</t>
  </si>
  <si>
    <t>PCASP approval per guard under PMSC</t>
  </si>
  <si>
    <t>Annual fee (varies by tasks/guards)</t>
  </si>
  <si>
    <t>maritimeadmin@dms.gov.cy
https://www.gov.cy/dms/en/</t>
  </si>
  <si>
    <t>PMSC must hold valid licence. Individual PCASPs must be approved to work under specific PMSC.</t>
  </si>
  <si>
    <t>Greece</t>
  </si>
  <si>
    <t>Hellenic Coast Guard / Ministry of Maritime Affairs</t>
  </si>
  <si>
    <t>PMSC submits to Hellenic Coast Guard</t>
  </si>
  <si>
    <t>PMSC licence documentation</t>
  </si>
  <si>
    <t>contact@yna.gov.gr
https://www.ynanp.gr/</t>
  </si>
  <si>
    <t>PMSC must hold valid licence.</t>
  </si>
  <si>
    <t>United Kingdom</t>
  </si>
  <si>
    <t>UK Interim Guidance on Armed Guards; Firearms Act 1968 (Section 5)</t>
  </si>
  <si>
    <t>Up to 3 months for guard approval</t>
  </si>
  <si>
    <t>PMSC submits to DfT Maritime Security</t>
  </si>
  <si>
    <t>Enhanced criminal record checks per guard, Section 5 approval</t>
  </si>
  <si>
    <t>Criminal record check costs</t>
  </si>
  <si>
    <t>maritimesecurity@dft.gov.uk
https://www.gov.uk/</t>
  </si>
  <si>
    <t>Requires UK Section 5 Firearms approval per individual guard. Guard approval can take up to 3 months.</t>
  </si>
  <si>
    <t>Hong Kong</t>
  </si>
  <si>
    <t>Hong Kong Marine Department guidance</t>
  </si>
  <si>
    <t>2 days minimum</t>
  </si>
  <si>
    <t>Client submits to Marine Department</t>
  </si>
  <si>
    <t>ISO 28007 cert, SOPs, RUF, weapons details</t>
  </si>
  <si>
    <t>ss_css@mardep.gov.hk
http://www.mardep.gov.hk</t>
  </si>
  <si>
    <t>Typical IMO circular requirements. ISO 28007, SOPs and RUF of PMSC, weapons details.</t>
  </si>
  <si>
    <t>Portugal</t>
  </si>
  <si>
    <t>Decree-Law No. 159/2019</t>
  </si>
  <si>
    <t>Client submits counter-piracy plan (Form M-DSAM-118)</t>
  </si>
  <si>
    <t>Counter-piracy plan per voyage</t>
  </si>
  <si>
    <t>hra.assist@dgrm.mm.gov.pt
https://www.dgrm.pt/</t>
  </si>
  <si>
    <t>Per-voyage counter-piracy plan submission required (Form M-DSAM-118).</t>
  </si>
  <si>
    <t>Bahamas</t>
  </si>
  <si>
    <t>Bahamas Maritime Authority guidance</t>
  </si>
  <si>
    <t>Up to 10 days</t>
  </si>
  <si>
    <t>PMSC submits individual firearms licences per MSO</t>
  </si>
  <si>
    <t>Individual firearms licences per guard</t>
  </si>
  <si>
    <t>tech@bahamasmaritime.com
https://www.bahamasmaritime.com</t>
  </si>
  <si>
    <t>Individual firearms licences required per MSO. Applications can take up to 10 working days.</t>
  </si>
  <si>
    <t>Singapore</t>
  </si>
  <si>
    <t>MPA maritime security regulations</t>
  </si>
  <si>
    <t>1–2 days</t>
  </si>
  <si>
    <t>Client submits via MPA portal (vessel owner/operator only)</t>
  </si>
  <si>
    <t>Vessel owner/operator application</t>
  </si>
  <si>
    <t>No info</t>
  </si>
  <si>
    <t>marine@mpa.gov.sg
https://mpa.gov.sg</t>
  </si>
  <si>
    <t>Application to MPA portal can only be done by vessel owner/operator with Singapore-flagged ship in pool.</t>
  </si>
  <si>
    <t>Isle of Man</t>
  </si>
  <si>
    <t>IoM Ship Registry guidance</t>
  </si>
  <si>
    <t>Not specified</t>
  </si>
  <si>
    <t>Client submits to IoM Ship Registry</t>
  </si>
  <si>
    <t>ISO 28007 cert, RUF, SOPs aligned with IMO circulars</t>
  </si>
  <si>
    <t>marine.survey@gov.im
www.iomshipregistry.com</t>
  </si>
  <si>
    <t>PMSC required to hold ISO 28007. RUF and SOPs must align with key IMO circulars.</t>
  </si>
  <si>
    <t>Palau</t>
  </si>
  <si>
    <t>Palau International Ship Registry regulations</t>
  </si>
  <si>
    <t>3–5 days</t>
  </si>
  <si>
    <t>Client submits to Palau Registry</t>
  </si>
  <si>
    <t>Team details, transit details</t>
  </si>
  <si>
    <t>Per transit</t>
  </si>
  <si>
    <t>technical@palaureg.com
https://www.palaureg.com/</t>
  </si>
  <si>
    <t>PMSC must have valid flag approval (3-year validity).</t>
  </si>
  <si>
    <t>Barbados</t>
  </si>
  <si>
    <t>Barbados Maritime Ship Registry guidance</t>
  </si>
  <si>
    <t>Client submits MoA to BMSR for approval and seal</t>
  </si>
  <si>
    <t>Memorandum of Agreement between client and PMSC</t>
  </si>
  <si>
    <t>Ops@barbadosmaritime.com
http://www.barbadosmaritime.org/</t>
  </si>
  <si>
    <t>MoA between client and PMSC required. Part 2 subject to BMSR approval and seal.</t>
  </si>
  <si>
    <t>St Vincent &amp; Grenadines</t>
  </si>
  <si>
    <t>SVG maritime security regulations</t>
  </si>
  <si>
    <t>10–14 days</t>
  </si>
  <si>
    <t>Client and PMSC submit to SVG authorities</t>
  </si>
  <si>
    <t>Individual firearms licence per guard</t>
  </si>
  <si>
    <t>Per transit + licence per guard</t>
  </si>
  <si>
    <t>Client / PMSC</t>
  </si>
  <si>
    <t>security@svg-marad.com
http://svg-marad.com/</t>
  </si>
  <si>
    <t>Each guard requires separate firearms licence. Multiple contact points.</t>
  </si>
  <si>
    <t>Belize</t>
  </si>
  <si>
    <t>Belize Maritime Authority (IMMARBE) conditions</t>
  </si>
  <si>
    <t>Client submits to IMMARBE</t>
  </si>
  <si>
    <t>Company profile, ISO cert, procedures, guard qualifications, weapons inventory, affidavit, BMP</t>
  </si>
  <si>
    <t>technicalservices@immarbe.com
https://immarbe.com</t>
  </si>
  <si>
    <t>Extensive documentation: guard quals including anti-piracy and weapons courses, attestation letter, weapons storage requirements, affidavit of compliance, BMP procedures.</t>
  </si>
  <si>
    <t>Denmark</t>
  </si>
  <si>
    <t>Danish Maritime Authority piracy guidance</t>
  </si>
  <si>
    <t>Client submits via DMA website</t>
  </si>
  <si>
    <t>ISO cert of PMSC, SOPs</t>
  </si>
  <si>
    <t>mrj@dma.dk
https://www.dma.dk/safety-at-sea/ship-safety/piracy</t>
  </si>
  <si>
    <t>ISO cert and SOPs required. Client-submitted via DMA website.</t>
  </si>
  <si>
    <t>Tuvalu</t>
  </si>
  <si>
    <t>MC-10/2010/12/3</t>
  </si>
  <si>
    <t>1–3 days</t>
  </si>
  <si>
    <t>Client approaches TVR for LONO</t>
  </si>
  <si>
    <t>Transit details</t>
  </si>
  <si>
    <t>info@tvship.com
https://tvship.com</t>
  </si>
  <si>
    <t>Circular permits placing armed guards as sole decision of shipowner. LONO required (typically 30-day validity).</t>
  </si>
  <si>
    <t>USA</t>
  </si>
  <si>
    <t>US Coast Guard regulations; federal firearms law</t>
  </si>
  <si>
    <t>No Previous Activity</t>
  </si>
  <si>
    <t>7–10 days</t>
  </si>
  <si>
    <t>Client submits licence application to USCG</t>
  </si>
  <si>
    <t>USCG-specific requirements</t>
  </si>
  <si>
    <t>Requires USCG-approved licence for each task.</t>
  </si>
  <si>
    <t>Netherlands</t>
  </si>
  <si>
    <t>Wet ter Bescherming Koopvaardij (WTBK); Regeling Koopvaardij</t>
  </si>
  <si>
    <t>PMSC applies for licence; shipowner approaches Coastguard per transit</t>
  </si>
  <si>
    <t>4+ years military/law enforcement per PCASP, English proficiency cert, handcuffs, helmet-mounted HD cameras</t>
  </si>
  <si>
    <t>€17,220 first licence; €14,190 renewal</t>
  </si>
  <si>
    <t>aanvraagwtbk@kustwacht.nl
https://kustwacht.nl/</t>
  </si>
  <si>
    <t>Only semi-auto rifles. Handcuffs and helmet-mounted HD cameras required. 4-man team minimum. Weapons storage to ENV 1627 WK4 / EN 356 P5B standards. PMSC must be EU-registered.</t>
  </si>
  <si>
    <t>Luxembourg</t>
  </si>
  <si>
    <t>Luxembourg Maritime Administration regulations</t>
  </si>
  <si>
    <t>7 days (if &lt;4-man team)</t>
  </si>
  <si>
    <t>Client submits; PMSC must be listed on flag website</t>
  </si>
  <si>
    <t>PMSC listing on flag website, EU registration</t>
  </si>
  <si>
    <t>https://maritime.public.lu/en/administrative-procedures/pag.html</t>
  </si>
  <si>
    <t>PMSC must be listed on administration website. Unlicensed PMSC: 2–3 weeks lead time for case-by-case authorisation. 4-man team minimum. Weapons storage standards (ENV 1627 WK4 / EN 356 P5B).</t>
  </si>
  <si>
    <t>Honduras</t>
  </si>
  <si>
    <t>Honduran maritime regulations</t>
  </si>
  <si>
    <t>10 days</t>
  </si>
  <si>
    <t>PMSC submits via legal representative residing in Honduras</t>
  </si>
  <si>
    <t>Guard details (passport, medical cert, security certs), weapons inventory (type, serial, model, calibre), employment contracts, all apostilled and notarised</t>
  </si>
  <si>
    <t>Documents must be submitted through legal representative in Honduras. All documents must be apostilled and notarised.</t>
  </si>
  <si>
    <t>San Tome &amp; Principe</t>
  </si>
  <si>
    <t>STP Registry guidance</t>
  </si>
  <si>
    <t>Client submits to STP Registry</t>
  </si>
  <si>
    <t>PMSC incorporation cert, authorisation from country of origin, ISO 28000 cert, BIMCO contracts + Annex D per PCASP, passports, PMSC licences for area of ops, weapons inventory with serials</t>
  </si>
  <si>
    <t>$510 permit + $100 admin fee per vessel/transit</t>
  </si>
  <si>
    <t>https://stpregistry.com</t>
  </si>
  <si>
    <t>Comprehensive documentation requirements. ISO 28000 (not 28007) referenced.</t>
  </si>
  <si>
    <t>Bermuda</t>
  </si>
  <si>
    <t>Notification</t>
  </si>
  <si>
    <t>BSN-2022-012 (Piracy Counter Measures)</t>
  </si>
  <si>
    <t>No formal application — recommendations only</t>
  </si>
  <si>
    <t>None specified</t>
  </si>
  <si>
    <t>enquiries@bermudashipping.bm
https://bsma.bm/</t>
  </si>
  <si>
    <t>Merchant circular contains general recommendations only. BSMA does not require notification of intent to place armed guards. PMSC chosen by shipowner. Recommendations, not regulations.</t>
  </si>
  <si>
    <t>San Marino</t>
  </si>
  <si>
    <t>Does Not Permit</t>
  </si>
  <si>
    <t>San Marino maritime regulations</t>
  </si>
  <si>
    <t>Flag state does not permit PCASP on board.</t>
  </si>
  <si>
    <t>China</t>
  </si>
  <si>
    <t>No Known Stance</t>
  </si>
  <si>
    <t>Unknown</t>
  </si>
  <si>
    <t>No published guidance identified</t>
  </si>
  <si>
    <t>No known official stance on PCASP. No published guidance identified.</t>
  </si>
  <si>
    <t>Norway (NIS/NOR)</t>
  </si>
  <si>
    <t>Norwegian International Ship Register regulations; Federal Law on Transport Security</t>
  </si>
  <si>
    <t>Application to Norwegian Maritime Authority</t>
  </si>
  <si>
    <t>Flag state vetting of PMSC and personnel; weapons management</t>
  </si>
  <si>
    <t>Norwegian Maritime Authority</t>
  </si>
  <si>
    <t>Permitted since 2011. Formal authorisation process required.</t>
  </si>
  <si>
    <t>Germany</t>
  </si>
  <si>
    <t>German Federal Police / BSH regulations</t>
  </si>
  <si>
    <t>Application to German maritime authority</t>
  </si>
  <si>
    <t>PMSC vetting, personnel credentials</t>
  </si>
  <si>
    <t>German maritime authority</t>
  </si>
  <si>
    <t>Permitted since 2013. Flag state vetting of PMSC and personnel.</t>
  </si>
  <si>
    <t>Belgium</t>
  </si>
  <si>
    <t>Belgian maritime security regulations</t>
  </si>
  <si>
    <t>Application to Belgian maritime authority</t>
  </si>
  <si>
    <t>Flag state authorisation requirements</t>
  </si>
  <si>
    <t>Belgian maritime authority</t>
  </si>
  <si>
    <t>Permitted since 2013. Flag state authorisation required.</t>
  </si>
  <si>
    <t>Italy</t>
  </si>
  <si>
    <t>Italian maritime security regulations</t>
  </si>
  <si>
    <t>Application to Italian maritime authority</t>
  </si>
  <si>
    <t>Weapons and personnel vetting</t>
  </si>
  <si>
    <t>Italian maritime authority</t>
  </si>
  <si>
    <t>Permitted since 2012. Application to Italian maritime authority, weapons and personnel vetting required.</t>
  </si>
  <si>
    <t>Japan</t>
  </si>
  <si>
    <t>Case-by-case (highly restrictive)</t>
  </si>
  <si>
    <t>Japanese flag state regulations</t>
  </si>
  <si>
    <t>Application to Japanese maritime authority</t>
  </si>
  <si>
    <t>Extremely stringent PMSC/PCASP vetting</t>
  </si>
  <si>
    <t>Japanese maritime authority</t>
  </si>
  <si>
    <t>Arguably the most stringent flag state legislation for PCASP. Extremely difficult to obtain approval.</t>
  </si>
  <si>
    <t>Russia</t>
  </si>
  <si>
    <t>Federal Law on Transport Security (Russia)</t>
  </si>
  <si>
    <t>Government attestation required</t>
  </si>
  <si>
    <t>Security service attestation documents</t>
  </si>
  <si>
    <t>Russian maritime authority</t>
  </si>
  <si>
    <t>Government attestation of security providers required. Entry into territorial waters with armed personnel may be prohibited by coastal state legislation.</t>
  </si>
  <si>
    <t>Antigua &amp; Barbuda</t>
  </si>
  <si>
    <t>Antigua &amp; Barbuda Ship Registry</t>
  </si>
  <si>
    <t>Open registry. PCASP-specific policy not documented. Requires direct contact with flag administration.</t>
  </si>
  <si>
    <t>Cayman Islands</t>
  </si>
  <si>
    <t>No published guidance identified (British Overseas Territory)</t>
  </si>
  <si>
    <t>Cayman Islands Maritime Authority</t>
  </si>
  <si>
    <t>British Overseas Territory. PCASP-specific policy not documented. Likely aligns with UK approach.</t>
  </si>
  <si>
    <t>Vanuatu</t>
  </si>
  <si>
    <t>Vanuatu Maritime Authority</t>
  </si>
  <si>
    <t>Flag of convenience. PCASP-specific policy not documented.</t>
  </si>
  <si>
    <t>Comoros</t>
  </si>
  <si>
    <t>Unknown (likely permissive)</t>
  </si>
  <si>
    <t>Comoros Ship Registry</t>
  </si>
  <si>
    <t>Highly permissive registry. Minimal oversight expected. PCASP-specific policy not documented.</t>
  </si>
  <si>
    <t>FLAG STATE REGISTER — DASHBOARD</t>
  </si>
  <si>
    <t>KEY METRICS</t>
  </si>
  <si>
    <t>Total Flags Tracked:</t>
  </si>
  <si>
    <t>Flags Permitting PCASP:</t>
  </si>
  <si>
    <t>Flags Not Permitting:</t>
  </si>
  <si>
    <t>Unknown / No Stance:</t>
  </si>
  <si>
    <t>Seagull Approved (Yes):</t>
  </si>
  <si>
    <t>Seagull Not Approved:</t>
  </si>
  <si>
    <t>No Previous Activity:</t>
  </si>
  <si>
    <t>Licence Model:</t>
  </si>
  <si>
    <t>Case-by-Case Model:</t>
  </si>
  <si>
    <t>Not Yet Verified:</t>
  </si>
  <si>
    <t>APPROVAL STATUS OVERVIEW</t>
  </si>
  <si>
    <t>REGISTER METHODOLOGY AND DEFINITIONS</t>
  </si>
  <si>
    <t>COLUMN DEFINITIONS</t>
  </si>
  <si>
    <t>The national flag under which a vessel is registered and which has regulatory authority over the vessel.</t>
  </si>
  <si>
    <t>Whether the flag state permits, prohibits, or has no known position on the placement of PCASP on board. Values: Permits / Does Not Permit / No Known Stance / Unknown.</t>
  </si>
  <si>
    <t>The mechanism by which the flag state authorises PCASP. Licence = standing approval (annual or multi-year). Case-by-case = per-voyage or per-transit approval. Notification = flag state must be informed but does not issue formal approval.</t>
  </si>
  <si>
    <t>The primary legislation, merchant marine circular, or official guidance document governing PCASP for this flag state.</t>
  </si>
  <si>
    <t>Whether Seagull Maritime currently holds a valid licence or approval for this flag. Yes / No / No Previous Activity / N/A.</t>
  </si>
  <si>
    <t>Seagull's licence or approval reference number, where applicable.</t>
  </si>
  <si>
    <t>Date the current licence or approval expires. Highlighted in red/yellow where approaching or passed.</t>
  </si>
  <si>
    <t>Typical time required to renew or obtain approval. Used for planning and commercial quoting.</t>
  </si>
  <si>
    <t>Who submits the application (PMSC or Client) and through what channel (portal, email, agent, etc.).</t>
  </si>
  <si>
    <t>Documents that must be submitted as part of the flag approval process.</t>
  </si>
  <si>
    <t>Any fees payable for the licence or per-transit approval.</t>
  </si>
  <si>
    <t>Who bears the cost: PMSC or Client.</t>
  </si>
  <si>
    <t>Who is responsible for initiating and managing the flag approval process.</t>
  </si>
  <si>
    <t>Primary contact email and website for the flag state maritime administration.</t>
  </si>
  <si>
    <t>Any critical restrictions, special conditions, or operational notes.</t>
  </si>
  <si>
    <t>Date this flag entry was last checked against current legislation and confirmed accurate.</t>
  </si>
  <si>
    <t>Person who last verified this entry.</t>
  </si>
  <si>
    <t>REVIEW CYCLE</t>
  </si>
  <si>
    <t>This register is reviewed quarterly by the Group Compliance Director. Ad hoc reviews are triggered by: new flag state legislation or circular, commercial engagement with a new flag, operational incident, internal or external audit finding, or client request. All changes are logged with date and verifier.</t>
  </si>
  <si>
    <t>INSTRUCTIONS FOR USE</t>
  </si>
  <si>
    <t>1. This register is the single source of truth for flag state PCASP requirements across all Seagull Maritime entities.</t>
  </si>
  <si>
    <t>2. Before issuing any quotation for a vessel whose flag is known, check the Flag State Register tab for that flag's current status and requirements.</t>
  </si>
  <si>
    <t>3. If a flag is not listed, escalate to the Group Compliance Director before proceeding. Do not assume requirements.</t>
  </si>
  <si>
    <t>4. Entries marked 'NOT YET VERIFIED' must be verified against current legislation before relying on them operationally.</t>
  </si>
  <si>
    <t>5. The Expiry Date column must be monitored monthly. Any licence approaching expiry within 60 days must be flagged to the Group Compliance Director.</t>
  </si>
  <si>
    <t>6. When a flag entry is verified or updated, record the date and your name in the Last Verified and Verified By columns.</t>
  </si>
  <si>
    <t>7. New flags should be added by the Group Compliance Director only. Do not add rows without approval.</t>
  </si>
  <si>
    <t>8. This register feeds into the External References and Standards Procedure (SM/INT/PRO/004) and the Flag Eligibility Portal.</t>
  </si>
  <si>
    <t>9. Any queries about flag requirements should be directed to the Group Compliance Director.</t>
  </si>
  <si>
    <t>10. Do not modify the formatting, structure, or formulas in this register without approval.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</si>
</sst>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charset val="1"/>
    </font>
    <font>
      <b/>
      <sz val="20"/>
      <color rgb="FF003C72"/>
      <name val="Avenir Next LT Pro"/>
      <charset val="1"/>
    </font>
    <font>
      <b/>
      <sz val="12"/>
      <color rgb="FF003C72"/>
      <name val="Avenir Next LT Pro"/>
      <charset val="1"/>
    </font>
    <font>
      <b/>
      <sz val="9"/>
      <color rgb="FFFFFFFF"/>
      <name val="Aptos"/>
      <charset val="1"/>
    </font>
    <font>
      <sz val="9"/>
      <name val="Aptos"/>
      <charset val="1"/>
    </font>
    <font>
      <sz val="9"/>
      <color rgb="FF006100"/>
      <name val="Aptos"/>
      <charset val="1"/>
    </font>
    <font>
      <b/>
      <sz val="9"/>
      <color rgb="FFFF0000"/>
      <name val="Aptos"/>
      <charset val="1"/>
    </font>
    <font>
      <sz val="9"/>
      <color rgb="FF9C0006"/>
      <name val="Aptos"/>
      <charset val="1"/>
    </font>
    <font>
      <b/>
      <sz val="12"/>
      <color rgb="FF003C72"/>
      <name val="Aptos"/>
      <charset val="1"/>
    </font>
    <font>
      <b/>
      <sz val="9"/>
      <color rgb="FF003C72"/>
      <name val="Aptos"/>
      <charset val="1"/>
    </font>
  </fonts>
  <fills count="7">
    <fill>
      <patternFill patternType="none"/>
    </fill>
    <fill>
      <patternFill patternType="gray125"/>
    </fill>
    <fill>
      <patternFill patternType="solid">
        <fgColor rgb="FF003C72"/>
        <bgColor rgb="FF333399"/>
      </patternFill>
    </fill>
    <fill>
      <patternFill patternType="solid">
        <fgColor rgb="FFE2EFDA"/>
        <bgColor rgb="FFF2F2F2"/>
      </patternFill>
    </fill>
    <fill>
      <patternFill patternType="solid">
        <fgColor rgb="FFFFF2CC"/>
        <bgColor rgb="FFF2F2F2"/>
      </patternFill>
    </fill>
    <fill>
      <patternFill patternType="solid">
        <fgColor rgb="FFFFC7CE"/>
        <bgColor rgb="FFCCCCFF"/>
      </patternFill>
    </fill>
    <fill>
      <patternFill patternType="solid">
        <fgColor rgb="FFF2F2F2"/>
        <bgColor rgb="FFE2EFDA"/>
      </patternFill>
    </fill>
  </fills>
  <borders count="3">
    <border>
      <left/>
      <right/>
      <top/>
      <bottom/>
      <diagonal/>
    </border>
    <border>
      <left style="thin">
        <color rgb="FF003C72"/>
      </left>
      <right style="thin">
        <color rgb="FF003C72"/>
      </right>
      <top style="thin">
        <color rgb="FF003C72"/>
      </top>
      <bottom style="thin">
        <color rgb="FF003C72"/>
      </bottom>
      <diagonal/>
    </border>
    <border>
      <left style="thin">
        <color rgb="FF003C72"/>
      </left>
      <right/>
      <top style="thin">
        <color rgb="FF003C72"/>
      </top>
      <bottom style="thin">
        <color rgb="FF003C72"/>
      </bottom>
      <diagonal/>
    </border>
  </borders>
  <cellStyleXfs count="1">
    <xf numFmtId="0" fontId="0" fillId="0" borderId="0"/>
  </cellStyleXfs>
  <cellXfs count="25">
    <xf numFmtId="0" fontId="0" fillId="0" borderId="0" xfId="0"/>
    <xf numFmtId="0" fontId="1" fillId="0" borderId="0" xfId="0" applyFont="1"/>
    <xf numFmtId="0" fontId="4" fillId="0" borderId="0" xfId="0" applyFont="1"/>
    <xf numFmtId="0" fontId="4" fillId="0" borderId="0" xfId="0" applyFont="1" applyAlignment="1">
      <alignment horizontal="left" vertical="center" wrapText="1"/>
    </xf>
    <xf numFmtId="0" fontId="2" fillId="0" borderId="0" xfId="0" applyFont="1"/>
    <xf numFmtId="0" fontId="4" fillId="0" borderId="2" xfId="0" applyFont="1" applyBorder="1" applyAlignment="1">
      <alignment horizontal="left" vertical="center" wrapText="1"/>
    </xf>
    <xf numFmtId="0" fontId="2" fillId="0" borderId="0" xfId="0" applyFont="1" applyAlignment="1">
      <alignment vertical="center"/>
    </xf>
    <xf numFmtId="0" fontId="1" fillId="0" borderId="0" xfId="0" applyFont="1" applyAlignment="1">
      <alignment vertical="center"/>
    </xf>
    <xf numFmtId="0" fontId="0" fillId="0" borderId="0" xfId="0"/>
    <xf numFmtId="0" fontId="3" fillId="2" borderId="1" xfId="0" applyFont="1" applyFill="1" applyBorder="1" applyAlignment="1">
      <alignment horizontal="left" vertical="center" wrapText="1"/>
    </xf>
    <xf numFmtId="0" fontId="2" fillId="0" borderId="0" xfId="0" applyFont="1"/>
    <xf numFmtId="0" fontId="3" fillId="2" borderId="1" xfId="0" applyFont="1" applyFill="1" applyBorder="1" applyAlignment="1">
      <alignment horizontal="center" vertical="center" wrapText="1"/>
    </xf>
    <xf numFmtId="0" fontId="4" fillId="0" borderId="1" xfId="0" applyFont="1" applyBorder="1" applyAlignment="1">
      <alignment horizontal="center" vertical="center" wrapText="1"/>
    </xf>
    <xf numFmtId="0" fontId="4" fillId="0" borderId="1" xfId="0" applyFont="1" applyBorder="1" applyAlignment="1">
      <alignment horizontal="left" vertical="center" wrapText="1"/>
    </xf>
    <xf numFmtId="0" fontId="4" fillId="3" borderId="1" xfId="0" applyFont="1" applyFill="1" applyBorder="1" applyAlignment="1">
      <alignment horizontal="center" vertical="center" wrapText="1"/>
    </xf>
    <xf numFmtId="0" fontId="5" fillId="3" borderId="1" xfId="0" applyFont="1" applyFill="1" applyBorder="1" applyAlignment="1">
      <alignment horizontal="center" vertical="center" wrapText="1"/>
    </xf>
    <xf numFmtId="0" fontId="6" fillId="4" borderId="1" xfId="0" applyFont="1" applyFill="1" applyBorder="1" applyAlignment="1">
      <alignment horizontal="center" vertical="center" wrapText="1"/>
    </xf>
    <xf numFmtId="0" fontId="6" fillId="4" borderId="1" xfId="0" applyFont="1" applyFill="1" applyBorder="1" applyAlignment="1">
      <alignment horizontal="left" vertical="center" wrapText="1"/>
    </xf>
    <xf numFmtId="0" fontId="7" fillId="5" borderId="1" xfId="0" applyFont="1" applyFill="1" applyBorder="1" applyAlignment="1">
      <alignment horizontal="center" vertical="center" wrapText="1"/>
    </xf>
    <xf numFmtId="0" fontId="4" fillId="4" borderId="1" xfId="0" applyFont="1" applyFill="1" applyBorder="1" applyAlignment="1">
      <alignment horizontal="center" vertical="center" wrapText="1"/>
    </xf>
    <xf numFmtId="0" fontId="4" fillId="5" borderId="1" xfId="0" applyFont="1" applyFill="1" applyBorder="1" applyAlignment="1">
      <alignment horizontal="center" vertical="center" wrapText="1"/>
    </xf>
    <xf numFmtId="0" fontId="4" fillId="6" borderId="1" xfId="0" applyFont="1" applyFill="1" applyBorder="1" applyAlignment="1">
      <alignment horizontal="center" vertical="center" wrapText="1"/>
    </xf>
    <xf numFmtId="0" fontId="8" fillId="0" borderId="1" xfId="0" applyFont="1" applyBorder="1" applyAlignment="1">
      <alignment horizontal="center" vertical="center" wrapText="1"/>
    </xf>
    <xf numFmtId="0" fontId="9" fillId="0" borderId="1" xfId="0" applyFont="1" applyBorder="1" applyAlignment="1">
      <alignment horizontal="left" vertical="center" wrapText="1"/>
    </xf>
    <xf numFmtId="0" fontId="4" fillId="0" borderId="1" xfId="0" applyFont="1" applyBorder="1" applyAlignment="1">
      <alignment horizontal="left"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6100"/>
      <rgbColor rgb="FF000080"/>
      <rgbColor rgb="FF808000"/>
      <rgbColor rgb="FF800080"/>
      <rgbColor rgb="FF008080"/>
      <rgbColor rgb="FFC0C0C0"/>
      <rgbColor rgb="FF808080"/>
      <rgbColor rgb="FF9999FF"/>
      <rgbColor rgb="FF993366"/>
      <rgbColor rgb="FFFFF2CC"/>
      <rgbColor rgb="FFF2F2F2"/>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7CE"/>
      <rgbColor rgb="FF3366FF"/>
      <rgbColor rgb="FF33CCCC"/>
      <rgbColor rgb="FF99CC00"/>
      <rgbColor rgb="FFFFCC00"/>
      <rgbColor rgb="FFFF9900"/>
      <rgbColor rgb="FFFF6600"/>
      <rgbColor rgb="FF666699"/>
      <rgbColor rgb="FF969696"/>
      <rgbColor rgb="FF003C72"/>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30"/>
  <sheetViews>
    <sheetView showGridLines="0" zoomScaleNormal="100" workbookViewId="0">
      <selection activeCell="D22" sqref="D22"/>
    </sheetView>
  </sheetViews>
  <sheetFormatPr defaultColWidth="8.7109375" defaultRowHeight="15" x14ac:dyDescent="0.25"/>
  <cols>
    <col min="1" max="1" width="22" customWidth="1"/>
    <col min="2" max="2" width="30" customWidth="1"/>
    <col min="3" max="3" width="14" customWidth="1"/>
    <col min="4" max="4" width="50" customWidth="1"/>
  </cols>
  <sheetData>
    <row r="1" spans="1:6" x14ac:dyDescent="0.25">
      <c r="A1" s="8"/>
      <c r="B1" s="8"/>
      <c r="C1" s="8"/>
    </row>
    <row r="2" spans="1:6" ht="26.25" x14ac:dyDescent="0.25">
      <c r="A2" s="7" t="s">
        <v>0</v>
      </c>
      <c r="B2" s="7"/>
      <c r="C2" s="7"/>
      <c r="D2" s="7"/>
      <c r="E2" s="7"/>
      <c r="F2" s="7"/>
    </row>
    <row r="4" spans="1:6" ht="15.75" x14ac:dyDescent="0.25">
      <c r="A4" s="6" t="s">
        <v>1</v>
      </c>
      <c r="B4" s="6"/>
      <c r="C4" s="6"/>
      <c r="D4" s="6"/>
      <c r="E4" s="6"/>
      <c r="F4" s="6"/>
    </row>
    <row r="6" spans="1:6" ht="15" customHeight="1" x14ac:dyDescent="0.25">
      <c r="A6" s="9" t="s">
        <v>2</v>
      </c>
      <c r="B6" s="5" t="s">
        <v>3</v>
      </c>
      <c r="C6" s="5"/>
      <c r="D6" s="24"/>
    </row>
    <row r="7" spans="1:6" ht="15" customHeight="1" x14ac:dyDescent="0.25">
      <c r="A7" s="9" t="s">
        <v>4</v>
      </c>
      <c r="B7" s="5" t="s">
        <v>5</v>
      </c>
      <c r="C7" s="5"/>
      <c r="D7" s="24"/>
    </row>
    <row r="8" spans="1:6" ht="15" customHeight="1" x14ac:dyDescent="0.25">
      <c r="A8" s="9" t="s">
        <v>6</v>
      </c>
      <c r="B8" s="5" t="s">
        <v>7</v>
      </c>
      <c r="C8" s="5"/>
      <c r="D8" s="24"/>
    </row>
    <row r="9" spans="1:6" ht="15" customHeight="1" x14ac:dyDescent="0.25">
      <c r="A9" s="9" t="s">
        <v>8</v>
      </c>
      <c r="B9" s="5" t="s">
        <v>9</v>
      </c>
      <c r="C9" s="5"/>
      <c r="D9" s="24"/>
    </row>
    <row r="10" spans="1:6" ht="15" customHeight="1" x14ac:dyDescent="0.25">
      <c r="A10" s="9" t="s">
        <v>10</v>
      </c>
      <c r="B10" s="5" t="s">
        <v>11</v>
      </c>
      <c r="C10" s="5"/>
      <c r="D10" s="24"/>
    </row>
    <row r="11" spans="1:6" ht="15" customHeight="1" x14ac:dyDescent="0.25">
      <c r="A11" s="9" t="s">
        <v>12</v>
      </c>
      <c r="B11" s="5" t="s">
        <v>13</v>
      </c>
      <c r="C11" s="5"/>
      <c r="D11" s="24"/>
    </row>
    <row r="12" spans="1:6" ht="15" customHeight="1" x14ac:dyDescent="0.25">
      <c r="A12" s="9" t="s">
        <v>14</v>
      </c>
      <c r="B12" s="5" t="s">
        <v>15</v>
      </c>
      <c r="C12" s="5"/>
      <c r="D12" s="24"/>
    </row>
    <row r="13" spans="1:6" ht="15" customHeight="1" x14ac:dyDescent="0.25">
      <c r="A13" s="9" t="s">
        <v>16</v>
      </c>
      <c r="B13" s="5" t="s">
        <v>17</v>
      </c>
      <c r="C13" s="5"/>
      <c r="D13" s="24"/>
    </row>
    <row r="14" spans="1:6" ht="15" customHeight="1" x14ac:dyDescent="0.25">
      <c r="A14" s="9" t="s">
        <v>18</v>
      </c>
      <c r="B14" s="5" t="s">
        <v>19</v>
      </c>
      <c r="C14" s="5"/>
      <c r="D14" s="24"/>
    </row>
    <row r="15" spans="1:6" ht="15" customHeight="1" x14ac:dyDescent="0.25">
      <c r="A15" s="9" t="s">
        <v>20</v>
      </c>
      <c r="B15" s="5" t="s">
        <v>21</v>
      </c>
      <c r="C15" s="5"/>
      <c r="D15" s="24"/>
    </row>
    <row r="17" spans="1:4" ht="15.75" x14ac:dyDescent="0.25">
      <c r="A17" s="4" t="s">
        <v>22</v>
      </c>
      <c r="B17" s="4"/>
      <c r="C17" s="4"/>
      <c r="D17" s="4"/>
    </row>
    <row r="18" spans="1:4" ht="32.85" customHeight="1" x14ac:dyDescent="0.25">
      <c r="A18" s="3" t="s">
        <v>23</v>
      </c>
      <c r="B18" s="3"/>
      <c r="C18" s="3"/>
      <c r="D18" s="3"/>
    </row>
    <row r="20" spans="1:4" ht="15.75" x14ac:dyDescent="0.25">
      <c r="A20" s="4" t="s">
        <v>24</v>
      </c>
      <c r="B20" s="4"/>
      <c r="C20" s="4"/>
      <c r="D20" s="4"/>
    </row>
    <row r="21" spans="1:4" ht="32.85" customHeight="1" x14ac:dyDescent="0.25">
      <c r="A21" s="3" t="s">
        <v>25</v>
      </c>
      <c r="B21" s="3"/>
      <c r="C21" s="3"/>
      <c r="D21" s="3"/>
    </row>
    <row r="23" spans="1:4" ht="15.75" x14ac:dyDescent="0.25">
      <c r="A23" s="4" t="s">
        <v>26</v>
      </c>
      <c r="B23" s="4"/>
      <c r="C23" s="4"/>
      <c r="D23" s="4"/>
    </row>
    <row r="24" spans="1:4" x14ac:dyDescent="0.25">
      <c r="A24" s="2" t="s">
        <v>27</v>
      </c>
      <c r="B24" s="2"/>
      <c r="C24" s="2"/>
      <c r="D24" s="2"/>
    </row>
    <row r="25" spans="1:4" x14ac:dyDescent="0.25">
      <c r="A25" s="2" t="s">
        <v>28</v>
      </c>
      <c r="B25" s="2"/>
      <c r="C25" s="2"/>
      <c r="D25" s="2"/>
    </row>
    <row r="26" spans="1:4" x14ac:dyDescent="0.25">
      <c r="A26" s="2" t="s">
        <v>29</v>
      </c>
      <c r="B26" s="2"/>
      <c r="C26" s="2"/>
      <c r="D26" s="2"/>
    </row>
    <row r="27" spans="1:4" x14ac:dyDescent="0.25">
      <c r="A27" s="2" t="s">
        <v>30</v>
      </c>
      <c r="B27" s="2"/>
      <c r="C27" s="2"/>
      <c r="D27" s="2"/>
    </row>
    <row r="28" spans="1:4" x14ac:dyDescent="0.25">
      <c r="A28" s="2" t="s">
        <v>31</v>
      </c>
      <c r="B28" s="2"/>
      <c r="C28" s="2"/>
      <c r="D28" s="2"/>
    </row>
    <row r="29" spans="1:4" x14ac:dyDescent="0.25">
      <c r="A29" s="2" t="s">
        <v>32</v>
      </c>
      <c r="B29" s="2"/>
      <c r="C29" s="2"/>
      <c r="D29" s="2"/>
    </row>
    <row r="30" spans="1:4" x14ac:dyDescent="0.25">
      <c r="A30" s="2" t="s">
        <v>33</v>
      </c>
      <c r="B30" s="2"/>
      <c r="C30" s="2"/>
      <c r="D30" s="2"/>
    </row>
  </sheetData>
  <mergeCells count="25">
    <mergeCell ref="A26:D26"/>
    <mergeCell ref="A27:D27"/>
    <mergeCell ref="A28:D28"/>
    <mergeCell ref="A29:D29"/>
    <mergeCell ref="A30:D30"/>
    <mergeCell ref="A20:D20"/>
    <mergeCell ref="A21:D21"/>
    <mergeCell ref="A23:D23"/>
    <mergeCell ref="A24:D24"/>
    <mergeCell ref="A25:D25"/>
    <mergeCell ref="B13:D13"/>
    <mergeCell ref="B14:D14"/>
    <mergeCell ref="B15:D15"/>
    <mergeCell ref="A17:D17"/>
    <mergeCell ref="A18:D18"/>
    <mergeCell ref="B8:D8"/>
    <mergeCell ref="B9:D9"/>
    <mergeCell ref="B10:D10"/>
    <mergeCell ref="B11:D11"/>
    <mergeCell ref="B12:D12"/>
    <mergeCell ref="A1:C1"/>
    <mergeCell ref="A2:F2"/>
    <mergeCell ref="A4:F4"/>
    <mergeCell ref="B6:D6"/>
    <mergeCell ref="B7:D7"/>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R41"/>
  <sheetViews>
    <sheetView showGridLines="0" tabSelected="1" zoomScaleNormal="100" workbookViewId="0">
      <pane xSplit="2" ySplit="4" topLeftCell="C5" activePane="bottomRight" state="frozen"/>
      <selection pane="topRight" activeCell="C1" sqref="C1"/>
      <selection pane="bottomLeft" activeCell="A5" sqref="A5"/>
      <selection pane="bottomRight" activeCell="B5" sqref="B5"/>
    </sheetView>
  </sheetViews>
  <sheetFormatPr defaultColWidth="8.7109375" defaultRowHeight="15" x14ac:dyDescent="0.25"/>
  <cols>
    <col min="1" max="1" width="4" customWidth="1"/>
    <col min="2" max="2" width="18" customWidth="1"/>
    <col min="3" max="3" width="14" customWidth="1"/>
    <col min="4" max="4" width="16" customWidth="1"/>
    <col min="5" max="5" width="30" customWidth="1"/>
    <col min="6" max="6" width="14" customWidth="1"/>
    <col min="7" max="7" width="20" customWidth="1"/>
    <col min="8" max="8" width="12" customWidth="1"/>
    <col min="9" max="9" width="14" customWidth="1"/>
    <col min="10" max="10" width="22" customWidth="1"/>
    <col min="11" max="11" width="25" customWidth="1"/>
    <col min="12" max="12" width="14" customWidth="1"/>
    <col min="13" max="13" width="12" customWidth="1"/>
    <col min="14" max="14" width="14" customWidth="1"/>
    <col min="15" max="15" width="25" customWidth="1"/>
    <col min="16" max="16" width="35" customWidth="1"/>
    <col min="17" max="18" width="12" customWidth="1"/>
  </cols>
  <sheetData>
    <row r="2" spans="1:18" ht="26.25" x14ac:dyDescent="0.25">
      <c r="A2" s="7" t="s">
        <v>34</v>
      </c>
      <c r="B2" s="7"/>
      <c r="C2" s="7"/>
      <c r="D2" s="7"/>
      <c r="E2" s="7"/>
      <c r="F2" s="7"/>
      <c r="G2" s="7"/>
      <c r="H2" s="7"/>
      <c r="I2" s="7"/>
      <c r="J2" s="7"/>
      <c r="K2" s="7"/>
      <c r="L2" s="7"/>
      <c r="M2" s="7"/>
      <c r="N2" s="7"/>
      <c r="O2" s="7"/>
      <c r="P2" s="7"/>
    </row>
    <row r="4" spans="1:18" ht="24" x14ac:dyDescent="0.25">
      <c r="A4" s="11" t="s">
        <v>35</v>
      </c>
      <c r="B4" s="11" t="s">
        <v>36</v>
      </c>
      <c r="C4" s="11" t="s">
        <v>37</v>
      </c>
      <c r="D4" s="11" t="s">
        <v>38</v>
      </c>
      <c r="E4" s="11" t="s">
        <v>39</v>
      </c>
      <c r="F4" s="11" t="s">
        <v>40</v>
      </c>
      <c r="G4" s="11" t="s">
        <v>41</v>
      </c>
      <c r="H4" s="11" t="s">
        <v>42</v>
      </c>
      <c r="I4" s="11" t="s">
        <v>43</v>
      </c>
      <c r="J4" s="11" t="s">
        <v>44</v>
      </c>
      <c r="K4" s="11" t="s">
        <v>45</v>
      </c>
      <c r="L4" s="11" t="s">
        <v>46</v>
      </c>
      <c r="M4" s="11" t="s">
        <v>47</v>
      </c>
      <c r="N4" s="11" t="s">
        <v>48</v>
      </c>
      <c r="O4" s="11" t="s">
        <v>49</v>
      </c>
      <c r="P4" s="11" t="s">
        <v>50</v>
      </c>
      <c r="Q4" s="11" t="s">
        <v>51</v>
      </c>
      <c r="R4" s="11" t="s">
        <v>52</v>
      </c>
    </row>
    <row r="5" spans="1:18" ht="36" x14ac:dyDescent="0.25">
      <c r="A5" s="12">
        <v>1</v>
      </c>
      <c r="B5" s="13" t="s">
        <v>53</v>
      </c>
      <c r="C5" s="14" t="s">
        <v>54</v>
      </c>
      <c r="D5" s="13" t="s">
        <v>55</v>
      </c>
      <c r="E5" s="13" t="s">
        <v>56</v>
      </c>
      <c r="F5" s="15" t="s">
        <v>57</v>
      </c>
      <c r="G5" s="13"/>
      <c r="H5" s="13"/>
      <c r="I5" s="13" t="s">
        <v>58</v>
      </c>
      <c r="J5" s="13" t="s">
        <v>59</v>
      </c>
      <c r="K5" s="13" t="s">
        <v>60</v>
      </c>
      <c r="L5" s="13" t="s">
        <v>61</v>
      </c>
      <c r="M5" s="13" t="s">
        <v>62</v>
      </c>
      <c r="N5" s="13" t="s">
        <v>62</v>
      </c>
      <c r="O5" s="13" t="s">
        <v>63</v>
      </c>
      <c r="P5" s="13" t="s">
        <v>64</v>
      </c>
      <c r="Q5" s="16" t="s">
        <v>65</v>
      </c>
      <c r="R5" s="13"/>
    </row>
    <row r="6" spans="1:18" ht="36" x14ac:dyDescent="0.25">
      <c r="A6" s="12">
        <v>2</v>
      </c>
      <c r="B6" s="13" t="s">
        <v>66</v>
      </c>
      <c r="C6" s="14" t="s">
        <v>54</v>
      </c>
      <c r="D6" s="13" t="s">
        <v>55</v>
      </c>
      <c r="E6" s="13" t="s">
        <v>67</v>
      </c>
      <c r="F6" s="15" t="s">
        <v>57</v>
      </c>
      <c r="G6" s="13"/>
      <c r="H6" s="17" t="s">
        <v>68</v>
      </c>
      <c r="I6" s="13" t="s">
        <v>69</v>
      </c>
      <c r="J6" s="13" t="s">
        <v>70</v>
      </c>
      <c r="K6" s="13" t="s">
        <v>71</v>
      </c>
      <c r="L6" s="13" t="s">
        <v>72</v>
      </c>
      <c r="M6" s="13" t="s">
        <v>62</v>
      </c>
      <c r="N6" s="13" t="s">
        <v>73</v>
      </c>
      <c r="O6" s="13" t="s">
        <v>74</v>
      </c>
      <c r="P6" s="13" t="s">
        <v>75</v>
      </c>
      <c r="Q6" s="16" t="s">
        <v>65</v>
      </c>
      <c r="R6" s="13"/>
    </row>
    <row r="7" spans="1:18" ht="24" x14ac:dyDescent="0.25">
      <c r="A7" s="12">
        <v>3</v>
      </c>
      <c r="B7" s="13" t="s">
        <v>76</v>
      </c>
      <c r="C7" s="14" t="s">
        <v>54</v>
      </c>
      <c r="D7" s="13" t="s">
        <v>77</v>
      </c>
      <c r="E7" s="13" t="s">
        <v>78</v>
      </c>
      <c r="F7" s="15" t="s">
        <v>57</v>
      </c>
      <c r="G7" s="13"/>
      <c r="H7" s="13"/>
      <c r="I7" s="13" t="s">
        <v>79</v>
      </c>
      <c r="J7" s="13" t="s">
        <v>80</v>
      </c>
      <c r="K7" s="13" t="s">
        <v>81</v>
      </c>
      <c r="L7" s="13" t="s">
        <v>82</v>
      </c>
      <c r="M7" s="13" t="s">
        <v>83</v>
      </c>
      <c r="N7" s="13" t="s">
        <v>84</v>
      </c>
      <c r="O7" s="13" t="s">
        <v>85</v>
      </c>
      <c r="P7" s="13" t="s">
        <v>86</v>
      </c>
      <c r="Q7" s="16" t="s">
        <v>65</v>
      </c>
      <c r="R7" s="13"/>
    </row>
    <row r="8" spans="1:18" ht="24" x14ac:dyDescent="0.25">
      <c r="A8" s="12">
        <v>4</v>
      </c>
      <c r="B8" s="13" t="s">
        <v>87</v>
      </c>
      <c r="C8" s="14" t="s">
        <v>54</v>
      </c>
      <c r="D8" s="13" t="s">
        <v>77</v>
      </c>
      <c r="E8" s="13" t="s">
        <v>88</v>
      </c>
      <c r="F8" s="15" t="s">
        <v>57</v>
      </c>
      <c r="G8" s="13"/>
      <c r="H8" s="13"/>
      <c r="I8" s="13" t="s">
        <v>79</v>
      </c>
      <c r="J8" s="13" t="s">
        <v>89</v>
      </c>
      <c r="K8" s="13" t="s">
        <v>81</v>
      </c>
      <c r="L8" s="13" t="s">
        <v>82</v>
      </c>
      <c r="M8" s="13" t="s">
        <v>83</v>
      </c>
      <c r="N8" s="13" t="s">
        <v>84</v>
      </c>
      <c r="O8" s="13" t="s">
        <v>90</v>
      </c>
      <c r="P8" s="13" t="s">
        <v>91</v>
      </c>
      <c r="Q8" s="16" t="s">
        <v>65</v>
      </c>
      <c r="R8" s="13"/>
    </row>
    <row r="9" spans="1:18" ht="36" x14ac:dyDescent="0.25">
      <c r="A9" s="12">
        <v>5</v>
      </c>
      <c r="B9" s="13" t="s">
        <v>92</v>
      </c>
      <c r="C9" s="14" t="s">
        <v>54</v>
      </c>
      <c r="D9" s="13" t="s">
        <v>55</v>
      </c>
      <c r="E9" s="13" t="s">
        <v>93</v>
      </c>
      <c r="F9" s="15" t="s">
        <v>57</v>
      </c>
      <c r="G9" s="13"/>
      <c r="H9" s="13"/>
      <c r="I9" s="13" t="s">
        <v>79</v>
      </c>
      <c r="J9" s="13" t="s">
        <v>94</v>
      </c>
      <c r="K9" s="13" t="s">
        <v>95</v>
      </c>
      <c r="L9" s="13" t="s">
        <v>72</v>
      </c>
      <c r="M9" s="13" t="s">
        <v>62</v>
      </c>
      <c r="N9" s="13" t="s">
        <v>62</v>
      </c>
      <c r="O9" s="13" t="s">
        <v>96</v>
      </c>
      <c r="P9" s="13" t="s">
        <v>97</v>
      </c>
      <c r="Q9" s="16" t="s">
        <v>65</v>
      </c>
      <c r="R9" s="13"/>
    </row>
    <row r="10" spans="1:18" ht="36" x14ac:dyDescent="0.25">
      <c r="A10" s="12">
        <v>6</v>
      </c>
      <c r="B10" s="13" t="s">
        <v>98</v>
      </c>
      <c r="C10" s="14" t="s">
        <v>54</v>
      </c>
      <c r="D10" s="13" t="s">
        <v>55</v>
      </c>
      <c r="E10" s="13" t="s">
        <v>99</v>
      </c>
      <c r="F10" s="18" t="s">
        <v>100</v>
      </c>
      <c r="G10" s="13"/>
      <c r="H10" s="13"/>
      <c r="I10" s="13" t="s">
        <v>83</v>
      </c>
      <c r="J10" s="13" t="s">
        <v>101</v>
      </c>
      <c r="K10" s="13" t="s">
        <v>102</v>
      </c>
      <c r="L10" s="13" t="s">
        <v>103</v>
      </c>
      <c r="M10" s="13" t="s">
        <v>62</v>
      </c>
      <c r="N10" s="13" t="s">
        <v>62</v>
      </c>
      <c r="O10" s="13" t="s">
        <v>104</v>
      </c>
      <c r="P10" s="13" t="s">
        <v>105</v>
      </c>
      <c r="Q10" s="16" t="s">
        <v>65</v>
      </c>
      <c r="R10" s="13"/>
    </row>
    <row r="11" spans="1:18" ht="36" x14ac:dyDescent="0.25">
      <c r="A11" s="12">
        <v>7</v>
      </c>
      <c r="B11" s="13" t="s">
        <v>106</v>
      </c>
      <c r="C11" s="14" t="s">
        <v>54</v>
      </c>
      <c r="D11" s="13" t="s">
        <v>55</v>
      </c>
      <c r="E11" s="13" t="s">
        <v>107</v>
      </c>
      <c r="F11" s="18" t="s">
        <v>100</v>
      </c>
      <c r="G11" s="13"/>
      <c r="H11" s="13"/>
      <c r="I11" s="13" t="s">
        <v>83</v>
      </c>
      <c r="J11" s="13" t="s">
        <v>108</v>
      </c>
      <c r="K11" s="13" t="s">
        <v>109</v>
      </c>
      <c r="L11" s="13" t="s">
        <v>103</v>
      </c>
      <c r="M11" s="13" t="s">
        <v>62</v>
      </c>
      <c r="N11" s="13" t="s">
        <v>62</v>
      </c>
      <c r="O11" s="13" t="s">
        <v>110</v>
      </c>
      <c r="P11" s="13" t="s">
        <v>111</v>
      </c>
      <c r="Q11" s="16" t="s">
        <v>65</v>
      </c>
      <c r="R11" s="13"/>
    </row>
    <row r="12" spans="1:18" ht="36" x14ac:dyDescent="0.25">
      <c r="A12" s="12">
        <v>8</v>
      </c>
      <c r="B12" s="13" t="s">
        <v>112</v>
      </c>
      <c r="C12" s="14" t="s">
        <v>54</v>
      </c>
      <c r="D12" s="13" t="s">
        <v>55</v>
      </c>
      <c r="E12" s="13" t="s">
        <v>113</v>
      </c>
      <c r="F12" s="18" t="s">
        <v>100</v>
      </c>
      <c r="G12" s="13"/>
      <c r="H12" s="13"/>
      <c r="I12" s="13" t="s">
        <v>114</v>
      </c>
      <c r="J12" s="13" t="s">
        <v>115</v>
      </c>
      <c r="K12" s="13" t="s">
        <v>116</v>
      </c>
      <c r="L12" s="13" t="s">
        <v>117</v>
      </c>
      <c r="M12" s="13" t="s">
        <v>62</v>
      </c>
      <c r="N12" s="13" t="s">
        <v>62</v>
      </c>
      <c r="O12" s="13" t="s">
        <v>118</v>
      </c>
      <c r="P12" s="13" t="s">
        <v>119</v>
      </c>
      <c r="Q12" s="16" t="s">
        <v>65</v>
      </c>
      <c r="R12" s="13"/>
    </row>
    <row r="13" spans="1:18" ht="24" x14ac:dyDescent="0.25">
      <c r="A13" s="12">
        <v>9</v>
      </c>
      <c r="B13" s="13" t="s">
        <v>120</v>
      </c>
      <c r="C13" s="14" t="s">
        <v>54</v>
      </c>
      <c r="D13" s="13" t="s">
        <v>77</v>
      </c>
      <c r="E13" s="13" t="s">
        <v>121</v>
      </c>
      <c r="F13" s="15" t="s">
        <v>57</v>
      </c>
      <c r="G13" s="13"/>
      <c r="H13" s="13"/>
      <c r="I13" s="13" t="s">
        <v>122</v>
      </c>
      <c r="J13" s="13" t="s">
        <v>123</v>
      </c>
      <c r="K13" s="13" t="s">
        <v>124</v>
      </c>
      <c r="L13" s="13" t="s">
        <v>82</v>
      </c>
      <c r="M13" s="13" t="s">
        <v>83</v>
      </c>
      <c r="N13" s="13" t="s">
        <v>84</v>
      </c>
      <c r="O13" s="13" t="s">
        <v>125</v>
      </c>
      <c r="P13" s="13" t="s">
        <v>126</v>
      </c>
      <c r="Q13" s="16" t="s">
        <v>65</v>
      </c>
      <c r="R13" s="13"/>
    </row>
    <row r="14" spans="1:18" ht="36" x14ac:dyDescent="0.25">
      <c r="A14" s="12">
        <v>10</v>
      </c>
      <c r="B14" s="13" t="s">
        <v>127</v>
      </c>
      <c r="C14" s="14" t="s">
        <v>54</v>
      </c>
      <c r="D14" s="13" t="s">
        <v>77</v>
      </c>
      <c r="E14" s="13" t="s">
        <v>128</v>
      </c>
      <c r="F14" s="15" t="s">
        <v>57</v>
      </c>
      <c r="G14" s="13"/>
      <c r="H14" s="13"/>
      <c r="I14" s="13" t="s">
        <v>122</v>
      </c>
      <c r="J14" s="13" t="s">
        <v>129</v>
      </c>
      <c r="K14" s="13" t="s">
        <v>130</v>
      </c>
      <c r="L14" s="13" t="s">
        <v>82</v>
      </c>
      <c r="M14" s="13" t="s">
        <v>83</v>
      </c>
      <c r="N14" s="13" t="s">
        <v>84</v>
      </c>
      <c r="O14" s="13" t="s">
        <v>131</v>
      </c>
      <c r="P14" s="13" t="s">
        <v>132</v>
      </c>
      <c r="Q14" s="16" t="s">
        <v>65</v>
      </c>
      <c r="R14" s="13"/>
    </row>
    <row r="15" spans="1:18" ht="36" x14ac:dyDescent="0.25">
      <c r="A15" s="12">
        <v>11</v>
      </c>
      <c r="B15" s="13" t="s">
        <v>133</v>
      </c>
      <c r="C15" s="14" t="s">
        <v>54</v>
      </c>
      <c r="D15" s="13" t="s">
        <v>77</v>
      </c>
      <c r="E15" s="13" t="s">
        <v>134</v>
      </c>
      <c r="F15" s="15" t="s">
        <v>57</v>
      </c>
      <c r="G15" s="13"/>
      <c r="H15" s="13"/>
      <c r="I15" s="13" t="s">
        <v>135</v>
      </c>
      <c r="J15" s="13" t="s">
        <v>136</v>
      </c>
      <c r="K15" s="13" t="s">
        <v>137</v>
      </c>
      <c r="L15" s="13" t="s">
        <v>82</v>
      </c>
      <c r="M15" s="13" t="s">
        <v>83</v>
      </c>
      <c r="N15" s="13" t="s">
        <v>62</v>
      </c>
      <c r="O15" s="13" t="s">
        <v>138</v>
      </c>
      <c r="P15" s="13" t="s">
        <v>139</v>
      </c>
      <c r="Q15" s="16" t="s">
        <v>65</v>
      </c>
      <c r="R15" s="13"/>
    </row>
    <row r="16" spans="1:18" ht="36" x14ac:dyDescent="0.25">
      <c r="A16" s="12">
        <v>12</v>
      </c>
      <c r="B16" s="13" t="s">
        <v>140</v>
      </c>
      <c r="C16" s="14" t="s">
        <v>54</v>
      </c>
      <c r="D16" s="13" t="s">
        <v>77</v>
      </c>
      <c r="E16" s="13" t="s">
        <v>141</v>
      </c>
      <c r="F16" s="15" t="s">
        <v>57</v>
      </c>
      <c r="G16" s="13"/>
      <c r="H16" s="13"/>
      <c r="I16" s="13" t="s">
        <v>142</v>
      </c>
      <c r="J16" s="13" t="s">
        <v>143</v>
      </c>
      <c r="K16" s="13" t="s">
        <v>144</v>
      </c>
      <c r="L16" s="13" t="s">
        <v>145</v>
      </c>
      <c r="M16" s="13" t="s">
        <v>83</v>
      </c>
      <c r="N16" s="13" t="s">
        <v>84</v>
      </c>
      <c r="O16" s="13" t="s">
        <v>146</v>
      </c>
      <c r="P16" s="13" t="s">
        <v>147</v>
      </c>
      <c r="Q16" s="16" t="s">
        <v>65</v>
      </c>
      <c r="R16" s="13"/>
    </row>
    <row r="17" spans="1:18" ht="24" x14ac:dyDescent="0.25">
      <c r="A17" s="12">
        <v>13</v>
      </c>
      <c r="B17" s="13" t="s">
        <v>148</v>
      </c>
      <c r="C17" s="14" t="s">
        <v>54</v>
      </c>
      <c r="D17" s="13" t="s">
        <v>77</v>
      </c>
      <c r="E17" s="13" t="s">
        <v>149</v>
      </c>
      <c r="F17" s="15" t="s">
        <v>57</v>
      </c>
      <c r="G17" s="13"/>
      <c r="H17" s="13"/>
      <c r="I17" s="13" t="s">
        <v>150</v>
      </c>
      <c r="J17" s="13" t="s">
        <v>151</v>
      </c>
      <c r="K17" s="13" t="s">
        <v>152</v>
      </c>
      <c r="L17" s="13" t="s">
        <v>145</v>
      </c>
      <c r="M17" s="13" t="s">
        <v>83</v>
      </c>
      <c r="N17" s="13" t="s">
        <v>84</v>
      </c>
      <c r="O17" s="13" t="s">
        <v>153</v>
      </c>
      <c r="P17" s="13" t="s">
        <v>154</v>
      </c>
      <c r="Q17" s="16" t="s">
        <v>65</v>
      </c>
      <c r="R17" s="13"/>
    </row>
    <row r="18" spans="1:18" ht="24" x14ac:dyDescent="0.25">
      <c r="A18" s="12">
        <v>14</v>
      </c>
      <c r="B18" s="13" t="s">
        <v>155</v>
      </c>
      <c r="C18" s="14" t="s">
        <v>54</v>
      </c>
      <c r="D18" s="13" t="s">
        <v>55</v>
      </c>
      <c r="E18" s="13" t="s">
        <v>156</v>
      </c>
      <c r="F18" s="15" t="s">
        <v>57</v>
      </c>
      <c r="G18" s="13"/>
      <c r="H18" s="13"/>
      <c r="I18" s="13" t="s">
        <v>157</v>
      </c>
      <c r="J18" s="13" t="s">
        <v>158</v>
      </c>
      <c r="K18" s="13" t="s">
        <v>159</v>
      </c>
      <c r="L18" s="13" t="s">
        <v>160</v>
      </c>
      <c r="M18" s="13" t="s">
        <v>84</v>
      </c>
      <c r="N18" s="13" t="s">
        <v>84</v>
      </c>
      <c r="O18" s="13" t="s">
        <v>161</v>
      </c>
      <c r="P18" s="13" t="s">
        <v>162</v>
      </c>
      <c r="Q18" s="16" t="s">
        <v>65</v>
      </c>
      <c r="R18" s="13"/>
    </row>
    <row r="19" spans="1:18" ht="36" x14ac:dyDescent="0.25">
      <c r="A19" s="12">
        <v>15</v>
      </c>
      <c r="B19" s="13" t="s">
        <v>163</v>
      </c>
      <c r="C19" s="14" t="s">
        <v>54</v>
      </c>
      <c r="D19" s="13" t="s">
        <v>77</v>
      </c>
      <c r="E19" s="13" t="s">
        <v>164</v>
      </c>
      <c r="F19" s="15" t="s">
        <v>57</v>
      </c>
      <c r="G19" s="13"/>
      <c r="H19" s="13"/>
      <c r="I19" s="13" t="s">
        <v>79</v>
      </c>
      <c r="J19" s="13" t="s">
        <v>165</v>
      </c>
      <c r="K19" s="13" t="s">
        <v>166</v>
      </c>
      <c r="L19" s="13" t="s">
        <v>145</v>
      </c>
      <c r="M19" s="13" t="s">
        <v>83</v>
      </c>
      <c r="N19" s="13" t="s">
        <v>84</v>
      </c>
      <c r="O19" s="13" t="s">
        <v>167</v>
      </c>
      <c r="P19" s="13" t="s">
        <v>168</v>
      </c>
      <c r="Q19" s="16" t="s">
        <v>65</v>
      </c>
      <c r="R19" s="13"/>
    </row>
    <row r="20" spans="1:18" ht="24" x14ac:dyDescent="0.25">
      <c r="A20" s="12">
        <v>16</v>
      </c>
      <c r="B20" s="13" t="s">
        <v>169</v>
      </c>
      <c r="C20" s="14" t="s">
        <v>54</v>
      </c>
      <c r="D20" s="13" t="s">
        <v>77</v>
      </c>
      <c r="E20" s="13" t="s">
        <v>170</v>
      </c>
      <c r="F20" s="15" t="s">
        <v>57</v>
      </c>
      <c r="G20" s="13"/>
      <c r="H20" s="13"/>
      <c r="I20" s="13" t="s">
        <v>171</v>
      </c>
      <c r="J20" s="13" t="s">
        <v>172</v>
      </c>
      <c r="K20" s="13" t="s">
        <v>173</v>
      </c>
      <c r="L20" s="13" t="s">
        <v>174</v>
      </c>
      <c r="M20" s="13" t="s">
        <v>62</v>
      </c>
      <c r="N20" s="13" t="s">
        <v>175</v>
      </c>
      <c r="O20" s="13" t="s">
        <v>176</v>
      </c>
      <c r="P20" s="13" t="s">
        <v>177</v>
      </c>
      <c r="Q20" s="16" t="s">
        <v>65</v>
      </c>
      <c r="R20" s="13"/>
    </row>
    <row r="21" spans="1:18" ht="60" x14ac:dyDescent="0.25">
      <c r="A21" s="12">
        <v>17</v>
      </c>
      <c r="B21" s="13" t="s">
        <v>178</v>
      </c>
      <c r="C21" s="14" t="s">
        <v>54</v>
      </c>
      <c r="D21" s="13" t="s">
        <v>77</v>
      </c>
      <c r="E21" s="13" t="s">
        <v>179</v>
      </c>
      <c r="F21" s="15" t="s">
        <v>57</v>
      </c>
      <c r="G21" s="13"/>
      <c r="H21" s="13"/>
      <c r="I21" s="13" t="s">
        <v>79</v>
      </c>
      <c r="J21" s="13" t="s">
        <v>180</v>
      </c>
      <c r="K21" s="13" t="s">
        <v>181</v>
      </c>
      <c r="L21" s="13" t="s">
        <v>82</v>
      </c>
      <c r="M21" s="13" t="s">
        <v>83</v>
      </c>
      <c r="N21" s="13" t="s">
        <v>84</v>
      </c>
      <c r="O21" s="13" t="s">
        <v>182</v>
      </c>
      <c r="P21" s="13" t="s">
        <v>183</v>
      </c>
      <c r="Q21" s="16" t="s">
        <v>65</v>
      </c>
      <c r="R21" s="13"/>
    </row>
    <row r="22" spans="1:18" ht="36" x14ac:dyDescent="0.25">
      <c r="A22" s="12">
        <v>18</v>
      </c>
      <c r="B22" s="13" t="s">
        <v>184</v>
      </c>
      <c r="C22" s="14" t="s">
        <v>54</v>
      </c>
      <c r="D22" s="13" t="s">
        <v>77</v>
      </c>
      <c r="E22" s="13" t="s">
        <v>185</v>
      </c>
      <c r="F22" s="15" t="s">
        <v>57</v>
      </c>
      <c r="G22" s="13"/>
      <c r="H22" s="13"/>
      <c r="I22" s="13" t="s">
        <v>79</v>
      </c>
      <c r="J22" s="13" t="s">
        <v>186</v>
      </c>
      <c r="K22" s="13" t="s">
        <v>187</v>
      </c>
      <c r="L22" s="13" t="s">
        <v>82</v>
      </c>
      <c r="M22" s="13" t="s">
        <v>83</v>
      </c>
      <c r="N22" s="13" t="s">
        <v>84</v>
      </c>
      <c r="O22" s="13" t="s">
        <v>188</v>
      </c>
      <c r="P22" s="13" t="s">
        <v>189</v>
      </c>
      <c r="Q22" s="16" t="s">
        <v>65</v>
      </c>
      <c r="R22" s="13"/>
    </row>
    <row r="23" spans="1:18" ht="36" x14ac:dyDescent="0.25">
      <c r="A23" s="12">
        <v>19</v>
      </c>
      <c r="B23" s="13" t="s">
        <v>190</v>
      </c>
      <c r="C23" s="14" t="s">
        <v>54</v>
      </c>
      <c r="D23" s="13" t="s">
        <v>77</v>
      </c>
      <c r="E23" s="13" t="s">
        <v>191</v>
      </c>
      <c r="F23" s="15" t="s">
        <v>57</v>
      </c>
      <c r="G23" s="13"/>
      <c r="H23" s="13"/>
      <c r="I23" s="13" t="s">
        <v>192</v>
      </c>
      <c r="J23" s="13" t="s">
        <v>193</v>
      </c>
      <c r="K23" s="13" t="s">
        <v>194</v>
      </c>
      <c r="L23" s="13" t="s">
        <v>82</v>
      </c>
      <c r="M23" s="13" t="s">
        <v>83</v>
      </c>
      <c r="N23" s="13" t="s">
        <v>84</v>
      </c>
      <c r="O23" s="13" t="s">
        <v>195</v>
      </c>
      <c r="P23" s="13" t="s">
        <v>196</v>
      </c>
      <c r="Q23" s="16" t="s">
        <v>65</v>
      </c>
      <c r="R23" s="13"/>
    </row>
    <row r="24" spans="1:18" ht="24" x14ac:dyDescent="0.25">
      <c r="A24" s="12">
        <v>20</v>
      </c>
      <c r="B24" s="13" t="s">
        <v>197</v>
      </c>
      <c r="C24" s="14" t="s">
        <v>54</v>
      </c>
      <c r="D24" s="13" t="s">
        <v>77</v>
      </c>
      <c r="E24" s="13" t="s">
        <v>198</v>
      </c>
      <c r="F24" s="19" t="s">
        <v>199</v>
      </c>
      <c r="G24" s="13"/>
      <c r="H24" s="13"/>
      <c r="I24" s="13" t="s">
        <v>200</v>
      </c>
      <c r="J24" s="13" t="s">
        <v>201</v>
      </c>
      <c r="K24" s="13" t="s">
        <v>202</v>
      </c>
      <c r="L24" s="13" t="s">
        <v>82</v>
      </c>
      <c r="M24" s="13" t="s">
        <v>83</v>
      </c>
      <c r="N24" s="13" t="s">
        <v>84</v>
      </c>
      <c r="O24" s="13" t="s">
        <v>150</v>
      </c>
      <c r="P24" s="13" t="s">
        <v>203</v>
      </c>
      <c r="Q24" s="16" t="s">
        <v>65</v>
      </c>
      <c r="R24" s="13"/>
    </row>
    <row r="25" spans="1:18" ht="60" x14ac:dyDescent="0.25">
      <c r="A25" s="12">
        <v>21</v>
      </c>
      <c r="B25" s="13" t="s">
        <v>204</v>
      </c>
      <c r="C25" s="14" t="s">
        <v>54</v>
      </c>
      <c r="D25" s="13" t="s">
        <v>55</v>
      </c>
      <c r="E25" s="13" t="s">
        <v>205</v>
      </c>
      <c r="F25" s="18" t="s">
        <v>100</v>
      </c>
      <c r="G25" s="13"/>
      <c r="H25" s="13"/>
      <c r="I25" s="13" t="s">
        <v>79</v>
      </c>
      <c r="J25" s="13" t="s">
        <v>206</v>
      </c>
      <c r="K25" s="13" t="s">
        <v>207</v>
      </c>
      <c r="L25" s="13" t="s">
        <v>208</v>
      </c>
      <c r="M25" s="13" t="s">
        <v>62</v>
      </c>
      <c r="N25" s="13" t="s">
        <v>62</v>
      </c>
      <c r="O25" s="13" t="s">
        <v>209</v>
      </c>
      <c r="P25" s="13" t="s">
        <v>210</v>
      </c>
      <c r="Q25" s="16" t="s">
        <v>65</v>
      </c>
      <c r="R25" s="13"/>
    </row>
    <row r="26" spans="1:18" ht="60" x14ac:dyDescent="0.25">
      <c r="A26" s="12">
        <v>22</v>
      </c>
      <c r="B26" s="13" t="s">
        <v>211</v>
      </c>
      <c r="C26" s="14" t="s">
        <v>54</v>
      </c>
      <c r="D26" s="13" t="s">
        <v>55</v>
      </c>
      <c r="E26" s="13" t="s">
        <v>212</v>
      </c>
      <c r="F26" s="18" t="s">
        <v>100</v>
      </c>
      <c r="G26" s="13"/>
      <c r="H26" s="13"/>
      <c r="I26" s="13" t="s">
        <v>213</v>
      </c>
      <c r="J26" s="13" t="s">
        <v>214</v>
      </c>
      <c r="K26" s="13" t="s">
        <v>215</v>
      </c>
      <c r="L26" s="13" t="s">
        <v>82</v>
      </c>
      <c r="M26" s="13" t="s">
        <v>83</v>
      </c>
      <c r="N26" s="13" t="s">
        <v>84</v>
      </c>
      <c r="O26" s="13" t="s">
        <v>216</v>
      </c>
      <c r="P26" s="13" t="s">
        <v>217</v>
      </c>
      <c r="Q26" s="16" t="s">
        <v>65</v>
      </c>
      <c r="R26" s="13"/>
    </row>
    <row r="27" spans="1:18" ht="72" x14ac:dyDescent="0.25">
      <c r="A27" s="12">
        <v>23</v>
      </c>
      <c r="B27" s="13" t="s">
        <v>218</v>
      </c>
      <c r="C27" s="14" t="s">
        <v>54</v>
      </c>
      <c r="D27" s="13" t="s">
        <v>77</v>
      </c>
      <c r="E27" s="13" t="s">
        <v>219</v>
      </c>
      <c r="F27" s="19" t="s">
        <v>199</v>
      </c>
      <c r="G27" s="13"/>
      <c r="H27" s="13"/>
      <c r="I27" s="13" t="s">
        <v>220</v>
      </c>
      <c r="J27" s="13" t="s">
        <v>221</v>
      </c>
      <c r="K27" s="13" t="s">
        <v>222</v>
      </c>
      <c r="L27" s="13" t="s">
        <v>82</v>
      </c>
      <c r="M27" s="13" t="s">
        <v>83</v>
      </c>
      <c r="N27" s="13" t="s">
        <v>62</v>
      </c>
      <c r="O27" s="13" t="s">
        <v>150</v>
      </c>
      <c r="P27" s="13" t="s">
        <v>223</v>
      </c>
      <c r="Q27" s="16" t="s">
        <v>65</v>
      </c>
      <c r="R27" s="13"/>
    </row>
    <row r="28" spans="1:18" ht="84" x14ac:dyDescent="0.25">
      <c r="A28" s="12">
        <v>24</v>
      </c>
      <c r="B28" s="13" t="s">
        <v>224</v>
      </c>
      <c r="C28" s="14" t="s">
        <v>54</v>
      </c>
      <c r="D28" s="13" t="s">
        <v>77</v>
      </c>
      <c r="E28" s="13" t="s">
        <v>225</v>
      </c>
      <c r="F28" s="19" t="s">
        <v>199</v>
      </c>
      <c r="G28" s="13"/>
      <c r="H28" s="13"/>
      <c r="I28" s="13" t="s">
        <v>79</v>
      </c>
      <c r="J28" s="13" t="s">
        <v>226</v>
      </c>
      <c r="K28" s="13" t="s">
        <v>227</v>
      </c>
      <c r="L28" s="13" t="s">
        <v>228</v>
      </c>
      <c r="M28" s="13" t="s">
        <v>84</v>
      </c>
      <c r="N28" s="13" t="s">
        <v>84</v>
      </c>
      <c r="O28" s="13" t="s">
        <v>229</v>
      </c>
      <c r="P28" s="13" t="s">
        <v>230</v>
      </c>
      <c r="Q28" s="16" t="s">
        <v>65</v>
      </c>
      <c r="R28" s="13"/>
    </row>
    <row r="29" spans="1:18" ht="60" x14ac:dyDescent="0.25">
      <c r="A29" s="12">
        <v>25</v>
      </c>
      <c r="B29" s="13" t="s">
        <v>231</v>
      </c>
      <c r="C29" s="14" t="s">
        <v>54</v>
      </c>
      <c r="D29" s="13" t="s">
        <v>232</v>
      </c>
      <c r="E29" s="13" t="s">
        <v>233</v>
      </c>
      <c r="F29" s="19" t="s">
        <v>199</v>
      </c>
      <c r="G29" s="13"/>
      <c r="H29" s="13"/>
      <c r="I29" s="13" t="s">
        <v>192</v>
      </c>
      <c r="J29" s="13" t="s">
        <v>234</v>
      </c>
      <c r="K29" s="13" t="s">
        <v>235</v>
      </c>
      <c r="L29" s="13" t="s">
        <v>82</v>
      </c>
      <c r="M29" s="13" t="s">
        <v>83</v>
      </c>
      <c r="N29" s="13" t="s">
        <v>84</v>
      </c>
      <c r="O29" s="13" t="s">
        <v>236</v>
      </c>
      <c r="P29" s="13" t="s">
        <v>237</v>
      </c>
      <c r="Q29" s="16" t="s">
        <v>65</v>
      </c>
      <c r="R29" s="13"/>
    </row>
    <row r="30" spans="1:18" ht="24" x14ac:dyDescent="0.25">
      <c r="A30" s="12">
        <v>26</v>
      </c>
      <c r="B30" s="13" t="s">
        <v>238</v>
      </c>
      <c r="C30" s="20" t="s">
        <v>239</v>
      </c>
      <c r="D30" s="13" t="s">
        <v>83</v>
      </c>
      <c r="E30" s="13" t="s">
        <v>240</v>
      </c>
      <c r="F30" s="21" t="s">
        <v>83</v>
      </c>
      <c r="G30" s="13" t="s">
        <v>83</v>
      </c>
      <c r="H30" s="13" t="s">
        <v>83</v>
      </c>
      <c r="I30" s="13" t="s">
        <v>83</v>
      </c>
      <c r="J30" s="13" t="s">
        <v>83</v>
      </c>
      <c r="K30" s="13" t="s">
        <v>83</v>
      </c>
      <c r="L30" s="13" t="s">
        <v>83</v>
      </c>
      <c r="M30" s="13" t="s">
        <v>83</v>
      </c>
      <c r="N30" s="13" t="s">
        <v>83</v>
      </c>
      <c r="O30" s="13" t="s">
        <v>83</v>
      </c>
      <c r="P30" s="13" t="s">
        <v>241</v>
      </c>
      <c r="Q30" s="16" t="s">
        <v>65</v>
      </c>
      <c r="R30" s="13"/>
    </row>
    <row r="31" spans="1:18" ht="24" x14ac:dyDescent="0.25">
      <c r="A31" s="12">
        <v>27</v>
      </c>
      <c r="B31" s="13" t="s">
        <v>242</v>
      </c>
      <c r="C31" s="19" t="s">
        <v>243</v>
      </c>
      <c r="D31" s="13" t="s">
        <v>244</v>
      </c>
      <c r="E31" s="13" t="s">
        <v>245</v>
      </c>
      <c r="F31" s="19" t="s">
        <v>199</v>
      </c>
      <c r="G31" s="13"/>
      <c r="H31" s="13"/>
      <c r="I31" s="13" t="s">
        <v>244</v>
      </c>
      <c r="J31" s="13" t="s">
        <v>244</v>
      </c>
      <c r="K31" s="13" t="s">
        <v>244</v>
      </c>
      <c r="L31" s="13" t="s">
        <v>244</v>
      </c>
      <c r="M31" s="13" t="s">
        <v>83</v>
      </c>
      <c r="N31" s="13" t="s">
        <v>244</v>
      </c>
      <c r="O31" s="13" t="s">
        <v>150</v>
      </c>
      <c r="P31" s="13" t="s">
        <v>246</v>
      </c>
      <c r="Q31" s="16" t="s">
        <v>65</v>
      </c>
      <c r="R31" s="13"/>
    </row>
    <row r="32" spans="1:18" ht="36" x14ac:dyDescent="0.25">
      <c r="A32" s="12">
        <v>28</v>
      </c>
      <c r="B32" s="13" t="s">
        <v>247</v>
      </c>
      <c r="C32" s="14" t="s">
        <v>54</v>
      </c>
      <c r="D32" s="13" t="s">
        <v>77</v>
      </c>
      <c r="E32" s="13" t="s">
        <v>248</v>
      </c>
      <c r="F32" s="19" t="s">
        <v>199</v>
      </c>
      <c r="G32" s="13"/>
      <c r="H32" s="13"/>
      <c r="I32" s="13" t="s">
        <v>150</v>
      </c>
      <c r="J32" s="13" t="s">
        <v>249</v>
      </c>
      <c r="K32" s="13" t="s">
        <v>250</v>
      </c>
      <c r="L32" s="13" t="s">
        <v>150</v>
      </c>
      <c r="M32" s="13" t="s">
        <v>62</v>
      </c>
      <c r="N32" s="13" t="s">
        <v>62</v>
      </c>
      <c r="O32" s="13" t="s">
        <v>251</v>
      </c>
      <c r="P32" s="13" t="s">
        <v>252</v>
      </c>
      <c r="Q32" s="16" t="s">
        <v>65</v>
      </c>
      <c r="R32" s="13"/>
    </row>
    <row r="33" spans="1:18" ht="24" x14ac:dyDescent="0.25">
      <c r="A33" s="12">
        <v>29</v>
      </c>
      <c r="B33" s="13" t="s">
        <v>253</v>
      </c>
      <c r="C33" s="14" t="s">
        <v>54</v>
      </c>
      <c r="D33" s="13" t="s">
        <v>77</v>
      </c>
      <c r="E33" s="13" t="s">
        <v>254</v>
      </c>
      <c r="F33" s="19" t="s">
        <v>199</v>
      </c>
      <c r="G33" s="13"/>
      <c r="H33" s="13"/>
      <c r="I33" s="13" t="s">
        <v>150</v>
      </c>
      <c r="J33" s="13" t="s">
        <v>255</v>
      </c>
      <c r="K33" s="13" t="s">
        <v>256</v>
      </c>
      <c r="L33" s="13" t="s">
        <v>150</v>
      </c>
      <c r="M33" s="13" t="s">
        <v>62</v>
      </c>
      <c r="N33" s="13" t="s">
        <v>62</v>
      </c>
      <c r="O33" s="13" t="s">
        <v>257</v>
      </c>
      <c r="P33" s="13" t="s">
        <v>258</v>
      </c>
      <c r="Q33" s="16" t="s">
        <v>65</v>
      </c>
      <c r="R33" s="13"/>
    </row>
    <row r="34" spans="1:18" ht="24" x14ac:dyDescent="0.25">
      <c r="A34" s="12">
        <v>30</v>
      </c>
      <c r="B34" s="13" t="s">
        <v>259</v>
      </c>
      <c r="C34" s="14" t="s">
        <v>54</v>
      </c>
      <c r="D34" s="13" t="s">
        <v>77</v>
      </c>
      <c r="E34" s="13" t="s">
        <v>260</v>
      </c>
      <c r="F34" s="19" t="s">
        <v>199</v>
      </c>
      <c r="G34" s="13"/>
      <c r="H34" s="13"/>
      <c r="I34" s="13" t="s">
        <v>150</v>
      </c>
      <c r="J34" s="13" t="s">
        <v>261</v>
      </c>
      <c r="K34" s="13" t="s">
        <v>262</v>
      </c>
      <c r="L34" s="13" t="s">
        <v>150</v>
      </c>
      <c r="M34" s="13" t="s">
        <v>62</v>
      </c>
      <c r="N34" s="13" t="s">
        <v>62</v>
      </c>
      <c r="O34" s="13" t="s">
        <v>263</v>
      </c>
      <c r="P34" s="13" t="s">
        <v>264</v>
      </c>
      <c r="Q34" s="16" t="s">
        <v>65</v>
      </c>
      <c r="R34" s="13"/>
    </row>
    <row r="35" spans="1:18" ht="36" x14ac:dyDescent="0.25">
      <c r="A35" s="12">
        <v>31</v>
      </c>
      <c r="B35" s="13" t="s">
        <v>265</v>
      </c>
      <c r="C35" s="14" t="s">
        <v>54</v>
      </c>
      <c r="D35" s="13" t="s">
        <v>77</v>
      </c>
      <c r="E35" s="13" t="s">
        <v>266</v>
      </c>
      <c r="F35" s="19" t="s">
        <v>199</v>
      </c>
      <c r="G35" s="13"/>
      <c r="H35" s="13"/>
      <c r="I35" s="13" t="s">
        <v>150</v>
      </c>
      <c r="J35" s="13" t="s">
        <v>267</v>
      </c>
      <c r="K35" s="13" t="s">
        <v>268</v>
      </c>
      <c r="L35" s="13" t="s">
        <v>150</v>
      </c>
      <c r="M35" s="13" t="s">
        <v>62</v>
      </c>
      <c r="N35" s="13" t="s">
        <v>62</v>
      </c>
      <c r="O35" s="13" t="s">
        <v>269</v>
      </c>
      <c r="P35" s="13" t="s">
        <v>270</v>
      </c>
      <c r="Q35" s="16" t="s">
        <v>65</v>
      </c>
      <c r="R35" s="13"/>
    </row>
    <row r="36" spans="1:18" ht="36" x14ac:dyDescent="0.25">
      <c r="A36" s="12">
        <v>32</v>
      </c>
      <c r="B36" s="13" t="s">
        <v>271</v>
      </c>
      <c r="C36" s="14" t="s">
        <v>54</v>
      </c>
      <c r="D36" s="13" t="s">
        <v>272</v>
      </c>
      <c r="E36" s="13" t="s">
        <v>273</v>
      </c>
      <c r="F36" s="19" t="s">
        <v>199</v>
      </c>
      <c r="G36" s="13"/>
      <c r="H36" s="13"/>
      <c r="I36" s="13" t="s">
        <v>150</v>
      </c>
      <c r="J36" s="13" t="s">
        <v>274</v>
      </c>
      <c r="K36" s="13" t="s">
        <v>275</v>
      </c>
      <c r="L36" s="13" t="s">
        <v>150</v>
      </c>
      <c r="M36" s="13" t="s">
        <v>244</v>
      </c>
      <c r="N36" s="13" t="s">
        <v>244</v>
      </c>
      <c r="O36" s="13" t="s">
        <v>276</v>
      </c>
      <c r="P36" s="13" t="s">
        <v>277</v>
      </c>
      <c r="Q36" s="16" t="s">
        <v>65</v>
      </c>
      <c r="R36" s="13"/>
    </row>
    <row r="37" spans="1:18" ht="48" x14ac:dyDescent="0.25">
      <c r="A37" s="12">
        <v>33</v>
      </c>
      <c r="B37" s="13" t="s">
        <v>278</v>
      </c>
      <c r="C37" s="14" t="s">
        <v>54</v>
      </c>
      <c r="D37" s="13" t="s">
        <v>77</v>
      </c>
      <c r="E37" s="13" t="s">
        <v>279</v>
      </c>
      <c r="F37" s="19" t="s">
        <v>199</v>
      </c>
      <c r="G37" s="13"/>
      <c r="H37" s="13"/>
      <c r="I37" s="13" t="s">
        <v>150</v>
      </c>
      <c r="J37" s="13" t="s">
        <v>280</v>
      </c>
      <c r="K37" s="13" t="s">
        <v>281</v>
      </c>
      <c r="L37" s="13" t="s">
        <v>150</v>
      </c>
      <c r="M37" s="13" t="s">
        <v>62</v>
      </c>
      <c r="N37" s="13" t="s">
        <v>62</v>
      </c>
      <c r="O37" s="13" t="s">
        <v>282</v>
      </c>
      <c r="P37" s="13" t="s">
        <v>283</v>
      </c>
      <c r="Q37" s="16" t="s">
        <v>65</v>
      </c>
      <c r="R37" s="13"/>
    </row>
    <row r="38" spans="1:18" ht="36" x14ac:dyDescent="0.25">
      <c r="A38" s="12">
        <v>34</v>
      </c>
      <c r="B38" s="13" t="s">
        <v>284</v>
      </c>
      <c r="C38" s="19" t="s">
        <v>244</v>
      </c>
      <c r="D38" s="13" t="s">
        <v>244</v>
      </c>
      <c r="E38" s="13" t="s">
        <v>245</v>
      </c>
      <c r="F38" s="19" t="s">
        <v>199</v>
      </c>
      <c r="G38" s="13"/>
      <c r="H38" s="13"/>
      <c r="I38" s="13" t="s">
        <v>244</v>
      </c>
      <c r="J38" s="13" t="s">
        <v>244</v>
      </c>
      <c r="K38" s="13" t="s">
        <v>244</v>
      </c>
      <c r="L38" s="13" t="s">
        <v>244</v>
      </c>
      <c r="M38" s="13" t="s">
        <v>83</v>
      </c>
      <c r="N38" s="13" t="s">
        <v>244</v>
      </c>
      <c r="O38" s="13" t="s">
        <v>285</v>
      </c>
      <c r="P38" s="13" t="s">
        <v>286</v>
      </c>
      <c r="Q38" s="16" t="s">
        <v>65</v>
      </c>
      <c r="R38" s="13"/>
    </row>
    <row r="39" spans="1:18" ht="36" x14ac:dyDescent="0.25">
      <c r="A39" s="12">
        <v>35</v>
      </c>
      <c r="B39" s="13" t="s">
        <v>287</v>
      </c>
      <c r="C39" s="19" t="s">
        <v>244</v>
      </c>
      <c r="D39" s="13" t="s">
        <v>244</v>
      </c>
      <c r="E39" s="13" t="s">
        <v>288</v>
      </c>
      <c r="F39" s="19" t="s">
        <v>199</v>
      </c>
      <c r="G39" s="13"/>
      <c r="H39" s="13"/>
      <c r="I39" s="13" t="s">
        <v>244</v>
      </c>
      <c r="J39" s="13" t="s">
        <v>244</v>
      </c>
      <c r="K39" s="13" t="s">
        <v>244</v>
      </c>
      <c r="L39" s="13" t="s">
        <v>244</v>
      </c>
      <c r="M39" s="13" t="s">
        <v>83</v>
      </c>
      <c r="N39" s="13" t="s">
        <v>244</v>
      </c>
      <c r="O39" s="13" t="s">
        <v>289</v>
      </c>
      <c r="P39" s="13" t="s">
        <v>290</v>
      </c>
      <c r="Q39" s="16" t="s">
        <v>65</v>
      </c>
      <c r="R39" s="13"/>
    </row>
    <row r="40" spans="1:18" ht="24" x14ac:dyDescent="0.25">
      <c r="A40" s="12">
        <v>36</v>
      </c>
      <c r="B40" s="13" t="s">
        <v>291</v>
      </c>
      <c r="C40" s="19" t="s">
        <v>244</v>
      </c>
      <c r="D40" s="13" t="s">
        <v>244</v>
      </c>
      <c r="E40" s="13" t="s">
        <v>245</v>
      </c>
      <c r="F40" s="19" t="s">
        <v>199</v>
      </c>
      <c r="G40" s="13"/>
      <c r="H40" s="13"/>
      <c r="I40" s="13" t="s">
        <v>244</v>
      </c>
      <c r="J40" s="13" t="s">
        <v>244</v>
      </c>
      <c r="K40" s="13" t="s">
        <v>244</v>
      </c>
      <c r="L40" s="13" t="s">
        <v>244</v>
      </c>
      <c r="M40" s="13" t="s">
        <v>83</v>
      </c>
      <c r="N40" s="13" t="s">
        <v>244</v>
      </c>
      <c r="O40" s="13" t="s">
        <v>292</v>
      </c>
      <c r="P40" s="13" t="s">
        <v>293</v>
      </c>
      <c r="Q40" s="16" t="s">
        <v>65</v>
      </c>
      <c r="R40" s="13"/>
    </row>
    <row r="41" spans="1:18" ht="36" x14ac:dyDescent="0.25">
      <c r="A41" s="12">
        <v>37</v>
      </c>
      <c r="B41" s="13" t="s">
        <v>294</v>
      </c>
      <c r="C41" s="19" t="s">
        <v>295</v>
      </c>
      <c r="D41" s="13" t="s">
        <v>244</v>
      </c>
      <c r="E41" s="13" t="s">
        <v>245</v>
      </c>
      <c r="F41" s="19" t="s">
        <v>199</v>
      </c>
      <c r="G41" s="13"/>
      <c r="H41" s="13"/>
      <c r="I41" s="13" t="s">
        <v>244</v>
      </c>
      <c r="J41" s="13" t="s">
        <v>244</v>
      </c>
      <c r="K41" s="13" t="s">
        <v>244</v>
      </c>
      <c r="L41" s="13" t="s">
        <v>244</v>
      </c>
      <c r="M41" s="13" t="s">
        <v>83</v>
      </c>
      <c r="N41" s="13" t="s">
        <v>244</v>
      </c>
      <c r="O41" s="13" t="s">
        <v>296</v>
      </c>
      <c r="P41" s="13" t="s">
        <v>297</v>
      </c>
      <c r="Q41" s="16" t="s">
        <v>65</v>
      </c>
      <c r="R41" s="13"/>
    </row>
  </sheetData>
  <mergeCells count="1">
    <mergeCell ref="A2:P2"/>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2:H57"/>
  <sheetViews>
    <sheetView showGridLines="0" topLeftCell="A26" zoomScaleNormal="100" workbookViewId="0"/>
  </sheetViews>
  <sheetFormatPr defaultColWidth="8.7109375" defaultRowHeight="15" x14ac:dyDescent="0.25"/>
  <cols>
    <col min="1" max="1" width="28" customWidth="1"/>
    <col min="2" max="2" width="14" customWidth="1"/>
    <col min="3" max="4" width="18" customWidth="1"/>
    <col min="5" max="5" width="14" customWidth="1"/>
  </cols>
  <sheetData>
    <row r="2" spans="1:8" ht="26.25" x14ac:dyDescent="0.4">
      <c r="A2" s="1" t="s">
        <v>298</v>
      </c>
      <c r="B2" s="1"/>
      <c r="C2" s="1"/>
      <c r="D2" s="1"/>
      <c r="E2" s="1"/>
      <c r="F2" s="1"/>
      <c r="G2" s="1"/>
      <c r="H2" s="1"/>
    </row>
    <row r="4" spans="1:8" ht="15.75" x14ac:dyDescent="0.25">
      <c r="A4" s="10" t="s">
        <v>299</v>
      </c>
    </row>
    <row r="6" spans="1:8" ht="15.75" x14ac:dyDescent="0.25">
      <c r="A6" s="9" t="s">
        <v>300</v>
      </c>
      <c r="B6" s="22">
        <f>COUNTA('Flag State Register'!B5:B50)</f>
        <v>37</v>
      </c>
    </row>
    <row r="7" spans="1:8" ht="15.75" x14ac:dyDescent="0.25">
      <c r="A7" s="9" t="s">
        <v>301</v>
      </c>
      <c r="B7" s="22">
        <f>COUNTIF('Flag State Register'!C5:C50,"Permits")</f>
        <v>31</v>
      </c>
    </row>
    <row r="8" spans="1:8" ht="15.75" x14ac:dyDescent="0.25">
      <c r="A8" s="9" t="s">
        <v>302</v>
      </c>
      <c r="B8" s="22">
        <f>COUNTIF('Flag State Register'!C5:C50,"Does Not Permit")</f>
        <v>1</v>
      </c>
    </row>
    <row r="9" spans="1:8" ht="15.75" x14ac:dyDescent="0.25">
      <c r="A9" s="9" t="s">
        <v>303</v>
      </c>
      <c r="B9" s="22">
        <f>COUNTIFS('Flag State Register'!C5:C50,"&lt;&gt;Permits",'Flag State Register'!C5:C50,"&lt;&gt;Does Not Permit",'Flag State Register'!C5:C50,"&lt;&gt;")</f>
        <v>5</v>
      </c>
    </row>
    <row r="10" spans="1:8" ht="15.75" x14ac:dyDescent="0.25">
      <c r="A10" s="9" t="s">
        <v>304</v>
      </c>
      <c r="B10" s="22">
        <f>COUNTIF('Flag State Register'!F5:F50,"Yes")</f>
        <v>16</v>
      </c>
    </row>
    <row r="11" spans="1:8" ht="15.75" x14ac:dyDescent="0.25">
      <c r="A11" s="9" t="s">
        <v>305</v>
      </c>
      <c r="B11" s="22">
        <f>COUNTIF('Flag State Register'!F5:F50,"No")</f>
        <v>5</v>
      </c>
    </row>
    <row r="12" spans="1:8" ht="15.75" x14ac:dyDescent="0.25">
      <c r="A12" s="9" t="s">
        <v>306</v>
      </c>
      <c r="B12" s="22">
        <f>COUNTIF('Flag State Register'!F5:F50,"No Previous Activity")</f>
        <v>15</v>
      </c>
    </row>
    <row r="13" spans="1:8" ht="15.75" x14ac:dyDescent="0.25">
      <c r="A13" s="9" t="s">
        <v>307</v>
      </c>
      <c r="B13" s="22">
        <f>COUNTIF('Flag State Register'!D5:D50,"Licence")</f>
        <v>9</v>
      </c>
    </row>
    <row r="14" spans="1:8" ht="15.75" x14ac:dyDescent="0.25">
      <c r="A14" s="9" t="s">
        <v>308</v>
      </c>
      <c r="B14" s="22">
        <f>COUNTIF('Flag State Register'!D5:D50,"Case-by-case*")</f>
        <v>21</v>
      </c>
    </row>
    <row r="15" spans="1:8" ht="15.75" x14ac:dyDescent="0.25">
      <c r="A15" s="9" t="s">
        <v>309</v>
      </c>
      <c r="B15" s="22">
        <f>COUNTIF('Flag State Register'!Q5:Q50,"NOT YET VERIFIED")</f>
        <v>37</v>
      </c>
    </row>
    <row r="18" spans="1:5" ht="15.75" x14ac:dyDescent="0.25">
      <c r="A18" s="10" t="s">
        <v>310</v>
      </c>
    </row>
    <row r="20" spans="1:5" x14ac:dyDescent="0.25">
      <c r="A20" s="11" t="s">
        <v>36</v>
      </c>
      <c r="B20" s="11" t="s">
        <v>37</v>
      </c>
      <c r="C20" s="11" t="s">
        <v>38</v>
      </c>
      <c r="D20" s="11" t="s">
        <v>40</v>
      </c>
      <c r="E20" s="11" t="s">
        <v>42</v>
      </c>
    </row>
    <row r="21" spans="1:5" x14ac:dyDescent="0.25">
      <c r="A21" s="13" t="str">
        <f>IF('Flag State Register'!B5="","",'Flag State Register'!B5)</f>
        <v>Liberia</v>
      </c>
      <c r="B21" s="12" t="str">
        <f>IF('Flag State Register'!C5="","",'Flag State Register'!C5)</f>
        <v>Permits</v>
      </c>
      <c r="C21" s="12" t="str">
        <f>IF('Flag State Register'!D5="","",'Flag State Register'!D5)</f>
        <v>Licence</v>
      </c>
      <c r="D21" s="12" t="str">
        <f>IF('Flag State Register'!F5="","",'Flag State Register'!F5)</f>
        <v>Yes</v>
      </c>
      <c r="E21" s="12" t="str">
        <f>IF('Flag State Register'!H5="","",'Flag State Register'!H5)</f>
        <v/>
      </c>
    </row>
    <row r="22" spans="1:5" x14ac:dyDescent="0.25">
      <c r="A22" s="13" t="str">
        <f>IF('Flag State Register'!B6="","",'Flag State Register'!B6)</f>
        <v>Panama</v>
      </c>
      <c r="B22" s="12" t="str">
        <f>IF('Flag State Register'!C6="","",'Flag State Register'!C6)</f>
        <v>Permits</v>
      </c>
      <c r="C22" s="12" t="str">
        <f>IF('Flag State Register'!D6="","",'Flag State Register'!D6)</f>
        <v>Licence</v>
      </c>
      <c r="D22" s="12" t="str">
        <f>IF('Flag State Register'!F6="","",'Flag State Register'!F6)</f>
        <v>Yes</v>
      </c>
      <c r="E22" s="12" t="str">
        <f>IF('Flag State Register'!H6="","",'Flag State Register'!H6)</f>
        <v>01/08/2026</v>
      </c>
    </row>
    <row r="23" spans="1:5" x14ac:dyDescent="0.25">
      <c r="A23" s="13" t="str">
        <f>IF('Flag State Register'!B7="","",'Flag State Register'!B7)</f>
        <v>Marshall Islands</v>
      </c>
      <c r="B23" s="12" t="str">
        <f>IF('Flag State Register'!C7="","",'Flag State Register'!C7)</f>
        <v>Permits</v>
      </c>
      <c r="C23" s="12" t="str">
        <f>IF('Flag State Register'!D7="","",'Flag State Register'!D7)</f>
        <v>Case-by-case</v>
      </c>
      <c r="D23" s="12" t="str">
        <f>IF('Flag State Register'!F7="","",'Flag State Register'!F7)</f>
        <v>Yes</v>
      </c>
      <c r="E23" s="12" t="str">
        <f>IF('Flag State Register'!H7="","",'Flag State Register'!H7)</f>
        <v/>
      </c>
    </row>
    <row r="24" spans="1:5" x14ac:dyDescent="0.25">
      <c r="A24" s="13" t="str">
        <f>IF('Flag State Register'!B8="","",'Flag State Register'!B8)</f>
        <v>Malta</v>
      </c>
      <c r="B24" s="12" t="str">
        <f>IF('Flag State Register'!C8="","",'Flag State Register'!C8)</f>
        <v>Permits</v>
      </c>
      <c r="C24" s="12" t="str">
        <f>IF('Flag State Register'!D8="","",'Flag State Register'!D8)</f>
        <v>Case-by-case</v>
      </c>
      <c r="D24" s="12" t="str">
        <f>IF('Flag State Register'!F8="","",'Flag State Register'!F8)</f>
        <v>Yes</v>
      </c>
      <c r="E24" s="12" t="str">
        <f>IF('Flag State Register'!H8="","",'Flag State Register'!H8)</f>
        <v/>
      </c>
    </row>
    <row r="25" spans="1:5" x14ac:dyDescent="0.25">
      <c r="A25" s="13" t="str">
        <f>IF('Flag State Register'!B9="","",'Flag State Register'!B9)</f>
        <v>Guinea Bissau</v>
      </c>
      <c r="B25" s="12" t="str">
        <f>IF('Flag State Register'!C9="","",'Flag State Register'!C9)</f>
        <v>Permits</v>
      </c>
      <c r="C25" s="12" t="str">
        <f>IF('Flag State Register'!D9="","",'Flag State Register'!D9)</f>
        <v>Licence</v>
      </c>
      <c r="D25" s="12" t="str">
        <f>IF('Flag State Register'!F9="","",'Flag State Register'!F9)</f>
        <v>Yes</v>
      </c>
      <c r="E25" s="12" t="str">
        <f>IF('Flag State Register'!H9="","",'Flag State Register'!H9)</f>
        <v/>
      </c>
    </row>
    <row r="26" spans="1:5" x14ac:dyDescent="0.25">
      <c r="A26" s="13" t="str">
        <f>IF('Flag State Register'!B10="","",'Flag State Register'!B10)</f>
        <v>Cyprus</v>
      </c>
      <c r="B26" s="12" t="str">
        <f>IF('Flag State Register'!C10="","",'Flag State Register'!C10)</f>
        <v>Permits</v>
      </c>
      <c r="C26" s="12" t="str">
        <f>IF('Flag State Register'!D10="","",'Flag State Register'!D10)</f>
        <v>Licence</v>
      </c>
      <c r="D26" s="12" t="str">
        <f>IF('Flag State Register'!F10="","",'Flag State Register'!F10)</f>
        <v>No</v>
      </c>
      <c r="E26" s="12" t="str">
        <f>IF('Flag State Register'!H10="","",'Flag State Register'!H10)</f>
        <v/>
      </c>
    </row>
    <row r="27" spans="1:5" x14ac:dyDescent="0.25">
      <c r="A27" s="13" t="str">
        <f>IF('Flag State Register'!B11="","",'Flag State Register'!B11)</f>
        <v>Greece</v>
      </c>
      <c r="B27" s="12" t="str">
        <f>IF('Flag State Register'!C11="","",'Flag State Register'!C11)</f>
        <v>Permits</v>
      </c>
      <c r="C27" s="12" t="str">
        <f>IF('Flag State Register'!D11="","",'Flag State Register'!D11)</f>
        <v>Licence</v>
      </c>
      <c r="D27" s="12" t="str">
        <f>IF('Flag State Register'!F11="","",'Flag State Register'!F11)</f>
        <v>No</v>
      </c>
      <c r="E27" s="12" t="str">
        <f>IF('Flag State Register'!H11="","",'Flag State Register'!H11)</f>
        <v/>
      </c>
    </row>
    <row r="28" spans="1:5" x14ac:dyDescent="0.25">
      <c r="A28" s="13" t="str">
        <f>IF('Flag State Register'!B12="","",'Flag State Register'!B12)</f>
        <v>United Kingdom</v>
      </c>
      <c r="B28" s="12" t="str">
        <f>IF('Flag State Register'!C12="","",'Flag State Register'!C12)</f>
        <v>Permits</v>
      </c>
      <c r="C28" s="12" t="str">
        <f>IF('Flag State Register'!D12="","",'Flag State Register'!D12)</f>
        <v>Licence</v>
      </c>
      <c r="D28" s="12" t="str">
        <f>IF('Flag State Register'!F12="","",'Flag State Register'!F12)</f>
        <v>No</v>
      </c>
      <c r="E28" s="12" t="str">
        <f>IF('Flag State Register'!H12="","",'Flag State Register'!H12)</f>
        <v/>
      </c>
    </row>
    <row r="29" spans="1:5" x14ac:dyDescent="0.25">
      <c r="A29" s="13" t="str">
        <f>IF('Flag State Register'!B13="","",'Flag State Register'!B13)</f>
        <v>Hong Kong</v>
      </c>
      <c r="B29" s="12" t="str">
        <f>IF('Flag State Register'!C13="","",'Flag State Register'!C13)</f>
        <v>Permits</v>
      </c>
      <c r="C29" s="12" t="str">
        <f>IF('Flag State Register'!D13="","",'Flag State Register'!D13)</f>
        <v>Case-by-case</v>
      </c>
      <c r="D29" s="12" t="str">
        <f>IF('Flag State Register'!F13="","",'Flag State Register'!F13)</f>
        <v>Yes</v>
      </c>
      <c r="E29" s="12" t="str">
        <f>IF('Flag State Register'!H13="","",'Flag State Register'!H13)</f>
        <v/>
      </c>
    </row>
    <row r="30" spans="1:5" x14ac:dyDescent="0.25">
      <c r="A30" s="13" t="str">
        <f>IF('Flag State Register'!B14="","",'Flag State Register'!B14)</f>
        <v>Portugal</v>
      </c>
      <c r="B30" s="12" t="str">
        <f>IF('Flag State Register'!C14="","",'Flag State Register'!C14)</f>
        <v>Permits</v>
      </c>
      <c r="C30" s="12" t="str">
        <f>IF('Flag State Register'!D14="","",'Flag State Register'!D14)</f>
        <v>Case-by-case</v>
      </c>
      <c r="D30" s="12" t="str">
        <f>IF('Flag State Register'!F14="","",'Flag State Register'!F14)</f>
        <v>Yes</v>
      </c>
      <c r="E30" s="12" t="str">
        <f>IF('Flag State Register'!H14="","",'Flag State Register'!H14)</f>
        <v/>
      </c>
    </row>
    <row r="31" spans="1:5" x14ac:dyDescent="0.25">
      <c r="A31" s="13" t="str">
        <f>IF('Flag State Register'!B15="","",'Flag State Register'!B15)</f>
        <v>Bahamas</v>
      </c>
      <c r="B31" s="12" t="str">
        <f>IF('Flag State Register'!C15="","",'Flag State Register'!C15)</f>
        <v>Permits</v>
      </c>
      <c r="C31" s="12" t="str">
        <f>IF('Flag State Register'!D15="","",'Flag State Register'!D15)</f>
        <v>Case-by-case</v>
      </c>
      <c r="D31" s="12" t="str">
        <f>IF('Flag State Register'!F15="","",'Flag State Register'!F15)</f>
        <v>Yes</v>
      </c>
      <c r="E31" s="12" t="str">
        <f>IF('Flag State Register'!H15="","",'Flag State Register'!H15)</f>
        <v/>
      </c>
    </row>
    <row r="32" spans="1:5" x14ac:dyDescent="0.25">
      <c r="A32" s="13" t="str">
        <f>IF('Flag State Register'!B16="","",'Flag State Register'!B16)</f>
        <v>Singapore</v>
      </c>
      <c r="B32" s="12" t="str">
        <f>IF('Flag State Register'!C16="","",'Flag State Register'!C16)</f>
        <v>Permits</v>
      </c>
      <c r="C32" s="12" t="str">
        <f>IF('Flag State Register'!D16="","",'Flag State Register'!D16)</f>
        <v>Case-by-case</v>
      </c>
      <c r="D32" s="12" t="str">
        <f>IF('Flag State Register'!F16="","",'Flag State Register'!F16)</f>
        <v>Yes</v>
      </c>
      <c r="E32" s="12" t="str">
        <f>IF('Flag State Register'!H16="","",'Flag State Register'!H16)</f>
        <v/>
      </c>
    </row>
    <row r="33" spans="1:5" x14ac:dyDescent="0.25">
      <c r="A33" s="13" t="str">
        <f>IF('Flag State Register'!B17="","",'Flag State Register'!B17)</f>
        <v>Isle of Man</v>
      </c>
      <c r="B33" s="12" t="str">
        <f>IF('Flag State Register'!C17="","",'Flag State Register'!C17)</f>
        <v>Permits</v>
      </c>
      <c r="C33" s="12" t="str">
        <f>IF('Flag State Register'!D17="","",'Flag State Register'!D17)</f>
        <v>Case-by-case</v>
      </c>
      <c r="D33" s="12" t="str">
        <f>IF('Flag State Register'!F17="","",'Flag State Register'!F17)</f>
        <v>Yes</v>
      </c>
      <c r="E33" s="12" t="str">
        <f>IF('Flag State Register'!H17="","",'Flag State Register'!H17)</f>
        <v/>
      </c>
    </row>
    <row r="34" spans="1:5" x14ac:dyDescent="0.25">
      <c r="A34" s="13" t="str">
        <f>IF('Flag State Register'!B18="","",'Flag State Register'!B18)</f>
        <v>Palau</v>
      </c>
      <c r="B34" s="12" t="str">
        <f>IF('Flag State Register'!C18="","",'Flag State Register'!C18)</f>
        <v>Permits</v>
      </c>
      <c r="C34" s="12" t="str">
        <f>IF('Flag State Register'!D18="","",'Flag State Register'!D18)</f>
        <v>Licence</v>
      </c>
      <c r="D34" s="12" t="str">
        <f>IF('Flag State Register'!F18="","",'Flag State Register'!F18)</f>
        <v>Yes</v>
      </c>
      <c r="E34" s="12" t="str">
        <f>IF('Flag State Register'!H18="","",'Flag State Register'!H18)</f>
        <v/>
      </c>
    </row>
    <row r="35" spans="1:5" x14ac:dyDescent="0.25">
      <c r="A35" s="13" t="str">
        <f>IF('Flag State Register'!B19="","",'Flag State Register'!B19)</f>
        <v>Barbados</v>
      </c>
      <c r="B35" s="12" t="str">
        <f>IF('Flag State Register'!C19="","",'Flag State Register'!C19)</f>
        <v>Permits</v>
      </c>
      <c r="C35" s="12" t="str">
        <f>IF('Flag State Register'!D19="","",'Flag State Register'!D19)</f>
        <v>Case-by-case</v>
      </c>
      <c r="D35" s="12" t="str">
        <f>IF('Flag State Register'!F19="","",'Flag State Register'!F19)</f>
        <v>Yes</v>
      </c>
      <c r="E35" s="12" t="str">
        <f>IF('Flag State Register'!H19="","",'Flag State Register'!H19)</f>
        <v/>
      </c>
    </row>
    <row r="36" spans="1:5" x14ac:dyDescent="0.25">
      <c r="A36" s="13" t="str">
        <f>IF('Flag State Register'!B20="","",'Flag State Register'!B20)</f>
        <v>St Vincent &amp; Grenadines</v>
      </c>
      <c r="B36" s="12" t="str">
        <f>IF('Flag State Register'!C20="","",'Flag State Register'!C20)</f>
        <v>Permits</v>
      </c>
      <c r="C36" s="12" t="str">
        <f>IF('Flag State Register'!D20="","",'Flag State Register'!D20)</f>
        <v>Case-by-case</v>
      </c>
      <c r="D36" s="12" t="str">
        <f>IF('Flag State Register'!F20="","",'Flag State Register'!F20)</f>
        <v>Yes</v>
      </c>
      <c r="E36" s="12" t="str">
        <f>IF('Flag State Register'!H20="","",'Flag State Register'!H20)</f>
        <v/>
      </c>
    </row>
    <row r="37" spans="1:5" x14ac:dyDescent="0.25">
      <c r="A37" s="13" t="str">
        <f>IF('Flag State Register'!B21="","",'Flag State Register'!B21)</f>
        <v>Belize</v>
      </c>
      <c r="B37" s="12" t="str">
        <f>IF('Flag State Register'!C21="","",'Flag State Register'!C21)</f>
        <v>Permits</v>
      </c>
      <c r="C37" s="12" t="str">
        <f>IF('Flag State Register'!D21="","",'Flag State Register'!D21)</f>
        <v>Case-by-case</v>
      </c>
      <c r="D37" s="12" t="str">
        <f>IF('Flag State Register'!F21="","",'Flag State Register'!F21)</f>
        <v>Yes</v>
      </c>
      <c r="E37" s="12" t="str">
        <f>IF('Flag State Register'!H21="","",'Flag State Register'!H21)</f>
        <v/>
      </c>
    </row>
    <row r="38" spans="1:5" x14ac:dyDescent="0.25">
      <c r="A38" s="13" t="str">
        <f>IF('Flag State Register'!B22="","",'Flag State Register'!B22)</f>
        <v>Denmark</v>
      </c>
      <c r="B38" s="12" t="str">
        <f>IF('Flag State Register'!C22="","",'Flag State Register'!C22)</f>
        <v>Permits</v>
      </c>
      <c r="C38" s="12" t="str">
        <f>IF('Flag State Register'!D22="","",'Flag State Register'!D22)</f>
        <v>Case-by-case</v>
      </c>
      <c r="D38" s="12" t="str">
        <f>IF('Flag State Register'!F22="","",'Flag State Register'!F22)</f>
        <v>Yes</v>
      </c>
      <c r="E38" s="12" t="str">
        <f>IF('Flag State Register'!H22="","",'Flag State Register'!H22)</f>
        <v/>
      </c>
    </row>
    <row r="39" spans="1:5" x14ac:dyDescent="0.25">
      <c r="A39" s="13" t="str">
        <f>IF('Flag State Register'!B23="","",'Flag State Register'!B23)</f>
        <v>Tuvalu</v>
      </c>
      <c r="B39" s="12" t="str">
        <f>IF('Flag State Register'!C23="","",'Flag State Register'!C23)</f>
        <v>Permits</v>
      </c>
      <c r="C39" s="12" t="str">
        <f>IF('Flag State Register'!D23="","",'Flag State Register'!D23)</f>
        <v>Case-by-case</v>
      </c>
      <c r="D39" s="12" t="str">
        <f>IF('Flag State Register'!F23="","",'Flag State Register'!F23)</f>
        <v>Yes</v>
      </c>
      <c r="E39" s="12" t="str">
        <f>IF('Flag State Register'!H23="","",'Flag State Register'!H23)</f>
        <v/>
      </c>
    </row>
    <row r="40" spans="1:5" x14ac:dyDescent="0.25">
      <c r="A40" s="13" t="str">
        <f>IF('Flag State Register'!B24="","",'Flag State Register'!B24)</f>
        <v>USA</v>
      </c>
      <c r="B40" s="12" t="str">
        <f>IF('Flag State Register'!C24="","",'Flag State Register'!C24)</f>
        <v>Permits</v>
      </c>
      <c r="C40" s="12" t="str">
        <f>IF('Flag State Register'!D24="","",'Flag State Register'!D24)</f>
        <v>Case-by-case</v>
      </c>
      <c r="D40" s="12" t="str">
        <f>IF('Flag State Register'!F24="","",'Flag State Register'!F24)</f>
        <v>No Previous Activity</v>
      </c>
      <c r="E40" s="12" t="str">
        <f>IF('Flag State Register'!H24="","",'Flag State Register'!H24)</f>
        <v/>
      </c>
    </row>
    <row r="41" spans="1:5" x14ac:dyDescent="0.25">
      <c r="A41" s="13" t="str">
        <f>IF('Flag State Register'!B25="","",'Flag State Register'!B25)</f>
        <v>Netherlands</v>
      </c>
      <c r="B41" s="12" t="str">
        <f>IF('Flag State Register'!C25="","",'Flag State Register'!C25)</f>
        <v>Permits</v>
      </c>
      <c r="C41" s="12" t="str">
        <f>IF('Flag State Register'!D25="","",'Flag State Register'!D25)</f>
        <v>Licence</v>
      </c>
      <c r="D41" s="12" t="str">
        <f>IF('Flag State Register'!F25="","",'Flag State Register'!F25)</f>
        <v>No</v>
      </c>
      <c r="E41" s="12" t="str">
        <f>IF('Flag State Register'!H25="","",'Flag State Register'!H25)</f>
        <v/>
      </c>
    </row>
    <row r="42" spans="1:5" x14ac:dyDescent="0.25">
      <c r="A42" s="13" t="str">
        <f>IF('Flag State Register'!B26="","",'Flag State Register'!B26)</f>
        <v>Luxembourg</v>
      </c>
      <c r="B42" s="12" t="str">
        <f>IF('Flag State Register'!C26="","",'Flag State Register'!C26)</f>
        <v>Permits</v>
      </c>
      <c r="C42" s="12" t="str">
        <f>IF('Flag State Register'!D26="","",'Flag State Register'!D26)</f>
        <v>Licence</v>
      </c>
      <c r="D42" s="12" t="str">
        <f>IF('Flag State Register'!F26="","",'Flag State Register'!F26)</f>
        <v>No</v>
      </c>
      <c r="E42" s="12" t="str">
        <f>IF('Flag State Register'!H26="","",'Flag State Register'!H26)</f>
        <v/>
      </c>
    </row>
    <row r="43" spans="1:5" x14ac:dyDescent="0.25">
      <c r="A43" s="13" t="str">
        <f>IF('Flag State Register'!B27="","",'Flag State Register'!B27)</f>
        <v>Honduras</v>
      </c>
      <c r="B43" s="12" t="str">
        <f>IF('Flag State Register'!C27="","",'Flag State Register'!C27)</f>
        <v>Permits</v>
      </c>
      <c r="C43" s="12" t="str">
        <f>IF('Flag State Register'!D27="","",'Flag State Register'!D27)</f>
        <v>Case-by-case</v>
      </c>
      <c r="D43" s="12" t="str">
        <f>IF('Flag State Register'!F27="","",'Flag State Register'!F27)</f>
        <v>No Previous Activity</v>
      </c>
      <c r="E43" s="12" t="str">
        <f>IF('Flag State Register'!H27="","",'Flag State Register'!H27)</f>
        <v/>
      </c>
    </row>
    <row r="44" spans="1:5" x14ac:dyDescent="0.25">
      <c r="A44" s="13" t="str">
        <f>IF('Flag State Register'!B28="","",'Flag State Register'!B28)</f>
        <v>San Tome &amp; Principe</v>
      </c>
      <c r="B44" s="12" t="str">
        <f>IF('Flag State Register'!C28="","",'Flag State Register'!C28)</f>
        <v>Permits</v>
      </c>
      <c r="C44" s="12" t="str">
        <f>IF('Flag State Register'!D28="","",'Flag State Register'!D28)</f>
        <v>Case-by-case</v>
      </c>
      <c r="D44" s="12" t="str">
        <f>IF('Flag State Register'!F28="","",'Flag State Register'!F28)</f>
        <v>No Previous Activity</v>
      </c>
      <c r="E44" s="12" t="str">
        <f>IF('Flag State Register'!H28="","",'Flag State Register'!H28)</f>
        <v/>
      </c>
    </row>
    <row r="45" spans="1:5" x14ac:dyDescent="0.25">
      <c r="A45" s="13" t="str">
        <f>IF('Flag State Register'!B29="","",'Flag State Register'!B29)</f>
        <v>Bermuda</v>
      </c>
      <c r="B45" s="12" t="str">
        <f>IF('Flag State Register'!C29="","",'Flag State Register'!C29)</f>
        <v>Permits</v>
      </c>
      <c r="C45" s="12" t="str">
        <f>IF('Flag State Register'!D29="","",'Flag State Register'!D29)</f>
        <v>Notification</v>
      </c>
      <c r="D45" s="12" t="str">
        <f>IF('Flag State Register'!F29="","",'Flag State Register'!F29)</f>
        <v>No Previous Activity</v>
      </c>
      <c r="E45" s="12" t="str">
        <f>IF('Flag State Register'!H29="","",'Flag State Register'!H29)</f>
        <v/>
      </c>
    </row>
    <row r="46" spans="1:5" x14ac:dyDescent="0.25">
      <c r="A46" s="13" t="str">
        <f>IF('Flag State Register'!B30="","",'Flag State Register'!B30)</f>
        <v>San Marino</v>
      </c>
      <c r="B46" s="12" t="str">
        <f>IF('Flag State Register'!C30="","",'Flag State Register'!C30)</f>
        <v>Does Not Permit</v>
      </c>
      <c r="C46" s="12" t="str">
        <f>IF('Flag State Register'!D30="","",'Flag State Register'!D30)</f>
        <v>N/A</v>
      </c>
      <c r="D46" s="12" t="str">
        <f>IF('Flag State Register'!F30="","",'Flag State Register'!F30)</f>
        <v>N/A</v>
      </c>
      <c r="E46" s="12" t="str">
        <f>IF('Flag State Register'!H30="","",'Flag State Register'!H30)</f>
        <v>N/A</v>
      </c>
    </row>
    <row r="47" spans="1:5" ht="24" x14ac:dyDescent="0.25">
      <c r="A47" s="13" t="str">
        <f>IF('Flag State Register'!B31="","",'Flag State Register'!B31)</f>
        <v>China</v>
      </c>
      <c r="B47" s="12" t="str">
        <f>IF('Flag State Register'!C31="","",'Flag State Register'!C31)</f>
        <v>No Known Stance</v>
      </c>
      <c r="C47" s="12" t="str">
        <f>IF('Flag State Register'!D31="","",'Flag State Register'!D31)</f>
        <v>Unknown</v>
      </c>
      <c r="D47" s="12" t="str">
        <f>IF('Flag State Register'!F31="","",'Flag State Register'!F31)</f>
        <v>No Previous Activity</v>
      </c>
      <c r="E47" s="12" t="str">
        <f>IF('Flag State Register'!H31="","",'Flag State Register'!H31)</f>
        <v/>
      </c>
    </row>
    <row r="48" spans="1:5" x14ac:dyDescent="0.25">
      <c r="A48" s="13" t="str">
        <f>IF('Flag State Register'!B32="","",'Flag State Register'!B32)</f>
        <v>Norway (NIS/NOR)</v>
      </c>
      <c r="B48" s="12" t="str">
        <f>IF('Flag State Register'!C32="","",'Flag State Register'!C32)</f>
        <v>Permits</v>
      </c>
      <c r="C48" s="12" t="str">
        <f>IF('Flag State Register'!D32="","",'Flag State Register'!D32)</f>
        <v>Case-by-case</v>
      </c>
      <c r="D48" s="12" t="str">
        <f>IF('Flag State Register'!F32="","",'Flag State Register'!F32)</f>
        <v>No Previous Activity</v>
      </c>
      <c r="E48" s="12" t="str">
        <f>IF('Flag State Register'!H32="","",'Flag State Register'!H32)</f>
        <v/>
      </c>
    </row>
    <row r="49" spans="1:5" x14ac:dyDescent="0.25">
      <c r="A49" s="13" t="str">
        <f>IF('Flag State Register'!B33="","",'Flag State Register'!B33)</f>
        <v>Germany</v>
      </c>
      <c r="B49" s="12" t="str">
        <f>IF('Flag State Register'!C33="","",'Flag State Register'!C33)</f>
        <v>Permits</v>
      </c>
      <c r="C49" s="12" t="str">
        <f>IF('Flag State Register'!D33="","",'Flag State Register'!D33)</f>
        <v>Case-by-case</v>
      </c>
      <c r="D49" s="12" t="str">
        <f>IF('Flag State Register'!F33="","",'Flag State Register'!F33)</f>
        <v>No Previous Activity</v>
      </c>
      <c r="E49" s="12" t="str">
        <f>IF('Flag State Register'!H33="","",'Flag State Register'!H33)</f>
        <v/>
      </c>
    </row>
    <row r="50" spans="1:5" x14ac:dyDescent="0.25">
      <c r="A50" s="13" t="str">
        <f>IF('Flag State Register'!B34="","",'Flag State Register'!B34)</f>
        <v>Belgium</v>
      </c>
      <c r="B50" s="12" t="str">
        <f>IF('Flag State Register'!C34="","",'Flag State Register'!C34)</f>
        <v>Permits</v>
      </c>
      <c r="C50" s="12" t="str">
        <f>IF('Flag State Register'!D34="","",'Flag State Register'!D34)</f>
        <v>Case-by-case</v>
      </c>
      <c r="D50" s="12" t="str">
        <f>IF('Flag State Register'!F34="","",'Flag State Register'!F34)</f>
        <v>No Previous Activity</v>
      </c>
      <c r="E50" s="12" t="str">
        <f>IF('Flag State Register'!H34="","",'Flag State Register'!H34)</f>
        <v/>
      </c>
    </row>
    <row r="51" spans="1:5" x14ac:dyDescent="0.25">
      <c r="A51" s="13" t="str">
        <f>IF('Flag State Register'!B35="","",'Flag State Register'!B35)</f>
        <v>Italy</v>
      </c>
      <c r="B51" s="12" t="str">
        <f>IF('Flag State Register'!C35="","",'Flag State Register'!C35)</f>
        <v>Permits</v>
      </c>
      <c r="C51" s="12" t="str">
        <f>IF('Flag State Register'!D35="","",'Flag State Register'!D35)</f>
        <v>Case-by-case</v>
      </c>
      <c r="D51" s="12" t="str">
        <f>IF('Flag State Register'!F35="","",'Flag State Register'!F35)</f>
        <v>No Previous Activity</v>
      </c>
      <c r="E51" s="12" t="str">
        <f>IF('Flag State Register'!H35="","",'Flag State Register'!H35)</f>
        <v/>
      </c>
    </row>
    <row r="52" spans="1:5" ht="24" x14ac:dyDescent="0.25">
      <c r="A52" s="13" t="str">
        <f>IF('Flag State Register'!B36="","",'Flag State Register'!B36)</f>
        <v>Japan</v>
      </c>
      <c r="B52" s="12" t="str">
        <f>IF('Flag State Register'!C36="","",'Flag State Register'!C36)</f>
        <v>Permits</v>
      </c>
      <c r="C52" s="12" t="str">
        <f>IF('Flag State Register'!D36="","",'Flag State Register'!D36)</f>
        <v>Case-by-case (highly restrictive)</v>
      </c>
      <c r="D52" s="12" t="str">
        <f>IF('Flag State Register'!F36="","",'Flag State Register'!F36)</f>
        <v>No Previous Activity</v>
      </c>
      <c r="E52" s="12" t="str">
        <f>IF('Flag State Register'!H36="","",'Flag State Register'!H36)</f>
        <v/>
      </c>
    </row>
    <row r="53" spans="1:5" x14ac:dyDescent="0.25">
      <c r="A53" s="13" t="str">
        <f>IF('Flag State Register'!B37="","",'Flag State Register'!B37)</f>
        <v>Russia</v>
      </c>
      <c r="B53" s="12" t="str">
        <f>IF('Flag State Register'!C37="","",'Flag State Register'!C37)</f>
        <v>Permits</v>
      </c>
      <c r="C53" s="12" t="str">
        <f>IF('Flag State Register'!D37="","",'Flag State Register'!D37)</f>
        <v>Case-by-case</v>
      </c>
      <c r="D53" s="12" t="str">
        <f>IF('Flag State Register'!F37="","",'Flag State Register'!F37)</f>
        <v>No Previous Activity</v>
      </c>
      <c r="E53" s="12" t="str">
        <f>IF('Flag State Register'!H37="","",'Flag State Register'!H37)</f>
        <v/>
      </c>
    </row>
    <row r="54" spans="1:5" x14ac:dyDescent="0.25">
      <c r="A54" s="13" t="str">
        <f>IF('Flag State Register'!B38="","",'Flag State Register'!B38)</f>
        <v>Antigua &amp; Barbuda</v>
      </c>
      <c r="B54" s="12" t="str">
        <f>IF('Flag State Register'!C38="","",'Flag State Register'!C38)</f>
        <v>Unknown</v>
      </c>
      <c r="C54" s="12" t="str">
        <f>IF('Flag State Register'!D38="","",'Flag State Register'!D38)</f>
        <v>Unknown</v>
      </c>
      <c r="D54" s="12" t="str">
        <f>IF('Flag State Register'!F38="","",'Flag State Register'!F38)</f>
        <v>No Previous Activity</v>
      </c>
      <c r="E54" s="12" t="str">
        <f>IF('Flag State Register'!H38="","",'Flag State Register'!H38)</f>
        <v/>
      </c>
    </row>
    <row r="55" spans="1:5" x14ac:dyDescent="0.25">
      <c r="A55" s="13" t="str">
        <f>IF('Flag State Register'!B39="","",'Flag State Register'!B39)</f>
        <v>Cayman Islands</v>
      </c>
      <c r="B55" s="12" t="str">
        <f>IF('Flag State Register'!C39="","",'Flag State Register'!C39)</f>
        <v>Unknown</v>
      </c>
      <c r="C55" s="12" t="str">
        <f>IF('Flag State Register'!D39="","",'Flag State Register'!D39)</f>
        <v>Unknown</v>
      </c>
      <c r="D55" s="12" t="str">
        <f>IF('Flag State Register'!F39="","",'Flag State Register'!F39)</f>
        <v>No Previous Activity</v>
      </c>
      <c r="E55" s="12" t="str">
        <f>IF('Flag State Register'!H39="","",'Flag State Register'!H39)</f>
        <v/>
      </c>
    </row>
    <row r="56" spans="1:5" x14ac:dyDescent="0.25">
      <c r="A56" s="13" t="str">
        <f>IF('Flag State Register'!B40="","",'Flag State Register'!B40)</f>
        <v>Vanuatu</v>
      </c>
      <c r="B56" s="12" t="str">
        <f>IF('Flag State Register'!C40="","",'Flag State Register'!C40)</f>
        <v>Unknown</v>
      </c>
      <c r="C56" s="12" t="str">
        <f>IF('Flag State Register'!D40="","",'Flag State Register'!D40)</f>
        <v>Unknown</v>
      </c>
      <c r="D56" s="12" t="str">
        <f>IF('Flag State Register'!F40="","",'Flag State Register'!F40)</f>
        <v>No Previous Activity</v>
      </c>
      <c r="E56" s="12" t="str">
        <f>IF('Flag State Register'!H40="","",'Flag State Register'!H40)</f>
        <v/>
      </c>
    </row>
    <row r="57" spans="1:5" ht="24" x14ac:dyDescent="0.25">
      <c r="A57" s="13" t="str">
        <f>IF('Flag State Register'!B41="","",'Flag State Register'!B41)</f>
        <v>Comoros</v>
      </c>
      <c r="B57" s="12" t="str">
        <f>IF('Flag State Register'!C41="","",'Flag State Register'!C41)</f>
        <v>Unknown (likely permissive)</v>
      </c>
      <c r="C57" s="12" t="str">
        <f>IF('Flag State Register'!D41="","",'Flag State Register'!D41)</f>
        <v>Unknown</v>
      </c>
      <c r="D57" s="12" t="str">
        <f>IF('Flag State Register'!F41="","",'Flag State Register'!F41)</f>
        <v>No Previous Activity</v>
      </c>
      <c r="E57" s="12" t="str">
        <f>IF('Flag State Register'!H41="","",'Flag State Register'!H41)</f>
        <v/>
      </c>
    </row>
  </sheetData>
  <mergeCells count="1">
    <mergeCell ref="A2:H2"/>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F26"/>
  <sheetViews>
    <sheetView showGridLines="0" zoomScaleNormal="100" workbookViewId="0">
      <selection activeCell="A6" sqref="A6:F22"/>
    </sheetView>
  </sheetViews>
  <sheetFormatPr defaultColWidth="8.7109375" defaultRowHeight="15" x14ac:dyDescent="0.25"/>
  <cols>
    <col min="1" max="1" width="24" customWidth="1"/>
    <col min="2" max="2" width="80" customWidth="1"/>
  </cols>
  <sheetData>
    <row r="2" spans="1:6" ht="26.25" x14ac:dyDescent="0.4">
      <c r="A2" s="1" t="s">
        <v>311</v>
      </c>
      <c r="B2" s="1"/>
      <c r="C2" s="1"/>
      <c r="D2" s="1"/>
      <c r="E2" s="1"/>
      <c r="F2" s="1"/>
    </row>
    <row r="4" spans="1:6" ht="15.75" x14ac:dyDescent="0.25">
      <c r="A4" s="10" t="s">
        <v>312</v>
      </c>
    </row>
    <row r="6" spans="1:6" ht="15" customHeight="1" x14ac:dyDescent="0.25">
      <c r="A6" s="23" t="s">
        <v>36</v>
      </c>
      <c r="B6" s="5" t="s">
        <v>313</v>
      </c>
      <c r="C6" s="5"/>
      <c r="D6" s="5"/>
      <c r="E6" s="5"/>
      <c r="F6" s="24"/>
    </row>
    <row r="7" spans="1:6" ht="22.35" customHeight="1" x14ac:dyDescent="0.25">
      <c r="A7" s="23" t="s">
        <v>37</v>
      </c>
      <c r="B7" s="5" t="s">
        <v>314</v>
      </c>
      <c r="C7" s="5"/>
      <c r="D7" s="5"/>
      <c r="E7" s="5"/>
      <c r="F7" s="24"/>
    </row>
    <row r="8" spans="1:6" ht="22.35" customHeight="1" x14ac:dyDescent="0.25">
      <c r="A8" s="23" t="s">
        <v>38</v>
      </c>
      <c r="B8" s="5" t="s">
        <v>315</v>
      </c>
      <c r="C8" s="5"/>
      <c r="D8" s="5"/>
      <c r="E8" s="5"/>
      <c r="F8" s="24"/>
    </row>
    <row r="9" spans="1:6" ht="22.35" customHeight="1" x14ac:dyDescent="0.25">
      <c r="A9" s="23" t="s">
        <v>39</v>
      </c>
      <c r="B9" s="5" t="s">
        <v>316</v>
      </c>
      <c r="C9" s="5"/>
      <c r="D9" s="5"/>
      <c r="E9" s="5"/>
      <c r="F9" s="24"/>
    </row>
    <row r="10" spans="1:6" ht="15" customHeight="1" x14ac:dyDescent="0.25">
      <c r="A10" s="23" t="s">
        <v>40</v>
      </c>
      <c r="B10" s="5" t="s">
        <v>317</v>
      </c>
      <c r="C10" s="5"/>
      <c r="D10" s="5"/>
      <c r="E10" s="5"/>
      <c r="F10" s="24"/>
    </row>
    <row r="11" spans="1:6" ht="15" customHeight="1" x14ac:dyDescent="0.25">
      <c r="A11" s="23" t="s">
        <v>41</v>
      </c>
      <c r="B11" s="5" t="s">
        <v>318</v>
      </c>
      <c r="C11" s="5"/>
      <c r="D11" s="5"/>
      <c r="E11" s="5"/>
      <c r="F11" s="24"/>
    </row>
    <row r="12" spans="1:6" ht="15" customHeight="1" x14ac:dyDescent="0.25">
      <c r="A12" s="23" t="s">
        <v>42</v>
      </c>
      <c r="B12" s="5" t="s">
        <v>319</v>
      </c>
      <c r="C12" s="5"/>
      <c r="D12" s="5"/>
      <c r="E12" s="5"/>
      <c r="F12" s="24"/>
    </row>
    <row r="13" spans="1:6" ht="15" customHeight="1" x14ac:dyDescent="0.25">
      <c r="A13" s="23" t="s">
        <v>43</v>
      </c>
      <c r="B13" s="5" t="s">
        <v>320</v>
      </c>
      <c r="C13" s="5"/>
      <c r="D13" s="5"/>
      <c r="E13" s="5"/>
      <c r="F13" s="24"/>
    </row>
    <row r="14" spans="1:6" ht="15" customHeight="1" x14ac:dyDescent="0.25">
      <c r="A14" s="23" t="s">
        <v>44</v>
      </c>
      <c r="B14" s="5" t="s">
        <v>321</v>
      </c>
      <c r="C14" s="5"/>
      <c r="D14" s="5"/>
      <c r="E14" s="5"/>
      <c r="F14" s="24"/>
    </row>
    <row r="15" spans="1:6" ht="15" customHeight="1" x14ac:dyDescent="0.25">
      <c r="A15" s="23" t="s">
        <v>45</v>
      </c>
      <c r="B15" s="5" t="s">
        <v>322</v>
      </c>
      <c r="C15" s="5"/>
      <c r="D15" s="5"/>
      <c r="E15" s="5"/>
      <c r="F15" s="24"/>
    </row>
    <row r="16" spans="1:6" ht="15" customHeight="1" x14ac:dyDescent="0.25">
      <c r="A16" s="23" t="s">
        <v>46</v>
      </c>
      <c r="B16" s="5" t="s">
        <v>323</v>
      </c>
      <c r="C16" s="5"/>
      <c r="D16" s="5"/>
      <c r="E16" s="5"/>
      <c r="F16" s="24"/>
    </row>
    <row r="17" spans="1:6" ht="15" customHeight="1" x14ac:dyDescent="0.25">
      <c r="A17" s="23" t="s">
        <v>47</v>
      </c>
      <c r="B17" s="5" t="s">
        <v>324</v>
      </c>
      <c r="C17" s="5"/>
      <c r="D17" s="5"/>
      <c r="E17" s="5"/>
      <c r="F17" s="24"/>
    </row>
    <row r="18" spans="1:6" ht="15" customHeight="1" x14ac:dyDescent="0.25">
      <c r="A18" s="23" t="s">
        <v>48</v>
      </c>
      <c r="B18" s="5" t="s">
        <v>325</v>
      </c>
      <c r="C18" s="5"/>
      <c r="D18" s="5"/>
      <c r="E18" s="5"/>
      <c r="F18" s="24"/>
    </row>
    <row r="19" spans="1:6" ht="15" customHeight="1" x14ac:dyDescent="0.25">
      <c r="A19" s="23" t="s">
        <v>49</v>
      </c>
      <c r="B19" s="5" t="s">
        <v>326</v>
      </c>
      <c r="C19" s="5"/>
      <c r="D19" s="5"/>
      <c r="E19" s="5"/>
      <c r="F19" s="24"/>
    </row>
    <row r="20" spans="1:6" ht="15" customHeight="1" x14ac:dyDescent="0.25">
      <c r="A20" s="23" t="s">
        <v>50</v>
      </c>
      <c r="B20" s="5" t="s">
        <v>327</v>
      </c>
      <c r="C20" s="5"/>
      <c r="D20" s="5"/>
      <c r="E20" s="5"/>
      <c r="F20" s="24"/>
    </row>
    <row r="21" spans="1:6" ht="15" customHeight="1" x14ac:dyDescent="0.25">
      <c r="A21" s="23" t="s">
        <v>51</v>
      </c>
      <c r="B21" s="5" t="s">
        <v>328</v>
      </c>
      <c r="C21" s="5"/>
      <c r="D21" s="5"/>
      <c r="E21" s="5"/>
      <c r="F21" s="24"/>
    </row>
    <row r="22" spans="1:6" ht="15" customHeight="1" x14ac:dyDescent="0.25">
      <c r="A22" s="23" t="s">
        <v>52</v>
      </c>
      <c r="B22" s="5" t="s">
        <v>329</v>
      </c>
      <c r="C22" s="5"/>
      <c r="D22" s="5"/>
      <c r="E22" s="5"/>
      <c r="F22" s="24"/>
    </row>
    <row r="25" spans="1:6" ht="15.75" x14ac:dyDescent="0.25">
      <c r="A25" s="10" t="s">
        <v>330</v>
      </c>
    </row>
    <row r="26" spans="1:6" ht="22.35" customHeight="1" x14ac:dyDescent="0.25">
      <c r="A26" s="3" t="s">
        <v>331</v>
      </c>
      <c r="B26" s="3"/>
      <c r="C26" s="3"/>
      <c r="D26" s="3"/>
      <c r="E26" s="3"/>
      <c r="F26" s="3"/>
    </row>
  </sheetData>
  <mergeCells count="19">
    <mergeCell ref="B20:F20"/>
    <mergeCell ref="B21:F21"/>
    <mergeCell ref="B22:F22"/>
    <mergeCell ref="A26:F26"/>
    <mergeCell ref="B15:F15"/>
    <mergeCell ref="B16:F16"/>
    <mergeCell ref="B17:F17"/>
    <mergeCell ref="B18:F18"/>
    <mergeCell ref="B19:F19"/>
    <mergeCell ref="B10:F10"/>
    <mergeCell ref="B11:F11"/>
    <mergeCell ref="B12:F12"/>
    <mergeCell ref="B13:F13"/>
    <mergeCell ref="B14:F14"/>
    <mergeCell ref="A2:F2"/>
    <mergeCell ref="B6:F6"/>
    <mergeCell ref="B7:F7"/>
    <mergeCell ref="B8:F8"/>
    <mergeCell ref="B9:F9"/>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2:F13"/>
  <sheetViews>
    <sheetView showGridLines="0" zoomScaleNormal="100" workbookViewId="0"/>
  </sheetViews>
  <sheetFormatPr defaultColWidth="8.7109375" defaultRowHeight="15" x14ac:dyDescent="0.25"/>
  <cols>
    <col min="1" max="1" width="100" customWidth="1"/>
  </cols>
  <sheetData>
    <row r="2" spans="1:6" ht="26.25" x14ac:dyDescent="0.4">
      <c r="A2" s="1" t="s">
        <v>332</v>
      </c>
      <c r="B2" s="1"/>
      <c r="C2" s="1"/>
      <c r="D2" s="1"/>
      <c r="E2" s="1"/>
      <c r="F2" s="1"/>
    </row>
    <row r="4" spans="1:6" ht="15" customHeight="1" x14ac:dyDescent="0.25">
      <c r="A4" s="3" t="s">
        <v>333</v>
      </c>
      <c r="B4" s="3"/>
      <c r="C4" s="3"/>
      <c r="D4" s="3"/>
      <c r="E4" s="3"/>
      <c r="F4" s="3"/>
    </row>
    <row r="5" spans="1:6" ht="15" customHeight="1" x14ac:dyDescent="0.25">
      <c r="A5" s="3" t="s">
        <v>334</v>
      </c>
      <c r="B5" s="3"/>
      <c r="C5" s="3"/>
      <c r="D5" s="3"/>
      <c r="E5" s="3"/>
      <c r="F5" s="3"/>
    </row>
    <row r="6" spans="1:6" ht="15" customHeight="1" x14ac:dyDescent="0.25">
      <c r="A6" s="3" t="s">
        <v>335</v>
      </c>
      <c r="B6" s="3"/>
      <c r="C6" s="3"/>
      <c r="D6" s="3"/>
      <c r="E6" s="3"/>
      <c r="F6" s="3"/>
    </row>
    <row r="7" spans="1:6" ht="15" customHeight="1" x14ac:dyDescent="0.25">
      <c r="A7" s="3" t="s">
        <v>336</v>
      </c>
      <c r="B7" s="3"/>
      <c r="C7" s="3"/>
      <c r="D7" s="3"/>
      <c r="E7" s="3"/>
      <c r="F7" s="3"/>
    </row>
    <row r="8" spans="1:6" ht="15" customHeight="1" x14ac:dyDescent="0.25">
      <c r="A8" s="3" t="s">
        <v>337</v>
      </c>
      <c r="B8" s="3"/>
      <c r="C8" s="3"/>
      <c r="D8" s="3"/>
      <c r="E8" s="3"/>
      <c r="F8" s="3"/>
    </row>
    <row r="9" spans="1:6" ht="15" customHeight="1" x14ac:dyDescent="0.25">
      <c r="A9" s="3" t="s">
        <v>338</v>
      </c>
      <c r="B9" s="3"/>
      <c r="C9" s="3"/>
      <c r="D9" s="3"/>
      <c r="E9" s="3"/>
      <c r="F9" s="3"/>
    </row>
    <row r="10" spans="1:6" ht="15" customHeight="1" x14ac:dyDescent="0.25">
      <c r="A10" s="3" t="s">
        <v>339</v>
      </c>
      <c r="B10" s="3"/>
      <c r="C10" s="3"/>
      <c r="D10" s="3"/>
      <c r="E10" s="3"/>
      <c r="F10" s="3"/>
    </row>
    <row r="11" spans="1:6" ht="15" customHeight="1" x14ac:dyDescent="0.25">
      <c r="A11" s="3" t="s">
        <v>340</v>
      </c>
      <c r="B11" s="3"/>
      <c r="C11" s="3"/>
      <c r="D11" s="3"/>
      <c r="E11" s="3"/>
      <c r="F11" s="3"/>
    </row>
    <row r="12" spans="1:6" ht="15" customHeight="1" x14ac:dyDescent="0.25">
      <c r="A12" s="3" t="s">
        <v>341</v>
      </c>
      <c r="B12" s="3"/>
      <c r="C12" s="3"/>
      <c r="D12" s="3"/>
      <c r="E12" s="3"/>
      <c r="F12" s="3"/>
    </row>
    <row r="13" spans="1:6" ht="15" customHeight="1" x14ac:dyDescent="0.25">
      <c r="A13" s="3" t="s">
        <v>342</v>
      </c>
      <c r="B13" s="3"/>
      <c r="C13" s="3"/>
      <c r="D13" s="3"/>
      <c r="E13" s="3"/>
      <c r="F13" s="3"/>
    </row>
  </sheetData>
  <mergeCells count="11">
    <mergeCell ref="A13:F13"/>
    <mergeCell ref="A8:F8"/>
    <mergeCell ref="A9:F9"/>
    <mergeCell ref="A10:F10"/>
    <mergeCell ref="A11:F11"/>
    <mergeCell ref="A12:F12"/>
    <mergeCell ref="A2:F2"/>
    <mergeCell ref="A4:F4"/>
    <mergeCell ref="A5:F5"/>
    <mergeCell ref="A6:F6"/>
    <mergeCell ref="A7:F7"/>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5</vt:i4>
      </vt:variant>
    </vt:vector>
  </HeadingPairs>
  <TitlesOfParts>
    <vt:vector size="5" baseType="lpstr">
      <vt:lpstr>Register Information</vt:lpstr>
      <vt:lpstr>Flag State Register</vt:lpstr>
      <vt:lpstr>Dashboard</vt:lpstr>
      <vt:lpstr>Methodology</vt:lpstr>
      <vt:lpstr>Instructions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Darren Watts</cp:lastModifiedBy>
  <cp:revision>0</cp:revision>
  <dcterms:created xsi:type="dcterms:W3CDTF">2026-04-01T11:03:33Z</dcterms:created>
  <dcterms:modified xsi:type="dcterms:W3CDTF">2026-04-01T11:08:07Z</dcterms:modified>
  <dc:language>en-US</dc:language>
</cp:coreProperties>
</file>