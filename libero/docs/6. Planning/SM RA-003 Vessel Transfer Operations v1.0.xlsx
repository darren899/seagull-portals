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3 - Risk Assessments/RA-003 Series (HS - ISO 45001)/Vessel Transfer Operations/"/>
    </mc:Choice>
  </mc:AlternateContent>
  <xr:revisionPtr revIDLastSave="6" documentId="11_B335F1145CE18262E49D3C4E0AA9B9FEAEFB3B8D" xr6:coauthVersionLast="47" xr6:coauthVersionMax="47" xr10:uidLastSave="{70531B36-8997-4EC2-B620-4D814D1BD935}"/>
  <bookViews>
    <workbookView xWindow="10065" yWindow="2790" windowWidth="41700" windowHeight="15105" tabRatio="500" activeTab="1" xr2:uid="{00000000-000D-0000-FFFF-FFFF00000000}"/>
  </bookViews>
  <sheets>
    <sheet name="RA Information" sheetId="2" r:id="rId1"/>
    <sheet name="Risk Assessment" sheetId="4" r:id="rId2"/>
    <sheet name="Dashboard" sheetId="1" r:id="rId3"/>
    <sheet name="Methodology" sheetId="3"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28" i="4" l="1"/>
  <c r="L28" i="4"/>
  <c r="H28" i="4"/>
  <c r="G28" i="4"/>
  <c r="M27" i="4"/>
  <c r="L27" i="4"/>
  <c r="H27" i="4"/>
  <c r="G27" i="4"/>
  <c r="M26" i="4"/>
  <c r="L26" i="4"/>
  <c r="H26" i="4"/>
  <c r="G26" i="4"/>
  <c r="M25" i="4"/>
  <c r="L25" i="4"/>
  <c r="H25" i="4"/>
  <c r="G25" i="4"/>
  <c r="M24" i="4"/>
  <c r="L24" i="4"/>
  <c r="H24" i="4"/>
  <c r="G24" i="4"/>
  <c r="M23" i="4"/>
  <c r="L23" i="4"/>
  <c r="H23" i="4"/>
  <c r="G23" i="4"/>
  <c r="M22" i="4"/>
  <c r="L22" i="4"/>
  <c r="H22" i="4"/>
  <c r="G22" i="4"/>
  <c r="M21" i="4"/>
  <c r="L21" i="4"/>
  <c r="H21" i="4"/>
  <c r="G21" i="4"/>
  <c r="M20" i="4"/>
  <c r="L20" i="4"/>
  <c r="H20" i="4"/>
  <c r="G20" i="4"/>
  <c r="M19" i="4"/>
  <c r="L19" i="4"/>
  <c r="H19" i="4"/>
  <c r="G19" i="4"/>
  <c r="M18" i="4"/>
  <c r="L18" i="4"/>
  <c r="H18" i="4"/>
  <c r="G18" i="4"/>
  <c r="M17" i="4"/>
  <c r="L17" i="4"/>
  <c r="H17" i="4"/>
  <c r="G17" i="4"/>
  <c r="M16" i="4"/>
  <c r="L16" i="4"/>
  <c r="H16" i="4"/>
  <c r="G16" i="4"/>
  <c r="M15" i="4"/>
  <c r="L15" i="4"/>
  <c r="H15" i="4"/>
  <c r="G15" i="4"/>
  <c r="M14" i="4"/>
  <c r="L14" i="4"/>
  <c r="H14" i="4"/>
  <c r="G14" i="4"/>
  <c r="M13" i="4"/>
  <c r="L13" i="4"/>
  <c r="H13" i="4"/>
  <c r="G13" i="4"/>
  <c r="M12" i="4"/>
  <c r="L12" i="4"/>
  <c r="H12" i="4"/>
  <c r="G12" i="4"/>
  <c r="M11" i="4"/>
  <c r="L11" i="4"/>
  <c r="H11" i="4"/>
  <c r="G11" i="4"/>
  <c r="M10" i="4"/>
  <c r="L10" i="4"/>
  <c r="H10" i="4"/>
  <c r="G10" i="4"/>
  <c r="M9" i="4"/>
  <c r="L9" i="4"/>
  <c r="H9" i="4"/>
  <c r="G9" i="4"/>
  <c r="M8" i="4"/>
  <c r="L8" i="4"/>
  <c r="H8" i="4"/>
  <c r="G8" i="4"/>
  <c r="M7" i="4"/>
  <c r="L7" i="4"/>
  <c r="H7" i="4"/>
  <c r="G7" i="4"/>
  <c r="M6" i="4"/>
  <c r="L6" i="4"/>
  <c r="H6" i="4"/>
  <c r="G6" i="4"/>
  <c r="M5" i="4"/>
  <c r="L5" i="4"/>
  <c r="G5" i="4"/>
  <c r="H5" i="4" s="1"/>
  <c r="D29" i="1"/>
  <c r="D28" i="1"/>
  <c r="D27" i="1"/>
  <c r="D25" i="1"/>
  <c r="D20" i="1"/>
  <c r="E20" i="1" s="1"/>
  <c r="D19" i="1"/>
  <c r="E19" i="1" s="1"/>
  <c r="D18" i="1"/>
  <c r="E18" i="1" s="1"/>
  <c r="E17" i="1"/>
  <c r="D17" i="1"/>
  <c r="C6" i="1"/>
  <c r="D24" i="1" l="1"/>
  <c r="D26" i="1"/>
  <c r="F6" i="1"/>
  <c r="E6" i="1"/>
  <c r="D6" i="1"/>
  <c r="D13" i="1"/>
  <c r="E13" i="1" s="1"/>
  <c r="D12" i="1"/>
  <c r="E12" i="1" s="1"/>
  <c r="D11" i="1"/>
  <c r="E11" i="1" s="1"/>
  <c r="D10" i="1"/>
  <c r="E10" i="1" s="1"/>
  <c r="G6" i="1"/>
</calcChain>
</file>

<file path=xl/sharedStrings.xml><?xml version="1.0" encoding="utf-8"?>
<sst xmlns="http://schemas.openxmlformats.org/spreadsheetml/2006/main" count="299" uniqueCount="233">
  <si>
    <t>RISK ASSESSMENT DASHBOARD</t>
  </si>
  <si>
    <t>KEY METRICS</t>
  </si>
  <si>
    <t>Total Hazards Assessed</t>
  </si>
  <si>
    <t>Critical (Inherent)</t>
  </si>
  <si>
    <t>High (Inherent)</t>
  </si>
  <si>
    <t>Medium (Inherent)</t>
  </si>
  <si>
    <t>Low (Inherent)</t>
  </si>
  <si>
    <t>INHERENT RISK DISTRIBUTION (Before Controls)</t>
  </si>
  <si>
    <t>Risk Level</t>
  </si>
  <si>
    <t>Count</t>
  </si>
  <si>
    <t>% of Total</t>
  </si>
  <si>
    <t>Critical</t>
  </si>
  <si>
    <t>High</t>
  </si>
  <si>
    <t>Medium</t>
  </si>
  <si>
    <t>Low</t>
  </si>
  <si>
    <t>RESIDUAL RISK DISTRIBUTION (After Controls)</t>
  </si>
  <si>
    <t>RISK REDUCTION SUMMARY</t>
  </si>
  <si>
    <t>Metric</t>
  </si>
  <si>
    <t>Value</t>
  </si>
  <si>
    <t>Average Inherent Risk Score</t>
  </si>
  <si>
    <t>Average Residual Risk Score</t>
  </si>
  <si>
    <t>Average Risk Reduction (%)</t>
  </si>
  <si>
    <t>Hazards at Critical (Residual)</t>
  </si>
  <si>
    <t>Hazards at High (Residual)</t>
  </si>
  <si>
    <t>Open Items</t>
  </si>
  <si>
    <t>DOCUMENT INFORMATION</t>
  </si>
  <si>
    <t>Document Reference:</t>
  </si>
  <si>
    <t>SM/HSE/RA/002</t>
  </si>
  <si>
    <t>Version:</t>
  </si>
  <si>
    <t>1.0</t>
  </si>
  <si>
    <t>Effective Date:</t>
  </si>
  <si>
    <t>15 March 2026</t>
  </si>
  <si>
    <t>Review Date:</t>
  </si>
  <si>
    <t>15 September 2026</t>
  </si>
  <si>
    <t>Assessed by:</t>
  </si>
  <si>
    <t>Group Compliance Director</t>
  </si>
  <si>
    <t>Status:</t>
  </si>
  <si>
    <t>Active</t>
  </si>
  <si>
    <t>SAFETY RISK ASSESSMENT – VESSEL TRANSFER OPERATIONS</t>
  </si>
  <si>
    <t>RISK MANAGEMENT INFORMATION</t>
  </si>
  <si>
    <t>Risk Assessment ID:</t>
  </si>
  <si>
    <t>RA-002</t>
  </si>
  <si>
    <t>Location:</t>
  </si>
  <si>
    <t>All operational regions (IOR, WAF, PG)</t>
  </si>
  <si>
    <t>Activity Description:</t>
  </si>
  <si>
    <t>The transfer of personnel and equipment to and from client vessels, VBAs, and port agent transport boats using pilot ladders, RHIB craft, and gangway systems.</t>
  </si>
  <si>
    <t>Contributors:</t>
  </si>
  <si>
    <t>Senior Operations Manager, Vessel Managers, Coxswains</t>
  </si>
  <si>
    <t>Responsible Persons:</t>
  </si>
  <si>
    <t>Senior Operations Manager, Vessel Managers, Coxswains, Team Leaders, Team Members, Client Vessel Master</t>
  </si>
  <si>
    <t>Management have day-to-day responsibility for health and safety and must be aware of the hazards and control measures in this assessment. They must ensure all staff are aware of the findings and that adequate training and supervision is in place.</t>
  </si>
  <si>
    <t>Team Leaders and Team Members are to ensure they have read the risk assessment, understood and acknowledged the controls, and follow any instructions given.</t>
  </si>
  <si>
    <t>Client Vessel Masters are respectfully requested to review this risk assessment and assist in compliance with any relevant controls that apply to their vessel or crew.</t>
  </si>
  <si>
    <t>COMMUNICATION &amp; CONSULTATION / RECORDING &amp; REPORTING / MONITORING &amp; REVIEW</t>
  </si>
  <si>
    <t>This risk assessment must be shared with all personnel engaged with the activity. All personnel must confirm they have read and understood the assessment before deployment. A record of this must be maintained.</t>
  </si>
  <si>
    <t>Monitoring and supervision: Seagull Maritime must monitor the activities of all personnel through regular checks, toolbox talks, and debrief reports. Any failure of controls must be reported immediately.</t>
  </si>
  <si>
    <t>This assessment must be formally reviewed if there is any significant change in operational circumstances, following any incident or near miss, or at the scheduled review date — whichever comes first.</t>
  </si>
  <si>
    <t>ACTIVITY DESCRIPTION</t>
  </si>
  <si>
    <t>Seagull Maritime personnel will be required to transfer to/from client vessels while at sea. This will typically entail embarking and disembarking via pilot ladder from a VBA or port agent transfer boat (RHIB or similar craft). Transfers may also involve gangway systems where available. Personnel must carry personal equipment and weapons during transfer. Transfers take place in varying sea states, weather conditions, lighting conditions, and on vessels of differing sizes and configurations. This assessment covers the health and safety hazards associated with all vessel transfer operations across all Seagull Maritime regions.</t>
  </si>
  <si>
    <t>RISK ASSESSMENT METHODOLOGY</t>
  </si>
  <si>
    <t>Likelihood x Severity = Risk Rating</t>
  </si>
  <si>
    <t>Likelihood</t>
  </si>
  <si>
    <t>Severity</t>
  </si>
  <si>
    <t>Rare</t>
  </si>
  <si>
    <t>Minor Injury</t>
  </si>
  <si>
    <t>Unlikely</t>
  </si>
  <si>
    <t>First Aid Required</t>
  </si>
  <si>
    <t>Possible</t>
  </si>
  <si>
    <t>Medical Treatment</t>
  </si>
  <si>
    <t>Likely</t>
  </si>
  <si>
    <t>Serious Injury</t>
  </si>
  <si>
    <t>Certain</t>
  </si>
  <si>
    <t>Fatality</t>
  </si>
  <si>
    <t>5x5 RISK MATRIX</t>
  </si>
  <si>
    <t>Likelihood \ Severity</t>
  </si>
  <si>
    <t>1 - Minor</t>
  </si>
  <si>
    <t>2 - First Aid</t>
  </si>
  <si>
    <t>3 - Medical</t>
  </si>
  <si>
    <t>4 - Serious</t>
  </si>
  <si>
    <t>5 - Fatality</t>
  </si>
  <si>
    <t>5 - Certain</t>
  </si>
  <si>
    <t>4 - Likely</t>
  </si>
  <si>
    <t>3 - Possible</t>
  </si>
  <si>
    <t>2 - Unlikely</t>
  </si>
  <si>
    <t>1 - Rare</t>
  </si>
  <si>
    <t>Risk Rating = Risk before controls are applied</t>
  </si>
  <si>
    <t>Residual Risk Rating = Risk after controls have been considered and implemented</t>
  </si>
  <si>
    <t>Risk Level Key:</t>
  </si>
  <si>
    <t>1-4</t>
  </si>
  <si>
    <t>Acceptable risk. Monitor and review.</t>
  </si>
  <si>
    <t>5-9</t>
  </si>
  <si>
    <t>Tolerable with controls. Monitor closely.</t>
  </si>
  <si>
    <t>10-15</t>
  </si>
  <si>
    <t>Significant risk. Additional controls required before proceeding.</t>
  </si>
  <si>
    <t>16-25</t>
  </si>
  <si>
    <t>Unacceptable. Do not proceed without senior management approval and additional controls.</t>
  </si>
  <si>
    <t>HIERARCHY OF CONTROLS</t>
  </si>
  <si>
    <t>Priority</t>
  </si>
  <si>
    <t>Control Type</t>
  </si>
  <si>
    <t>Description</t>
  </si>
  <si>
    <t>1</t>
  </si>
  <si>
    <t>Elimination</t>
  </si>
  <si>
    <t>Remove the hazard entirely from the workplace.</t>
  </si>
  <si>
    <t>2</t>
  </si>
  <si>
    <t>Substitution</t>
  </si>
  <si>
    <t>Replace the hazard with something less dangerous.</t>
  </si>
  <si>
    <t>3</t>
  </si>
  <si>
    <t>Engineering Controls</t>
  </si>
  <si>
    <t>Isolate people from the hazard through physical means.</t>
  </si>
  <si>
    <t>4</t>
  </si>
  <si>
    <t>Administrative Controls</t>
  </si>
  <si>
    <t>Change the way people work through procedures, training, signage.</t>
  </si>
  <si>
    <t>5</t>
  </si>
  <si>
    <t>PPE</t>
  </si>
  <si>
    <t>Protect individuals with personal protective equipment.</t>
  </si>
  <si>
    <t>RISK ASSESSMENT</t>
  </si>
  <si>
    <t>Ref</t>
  </si>
  <si>
    <t>Hazard</t>
  </si>
  <si>
    <t>Risk Description</t>
  </si>
  <si>
    <t>Persons at Risk</t>
  </si>
  <si>
    <t>Risk Rating</t>
  </si>
  <si>
    <t>Implemented Controls</t>
  </si>
  <si>
    <t>Residual Likelihood</t>
  </si>
  <si>
    <t>Residual Severity</t>
  </si>
  <si>
    <t>Residual Risk</t>
  </si>
  <si>
    <t>Status</t>
  </si>
  <si>
    <t>VT-001</t>
  </si>
  <si>
    <t>Fall between vessels</t>
  </si>
  <si>
    <t>Personnel may fall into the sea during transfer due to vessel movement, loss of balance, or misjudgement, potentially resulting in drowning, hypothermia, or impact injuries.</t>
  </si>
  <si>
    <t>Security Team / Crew</t>
  </si>
  <si>
    <t>Transfer only when Master confirms safe conditions.
Use SOLAS-compliant pilot ladder (certified and inspected before each use).
Maintain three points of contact at all times.
Lifejackets with light and whistle worn by all transferring personnel.
Safety net rigged at transfer point where practicable.
Dedicated safety observer stationed during all transfers.</t>
  </si>
  <si>
    <t>Open</t>
  </si>
  <si>
    <t>VT-002</t>
  </si>
  <si>
    <t>Vessel movement / wake</t>
  </si>
  <si>
    <t>Sudden movement caused by swell, wake, or vessel manoeuvring may result in loss of footing, impact injuries, or falling overboard during transfer.</t>
  </si>
  <si>
    <t>Security Team</t>
  </si>
  <si>
    <t>Master to maintain safe speed and heading during transfer.
Coxswain to position vessel to minimise wake and swell exposure.
Transfer point selected to provide maximum shelter from sea conditions.
Personnel briefed on holding positions and bracing techniques.
Transfer halted if conditions deteriorate.</t>
  </si>
  <si>
    <t>VT-003</t>
  </si>
  <si>
    <t>Poor weather conditions</t>
  </si>
  <si>
    <t>Adverse weather (wind, swell, rain, reduced visibility) may increase transfer instability, reduce grip, and increase the likelihood of falls, injuries, or failed transfers.</t>
  </si>
  <si>
    <t>Weather assessed prior to transfer using forecast and real-time observation.
Go/No-Go criteria established based on wind speed, sea state, and visibility.
Master and Coxswain jointly agree conditions are safe before transfer commences.
Transfer postponed or aborted if conditions exceed agreed thresholds.
Continuous weather monitoring during transfer operations.</t>
  </si>
  <si>
    <t>VT-004</t>
  </si>
  <si>
    <t>Pilot ladder failure / incorrect rigging</t>
  </si>
  <si>
    <t>Improperly rigged or unsecured pilot ladders may fail under load, causing a fall from height into the sea or onto the vessel deck.</t>
  </si>
  <si>
    <t>Pilot ladder inspected before every use and certified to SOLAS standards.
Rigging supervised by competent crew member.
Ladder secured at multiple points with adequate fittings.
Combination ladder arrangement used where freeboard exceeds 9 metres.
Manilla side ropes checked for condition; replaced if frayed or damaged.</t>
  </si>
  <si>
    <t>VT-005</t>
  </si>
  <si>
    <t>Damaged or worn pilot ladder</t>
  </si>
  <si>
    <t>Use of defective or degraded ladders may result in rung or rope failure, leading to serious injury or fatal fall.</t>
  </si>
  <si>
    <t>Pilot ladders subject to routine inspection and maintenance schedule.
Defect reporting procedure in place for all ladder issues.
Spare ladders carried onboard.
Ladder retired from service at any sign of deterioration.
All inspections recorded.</t>
  </si>
  <si>
    <t>VT-006</t>
  </si>
  <si>
    <t>Crushing between vessels</t>
  </si>
  <si>
    <t>Personnel may be crushed between the pilot boat and vessel during close-quarters manoeuvring, causing severe injury or fatality.</t>
  </si>
  <si>
    <t>Fendering maintained between vessels during transfer.
Coxswain trained in close-quarters manoeuvring.
Transfer only when vessels are stable and correctly positioned.
No personnel positioned between vessels during approach.
Designated standoff distance maintained until transfer point confirmed safe.</t>
  </si>
  <si>
    <t>VT-007</t>
  </si>
  <si>
    <t>Inadequate PPE</t>
  </si>
  <si>
    <t>Absence or incorrect use of PPE may result in head injury, drowning, impact injuries, or reduced survivability in the event of a fall overboard.</t>
  </si>
  <si>
    <t>Mandatory PPE: lifejacket with light and whistle, hard hat, non-slip gloves, appropriate footwear.
PPE inspected before every transfer.
PPE training included in pre-deployment preparation.
Personnel not permitted to transfer without full PPE.
Spare PPE maintained onboard.</t>
  </si>
  <si>
    <t>VT-008</t>
  </si>
  <si>
    <t>Fatigue</t>
  </si>
  <si>
    <t>Fatigue may impair balance, coordination, and judgement, increasing the likelihood of missteps, falls, or incorrect decisions during transfer.</t>
  </si>
  <si>
    <t>Crew rest hours monitored and recorded.
Fatigued personnel excluded from transfer operations.
Rotation schedule in place for extended transfer operations.
Pre-transfer fitness declaration required.
Team Leader to assess personnel readiness before each transfer.</t>
  </si>
  <si>
    <t>VT-009</t>
  </si>
  <si>
    <t>Poor communication</t>
  </si>
  <si>
    <t>Miscommunication between vessel, pilot boat, and transferring personnel may result in unsafe positioning, incorrect timing, or personnel being unaware of hazards.</t>
  </si>
  <si>
    <t>Security Team / Crew / Vessel Crew</t>
  </si>
  <si>
    <t>Pre-transfer communication plan established between all parties.
VHF radio check conducted before each transfer.
Standardised hand signals agreed for noisy environments.
Designated communicator on each vessel during transfer.
All personnel briefed on abort signals and procedures.</t>
  </si>
  <si>
    <t>VT-010</t>
  </si>
  <si>
    <t>Inadequate lighting</t>
  </si>
  <si>
    <t>Insufficient lighting during night or low-visibility transfers may prevent safe footing, ladder visibility, or hazard recognition.</t>
  </si>
  <si>
    <t>Adequate lighting rigged at transfer point before night operations.
Portable lighting available as backup.
Transfer area inspected for adequate illumination before commencing.
Personnel equipped with head torches.
Night transfers only conducted when lighting meets minimum safety standards.</t>
  </si>
  <si>
    <t>VT-011</t>
  </si>
  <si>
    <t>Wet or slippery surfaces</t>
  </si>
  <si>
    <t>Wet decks, ladders, or handholds may cause loss of grip, slips, and falls during boarding or disembarkation.</t>
  </si>
  <si>
    <t>Non-slip surfaces maintained on deck and ladder access areas.
Decks cleared of water and debris before transfer.
Anti-slip footwear mandatory.
Grip-enhancing gloves issued for all transfers.
Transfer area assessed for slip hazards before each operation.</t>
  </si>
  <si>
    <t>VT-012</t>
  </si>
  <si>
    <t>Inexperienced or untrained personnel</t>
  </si>
  <si>
    <t>Lack of training or familiarity with transfer procedures may result in unsafe actions, poor judgement, or incorrect use of equipment.</t>
  </si>
  <si>
    <t>All transfer personnel trained and assessed as competent.
New personnel supervised during initial transfers.
Training recorded on the company’s online training platform.
Competence refreshed at defined intervals.
Pre-deployment briefing covers transfer procedures for specific vessel type.</t>
  </si>
  <si>
    <t>VT-013</t>
  </si>
  <si>
    <t>Improper footwear</t>
  </si>
  <si>
    <t>Unsuitable footwear may reduce traction and stability, increasing the risk of slips or falls during transfer.</t>
  </si>
  <si>
    <t>Mandatory safety footwear with non-slip soles for all transfers.
Footwear condition checked during PPE inspection.
Personnel not permitted to transfer in inappropriate footwear.
Footwear specifications included in pre-deployment pack list.</t>
  </si>
  <si>
    <t>VT-014</t>
  </si>
  <si>
    <t>Lack of safety briefing</t>
  </si>
  <si>
    <t>Failure to conduct a pre-transfer briefing may result in personnel being unaware of hazards, emergency actions, or abort criteria.</t>
  </si>
  <si>
    <t>Pre-transfer safety briefing mandatory for all personnel.
Briefing covers hazards, controls, abort criteria, and emergency procedures.
Briefing recorded with attendance list.
Briefing delivered by Team Leader or designated competent person.
Briefing updated for any change in conditions.</t>
  </si>
  <si>
    <t>VT-015</t>
  </si>
  <si>
    <t>Medical emergency during transfer</t>
  </si>
  <si>
    <t>A sudden medical issue (dizziness, collapse, injury) during transfer may lead to falls, delayed rescue, or fatal outcome.</t>
  </si>
  <si>
    <t>First aid kit and trained first aider available at transfer point.
Personnel declare fitness to transfer before each operation.
Medical emergency plan in place including medevac procedures.
Emergency retrieval equipment positioned at transfer point.
All personnel briefed on emergency medical response during pre-transfer briefing.</t>
  </si>
  <si>
    <t>VT-016</t>
  </si>
  <si>
    <t>Inadequate rescue / recovery capability</t>
  </si>
  <si>
    <t>Lack of immediate rescue capability may delay recovery in the event of a fall overboard, increasing the likelihood of drowning or hypothermia.</t>
  </si>
  <si>
    <t>Dedicated man overboard (MOB) rescue plan in place.
Rescue equipment (lifebuoy, throw line, rescue sling) positioned at transfer point.
Designated rescue swimmer or recovery team identified before transfer.
MOB drills conducted regularly.
Rescue boat on standby during all transfer operations.</t>
  </si>
  <si>
    <t>VT-017</t>
  </si>
  <si>
    <t>Incorrect ladder positioning</t>
  </si>
  <si>
    <t>Incorrect ladder height or positioning may cause instability, excessive step height, or poor access, leading to falls or stranding.</t>
  </si>
  <si>
    <t>Ladder positioned and height checked before each transfer.
Ladder placement supervised by competent crew member.
Minimum and maximum freeboard limits defined for pilot ladder use.
Combination arrangement used for high freeboard.
Transfer point selected to provide best access conditions.</t>
  </si>
  <si>
    <t>VT-018</t>
  </si>
  <si>
    <t>Deteriorating weather during transfer</t>
  </si>
  <si>
    <t>Rapidly changing weather conditions may render the transfer unsafe mid-operation, increasing risk of accident or aborted transfer.</t>
  </si>
  <si>
    <t>Continuous weather monitoring during transfer operations.
Designated weather observer appointed during transfer.
Pre-agreed abort criteria understood by all parties.
Alternative shelter or recovery plan in place.
Transfer suspended immediately if conditions exceed thresholds.</t>
  </si>
  <si>
    <t>VT-019</t>
  </si>
  <si>
    <t>Falling or loose equipment</t>
  </si>
  <si>
    <t>Loose or poorly secured equipment may come loose and fall during embarkation, resulting in injuries to personnel below or on the ladder.</t>
  </si>
  <si>
    <t>All equipment secured in bags or containers before transfer.
Equipment passed hand-to-hand or via tag line — never thrown.
Weapons cases secured with lanyards during transfer.
Deck area below ladder cleared of personnel during equipment transfer.
Equipment loading sequence briefed before transfer.</t>
  </si>
  <si>
    <t>VT-020</t>
  </si>
  <si>
    <t>RHIB overloading / swamping</t>
  </si>
  <si>
    <t>Overloading the transfer craft with personnel and equipment may reduce freeboard, increase instability, and risk swamping in swell, potentially causing drowning.</t>
  </si>
  <si>
    <t>Maximum personnel and weight capacity clearly marked on RHIB.
Coxswain responsible for enforcing load limits.
Multiple transfer runs conducted rather than overloading.
Equipment weight estimated before loading.
Sea state factored into load decisions — reduced capacity in higher sea states.</t>
  </si>
  <si>
    <t>VT-021</t>
  </si>
  <si>
    <t>RHIB engine failure during transfer</t>
  </si>
  <si>
    <t>Engine failure during a transfer operation may leave personnel stranded between vessels, drifting, or exposed to collision risk.</t>
  </si>
  <si>
    <t>Pre-use engine checks conducted before every transfer.
Routine maintenance schedule in place for all RHIB engines.
Backup propulsion or oars carried onboard.
VHF and emergency communications available on all craft.
Recovery plan established for disabled RHIB — including tow procedure from mothership.</t>
  </si>
  <si>
    <t>VT-022</t>
  </si>
  <si>
    <t>Vibration — coxswain hand-arm vibration</t>
  </si>
  <si>
    <t>Prolonged RHIB operation in rough conditions may expose coxswains to hand-arm vibration (HAV), leading to vibration white finger or musculoskeletal injury.</t>
  </si>
  <si>
    <t>Coxswain</t>
  </si>
  <si>
    <t>Coxswain rotation in place to limit continuous exposure.
Vibration-dampening gloves available.
Helm and throttle checked for excessive vibration during maintenance.
Coxswains briefed on HAV symptoms and reporting.
Exposure monitored and recorded where operations are frequent or prolonged.</t>
  </si>
  <si>
    <t>VT-023</t>
  </si>
  <si>
    <t>Propeller injury on man overboard</t>
  </si>
  <si>
    <t>A person falling overboard during transfer may be struck by RHIB or vessel propellers, causing severe laceration, amputation, or fatal injury.</t>
  </si>
  <si>
    <t>Engines immediately to neutral/stop on MOB alarm.
Coxswain trained in MOB emergency procedures including propeller awareness.
Kill cord worn by coxswain at all times.
No personnel positioned near stern during approach or departure.
MOB drills include propeller avoidance protocols.</t>
  </si>
  <si>
    <t>VT-024</t>
  </si>
  <si>
    <t>Fire on RHIB / transfer craft</t>
  </si>
  <si>
    <t>Fuel leak, electrical fault, or ignition source on the transfer craft may cause fire, trapping or injuring personnel with limited escape options.</t>
  </si>
  <si>
    <t>Fire extinguisher carried on all transfer craft.
Fuel system inspected for leaks before each use.
No smoking on or near transfer craft.
Electrical systems checked during routine maintenance.
Personnel briefed on craft fire emergency procedures including abandon craft drill.</t>
  </si>
  <si>
    <t>TASK APPROVAL – THIS RISK ASSESSMENT MUST BE REVIEWED AND SIGNED OFF BEFORE OPERATIONS COMMENCE</t>
  </si>
  <si>
    <t>Reviewed by:</t>
  </si>
  <si>
    <t>Signature:</t>
  </si>
  <si>
    <t>Date:</t>
  </si>
  <si>
    <t>Approved by (Group Compliance Director):</t>
  </si>
  <si>
    <t>Briefed to Team –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</si>
</sst>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0"/>
      <color rgb="FF003C72"/>
      <name val="Avenir Next LT Pro"/>
      <charset val="1"/>
    </font>
    <font>
      <b/>
      <sz val="12"/>
      <color rgb="FF003C72"/>
      <name val="Avenir Next LT Pro"/>
      <charset val="1"/>
    </font>
    <font>
      <b/>
      <sz val="9"/>
      <color rgb="FFFFFFFF"/>
      <name val="Aptos"/>
      <charset val="1"/>
    </font>
    <font>
      <b/>
      <sz val="9"/>
      <name val="Aptos"/>
      <charset val="1"/>
    </font>
    <font>
      <b/>
      <sz val="9"/>
      <color rgb="FF9C0006"/>
      <name val="Aptos"/>
      <charset val="1"/>
    </font>
    <font>
      <b/>
      <sz val="9"/>
      <color rgb="FF9C5700"/>
      <name val="Aptos"/>
      <charset val="1"/>
    </font>
    <font>
      <b/>
      <sz val="9"/>
      <color rgb="FF006100"/>
      <name val="Aptos"/>
      <charset val="1"/>
    </font>
    <font>
      <b/>
      <sz val="11"/>
      <color rgb="FF003C72"/>
      <name val="Aptos"/>
      <charset val="1"/>
    </font>
    <font>
      <sz val="9"/>
      <name val="Aptos"/>
      <charset val="1"/>
    </font>
    <font>
      <b/>
      <sz val="8"/>
      <color rgb="FFFFFFFF"/>
      <name val="Aptos"/>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s>
  <cellStyleXfs count="1">
    <xf numFmtId="0" fontId="0" fillId="0" borderId="0"/>
  </cellStyleXfs>
  <cellXfs count="34">
    <xf numFmtId="0" fontId="0" fillId="0" borderId="0" xfId="0"/>
    <xf numFmtId="0" fontId="3" fillId="2" borderId="1" xfId="0" applyFont="1" applyFill="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horizontal="left" vertical="center" wrapText="1"/>
    </xf>
    <xf numFmtId="0" fontId="2" fillId="0" borderId="0" xfId="0" applyFont="1"/>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9"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 fillId="0" borderId="0" xfId="0" applyFont="1"/>
    <xf numFmtId="0" fontId="2" fillId="0" borderId="0" xfId="0" applyFont="1"/>
    <xf numFmtId="0" fontId="9" fillId="0" borderId="0" xfId="0" applyFont="1" applyAlignment="1">
      <alignment horizontal="left" vertical="center" wrapText="1"/>
    </xf>
    <xf numFmtId="0" fontId="9" fillId="0" borderId="1" xfId="0" applyFont="1" applyBorder="1" applyAlignment="1">
      <alignment horizontal="left" vertical="center" wrapText="1"/>
    </xf>
    <xf numFmtId="0" fontId="2" fillId="0" borderId="0" xfId="0" applyFont="1" applyAlignment="1">
      <alignment vertical="center"/>
    </xf>
    <xf numFmtId="0" fontId="3" fillId="2" borderId="2" xfId="0" applyFont="1" applyFill="1" applyBorder="1" applyAlignment="1">
      <alignment horizontal="left" vertical="center" wrapText="1"/>
    </xf>
    <xf numFmtId="0" fontId="0" fillId="0" borderId="0" xfId="0"/>
    <xf numFmtId="0" fontId="1" fillId="0" borderId="0" xfId="0" applyFont="1" applyAlignment="1">
      <alignment vertical="center"/>
    </xf>
    <xf numFmtId="0" fontId="4" fillId="0" borderId="3" xfId="0" applyFont="1" applyBorder="1"/>
    <xf numFmtId="0" fontId="9" fillId="0" borderId="3" xfId="0" applyFont="1" applyBorder="1"/>
    <xf numFmtId="0" fontId="3" fillId="2" borderId="0" xfId="0" applyFont="1" applyFill="1" applyAlignment="1">
      <alignment horizontal="center" vertical="center" wrapText="1"/>
    </xf>
    <xf numFmtId="0" fontId="9" fillId="0" borderId="3" xfId="0" applyFont="1" applyBorder="1" applyAlignment="1">
      <alignment horizontal="left"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cellXfs>
  <cellStyles count="1">
    <cellStyle name="Normal" xfId="0" builtinId="0"/>
  </cellStyles>
  <dxfs count="24">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
      <font>
        <color rgb="FFFFFFFF"/>
      </font>
      <fill>
        <patternFill>
          <bgColor rgb="FFC0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
      <font>
        <color rgb="FFFFC000"/>
      </font>
    </dxf>
    <dxf>
      <font>
        <color rgb="FF00B050"/>
      </font>
    </dxf>
    <dxf>
      <font>
        <color rgb="FFFF0000"/>
      </font>
    </dxf>
    <dxf>
      <font>
        <color rgb="FFFF0000"/>
      </font>
    </dxf>
    <dxf>
      <font>
        <color rgb="FFFFC000"/>
      </font>
    </dxf>
    <dxf>
      <font>
        <color rgb="FF00B050"/>
      </font>
    </dxf>
    <dxf>
      <font>
        <color rgb="FF00B05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414360</xdr:colOff>
      <xdr:row>0</xdr:row>
      <xdr:rowOff>647280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1380960</xdr:colOff>
      <xdr:row>0</xdr:row>
      <xdr:rowOff>647280</xdr:rowOff>
    </xdr:to>
    <xdr:pic>
      <xdr:nvPicPr>
        <xdr:cNvPr id="4" name="Image 1"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1552320</xdr:colOff>
      <xdr:row>0</xdr:row>
      <xdr:rowOff>647280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706680</xdr:colOff>
      <xdr:row>0</xdr:row>
      <xdr:rowOff>647280</xdr:rowOff>
    </xdr:to>
    <xdr:pic>
      <xdr:nvPicPr>
        <xdr:cNvPr id="3" name="Image 1"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0" y="0"/>
          <a:ext cx="1904760" cy="64728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zoomScaleNormal="100" workbookViewId="0">
      <selection activeCell="B7" sqref="B7:D7"/>
    </sheetView>
  </sheetViews>
  <sheetFormatPr defaultColWidth="8.7109375" defaultRowHeight="15" x14ac:dyDescent="0.25"/>
  <cols>
    <col min="1" max="1" width="21.140625" customWidth="1"/>
    <col min="2" max="2" width="30.5703125" customWidth="1"/>
    <col min="3" max="3" width="14.140625" customWidth="1"/>
    <col min="4" max="4" width="68.28515625" customWidth="1"/>
  </cols>
  <sheetData>
    <row r="1" spans="1:6" ht="75.75" customHeight="1" x14ac:dyDescent="0.25">
      <c r="A1" s="25"/>
      <c r="B1" s="25"/>
      <c r="C1" s="25"/>
    </row>
    <row r="2" spans="1:6" ht="26.25" customHeight="1" x14ac:dyDescent="0.25">
      <c r="A2" s="26" t="s">
        <v>38</v>
      </c>
      <c r="B2" s="26"/>
      <c r="C2" s="26"/>
      <c r="D2" s="26"/>
      <c r="E2" s="26"/>
      <c r="F2" s="26"/>
    </row>
    <row r="4" spans="1:6" ht="15.75" customHeight="1" x14ac:dyDescent="0.25">
      <c r="A4" s="2" t="s">
        <v>39</v>
      </c>
    </row>
    <row r="6" spans="1:6" ht="15.75" customHeight="1" x14ac:dyDescent="0.25">
      <c r="A6" s="15" t="s">
        <v>40</v>
      </c>
      <c r="B6" s="3" t="s">
        <v>41</v>
      </c>
      <c r="C6" s="16" t="s">
        <v>42</v>
      </c>
      <c r="D6" s="3" t="s">
        <v>43</v>
      </c>
    </row>
    <row r="7" spans="1:6" ht="38.25" customHeight="1" x14ac:dyDescent="0.25">
      <c r="A7" s="15" t="s">
        <v>44</v>
      </c>
      <c r="B7" s="22" t="s">
        <v>45</v>
      </c>
      <c r="C7" s="22"/>
      <c r="D7" s="22"/>
    </row>
    <row r="8" spans="1:6" ht="15.75" customHeight="1" x14ac:dyDescent="0.25">
      <c r="A8" s="15" t="s">
        <v>34</v>
      </c>
      <c r="B8" s="22" t="s">
        <v>35</v>
      </c>
      <c r="C8" s="22"/>
      <c r="D8" s="22"/>
    </row>
    <row r="9" spans="1:6" ht="15.75" customHeight="1" x14ac:dyDescent="0.25">
      <c r="A9" s="15" t="s">
        <v>46</v>
      </c>
      <c r="B9" s="22" t="s">
        <v>47</v>
      </c>
      <c r="C9" s="22"/>
      <c r="D9" s="22"/>
    </row>
    <row r="10" spans="1:6" ht="15.75" customHeight="1" x14ac:dyDescent="0.25">
      <c r="A10" s="15" t="s">
        <v>30</v>
      </c>
      <c r="B10" s="22" t="s">
        <v>31</v>
      </c>
      <c r="C10" s="22"/>
      <c r="D10" s="22"/>
    </row>
    <row r="11" spans="1:6" ht="30" customHeight="1" x14ac:dyDescent="0.25">
      <c r="A11" s="24" t="s">
        <v>48</v>
      </c>
      <c r="B11" s="22" t="s">
        <v>49</v>
      </c>
      <c r="C11" s="22"/>
      <c r="D11" s="22"/>
    </row>
    <row r="12" spans="1:6" ht="30" customHeight="1" x14ac:dyDescent="0.25">
      <c r="A12" s="24"/>
      <c r="B12" s="22" t="s">
        <v>50</v>
      </c>
      <c r="C12" s="22"/>
      <c r="D12" s="22"/>
    </row>
    <row r="13" spans="1:6" ht="30" customHeight="1" x14ac:dyDescent="0.25">
      <c r="A13" s="24"/>
      <c r="B13" s="22" t="s">
        <v>51</v>
      </c>
      <c r="C13" s="22"/>
      <c r="D13" s="22"/>
    </row>
    <row r="14" spans="1:6" ht="30" customHeight="1" x14ac:dyDescent="0.25">
      <c r="A14" s="24"/>
      <c r="B14" s="22" t="s">
        <v>52</v>
      </c>
      <c r="C14" s="22"/>
      <c r="D14" s="22"/>
    </row>
    <row r="15" spans="1:6" ht="15.75" customHeight="1" x14ac:dyDescent="0.25">
      <c r="A15" s="15" t="s">
        <v>32</v>
      </c>
      <c r="B15" s="22" t="s">
        <v>33</v>
      </c>
      <c r="C15" s="22"/>
      <c r="D15" s="22"/>
    </row>
    <row r="17" spans="1:4" ht="15.75" x14ac:dyDescent="0.25">
      <c r="A17" s="23" t="s">
        <v>53</v>
      </c>
      <c r="B17" s="23"/>
      <c r="C17" s="23"/>
      <c r="D17" s="23"/>
    </row>
    <row r="18" spans="1:4" ht="22.35" customHeight="1" x14ac:dyDescent="0.25">
      <c r="A18" s="21" t="s">
        <v>54</v>
      </c>
      <c r="B18" s="21"/>
      <c r="C18" s="21"/>
      <c r="D18" s="21"/>
    </row>
    <row r="19" spans="1:4" ht="22.35" customHeight="1" x14ac:dyDescent="0.25">
      <c r="A19" s="21" t="s">
        <v>55</v>
      </c>
      <c r="B19" s="21"/>
      <c r="C19" s="21"/>
      <c r="D19" s="21"/>
    </row>
    <row r="20" spans="1:4" ht="22.35" customHeight="1" x14ac:dyDescent="0.25">
      <c r="A20" s="21" t="s">
        <v>56</v>
      </c>
      <c r="B20" s="21"/>
      <c r="C20" s="21"/>
      <c r="D20" s="21"/>
    </row>
    <row r="22" spans="1:4" ht="15.75" x14ac:dyDescent="0.25">
      <c r="A22" s="20" t="s">
        <v>57</v>
      </c>
      <c r="B22" s="20"/>
      <c r="C22" s="20"/>
      <c r="D22" s="20"/>
    </row>
    <row r="23" spans="1:4" ht="60" customHeight="1" x14ac:dyDescent="0.25">
      <c r="A23" s="21" t="s">
        <v>58</v>
      </c>
      <c r="B23" s="21"/>
      <c r="C23" s="21"/>
      <c r="D23" s="21"/>
    </row>
  </sheetData>
  <mergeCells count="18">
    <mergeCell ref="A1:C1"/>
    <mergeCell ref="A2:F2"/>
    <mergeCell ref="B7:D7"/>
    <mergeCell ref="B8:D8"/>
    <mergeCell ref="B9:D9"/>
    <mergeCell ref="B10:D10"/>
    <mergeCell ref="A11:A14"/>
    <mergeCell ref="B11:D11"/>
    <mergeCell ref="B12:D12"/>
    <mergeCell ref="B13:D13"/>
    <mergeCell ref="B14:D14"/>
    <mergeCell ref="A22:D22"/>
    <mergeCell ref="A23:D23"/>
    <mergeCell ref="B15:D15"/>
    <mergeCell ref="A17:D17"/>
    <mergeCell ref="A18:D18"/>
    <mergeCell ref="A19:D19"/>
    <mergeCell ref="A20:D20"/>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9"/>
  <sheetViews>
    <sheetView showGridLines="0" tabSelected="1" topLeftCell="A4" zoomScaleNormal="100" workbookViewId="0">
      <selection activeCell="E5" sqref="E5"/>
    </sheetView>
  </sheetViews>
  <sheetFormatPr defaultColWidth="8.7109375" defaultRowHeight="15" x14ac:dyDescent="0.25"/>
  <cols>
    <col min="1" max="1" width="7.42578125" customWidth="1"/>
    <col min="2" max="2" width="31.140625" customWidth="1"/>
    <col min="3" max="3" width="55.85546875" customWidth="1"/>
    <col min="4" max="4" width="16.42578125" customWidth="1"/>
    <col min="5" max="5" width="10" customWidth="1"/>
    <col min="6" max="6" width="13" customWidth="1"/>
    <col min="7" max="7" width="13.28515625" customWidth="1"/>
    <col min="8" max="8" width="13" customWidth="1"/>
    <col min="9" max="9" width="51.140625" customWidth="1"/>
    <col min="10" max="10" width="13.42578125" customWidth="1"/>
    <col min="11" max="11" width="11.7109375" customWidth="1"/>
    <col min="12" max="13" width="13" customWidth="1"/>
    <col min="14" max="14" width="9.140625" customWidth="1"/>
  </cols>
  <sheetData>
    <row r="1" spans="1:14" ht="75.75" customHeight="1" x14ac:dyDescent="0.25"/>
    <row r="2" spans="1:14" ht="26.25" customHeight="1" x14ac:dyDescent="0.4">
      <c r="A2" s="19" t="s">
        <v>115</v>
      </c>
      <c r="B2" s="19"/>
      <c r="C2" s="19"/>
      <c r="D2" s="19"/>
      <c r="E2" s="19"/>
      <c r="F2" s="19"/>
      <c r="G2" s="19"/>
      <c r="H2" s="19"/>
      <c r="I2" s="19"/>
      <c r="J2" s="19"/>
      <c r="K2" s="19"/>
      <c r="L2" s="19"/>
      <c r="M2" s="19"/>
      <c r="N2" s="19"/>
    </row>
    <row r="4" spans="1:14" ht="24" customHeight="1" x14ac:dyDescent="0.25">
      <c r="A4" s="1" t="s">
        <v>116</v>
      </c>
      <c r="B4" s="1" t="s">
        <v>117</v>
      </c>
      <c r="C4" s="1" t="s">
        <v>118</v>
      </c>
      <c r="D4" s="1" t="s">
        <v>119</v>
      </c>
      <c r="E4" s="1" t="s">
        <v>61</v>
      </c>
      <c r="F4" s="1" t="s">
        <v>62</v>
      </c>
      <c r="G4" s="1" t="s">
        <v>120</v>
      </c>
      <c r="H4" s="1" t="s">
        <v>8</v>
      </c>
      <c r="I4" s="1" t="s">
        <v>121</v>
      </c>
      <c r="J4" s="1" t="s">
        <v>122</v>
      </c>
      <c r="K4" s="1" t="s">
        <v>123</v>
      </c>
      <c r="L4" s="1" t="s">
        <v>124</v>
      </c>
      <c r="M4" s="1" t="s">
        <v>8</v>
      </c>
      <c r="N4" s="1" t="s">
        <v>125</v>
      </c>
    </row>
    <row r="5" spans="1:14" ht="93.75" customHeight="1" x14ac:dyDescent="0.25">
      <c r="A5" s="7" t="s">
        <v>126</v>
      </c>
      <c r="B5" s="13" t="s">
        <v>127</v>
      </c>
      <c r="C5" s="3" t="s">
        <v>128</v>
      </c>
      <c r="D5" s="17" t="s">
        <v>129</v>
      </c>
      <c r="E5" s="7">
        <v>4</v>
      </c>
      <c r="F5" s="7">
        <v>5</v>
      </c>
      <c r="G5" s="7">
        <f t="shared" ref="G5:G28" si="0">E5*F5</f>
        <v>20</v>
      </c>
      <c r="H5" s="7" t="str">
        <f t="shared" ref="H5:H28" si="1">IF(G5&lt;=4,"Low",IF(G5&lt;=9,"Medium",IF(G5&lt;=15,"High","Critical")))</f>
        <v>Critical</v>
      </c>
      <c r="I5" s="3" t="s">
        <v>130</v>
      </c>
      <c r="J5" s="7">
        <v>1</v>
      </c>
      <c r="K5" s="7">
        <v>5</v>
      </c>
      <c r="L5" s="7">
        <f t="shared" ref="L5:L28" si="2">J5*K5</f>
        <v>5</v>
      </c>
      <c r="M5" s="7" t="str">
        <f t="shared" ref="M5:M28" si="3">IF(L5="","",IF(L5&lt;=4,"Low",IF(L5&lt;=9,"Medium",IF(L5&lt;=15,"High","Critical"))))</f>
        <v>Medium</v>
      </c>
      <c r="N5" s="17" t="s">
        <v>131</v>
      </c>
    </row>
    <row r="6" spans="1:14" ht="81" customHeight="1" x14ac:dyDescent="0.25">
      <c r="A6" s="7" t="s">
        <v>132</v>
      </c>
      <c r="B6" s="13" t="s">
        <v>133</v>
      </c>
      <c r="C6" s="3" t="s">
        <v>134</v>
      </c>
      <c r="D6" s="17" t="s">
        <v>135</v>
      </c>
      <c r="E6" s="7">
        <v>4</v>
      </c>
      <c r="F6" s="7">
        <v>5</v>
      </c>
      <c r="G6" s="7">
        <f t="shared" si="0"/>
        <v>20</v>
      </c>
      <c r="H6" s="7" t="str">
        <f t="shared" si="1"/>
        <v>Critical</v>
      </c>
      <c r="I6" s="3" t="s">
        <v>136</v>
      </c>
      <c r="J6" s="7">
        <v>1</v>
      </c>
      <c r="K6" s="7">
        <v>5</v>
      </c>
      <c r="L6" s="7">
        <f t="shared" si="2"/>
        <v>5</v>
      </c>
      <c r="M6" s="7" t="str">
        <f t="shared" si="3"/>
        <v>Medium</v>
      </c>
      <c r="N6" s="17" t="s">
        <v>131</v>
      </c>
    </row>
    <row r="7" spans="1:14" ht="81" customHeight="1" x14ac:dyDescent="0.25">
      <c r="A7" s="7" t="s">
        <v>137</v>
      </c>
      <c r="B7" s="13" t="s">
        <v>138</v>
      </c>
      <c r="C7" s="3" t="s">
        <v>139</v>
      </c>
      <c r="D7" s="17" t="s">
        <v>135</v>
      </c>
      <c r="E7" s="7">
        <v>4</v>
      </c>
      <c r="F7" s="7">
        <v>5</v>
      </c>
      <c r="G7" s="7">
        <f t="shared" si="0"/>
        <v>20</v>
      </c>
      <c r="H7" s="7" t="str">
        <f t="shared" si="1"/>
        <v>Critical</v>
      </c>
      <c r="I7" s="3" t="s">
        <v>140</v>
      </c>
      <c r="J7" s="7">
        <v>1</v>
      </c>
      <c r="K7" s="7">
        <v>5</v>
      </c>
      <c r="L7" s="7">
        <f t="shared" si="2"/>
        <v>5</v>
      </c>
      <c r="M7" s="7" t="str">
        <f t="shared" si="3"/>
        <v>Medium</v>
      </c>
      <c r="N7" s="17" t="s">
        <v>131</v>
      </c>
    </row>
    <row r="8" spans="1:14" ht="81" customHeight="1" x14ac:dyDescent="0.25">
      <c r="A8" s="7" t="s">
        <v>141</v>
      </c>
      <c r="B8" s="13" t="s">
        <v>142</v>
      </c>
      <c r="C8" s="3" t="s">
        <v>143</v>
      </c>
      <c r="D8" s="17" t="s">
        <v>129</v>
      </c>
      <c r="E8" s="7">
        <v>3</v>
      </c>
      <c r="F8" s="7">
        <v>5</v>
      </c>
      <c r="G8" s="7">
        <f t="shared" si="0"/>
        <v>15</v>
      </c>
      <c r="H8" s="7" t="str">
        <f t="shared" si="1"/>
        <v>High</v>
      </c>
      <c r="I8" s="3" t="s">
        <v>144</v>
      </c>
      <c r="J8" s="7">
        <v>1</v>
      </c>
      <c r="K8" s="7">
        <v>5</v>
      </c>
      <c r="L8" s="7">
        <f t="shared" si="2"/>
        <v>5</v>
      </c>
      <c r="M8" s="7" t="str">
        <f t="shared" si="3"/>
        <v>Medium</v>
      </c>
      <c r="N8" s="17" t="s">
        <v>131</v>
      </c>
    </row>
    <row r="9" spans="1:14" ht="81" customHeight="1" x14ac:dyDescent="0.25">
      <c r="A9" s="7" t="s">
        <v>145</v>
      </c>
      <c r="B9" s="13" t="s">
        <v>146</v>
      </c>
      <c r="C9" s="3" t="s">
        <v>147</v>
      </c>
      <c r="D9" s="17" t="s">
        <v>129</v>
      </c>
      <c r="E9" s="7">
        <v>3</v>
      </c>
      <c r="F9" s="7">
        <v>5</v>
      </c>
      <c r="G9" s="7">
        <f t="shared" si="0"/>
        <v>15</v>
      </c>
      <c r="H9" s="7" t="str">
        <f t="shared" si="1"/>
        <v>High</v>
      </c>
      <c r="I9" s="3" t="s">
        <v>148</v>
      </c>
      <c r="J9" s="7">
        <v>1</v>
      </c>
      <c r="K9" s="7">
        <v>5</v>
      </c>
      <c r="L9" s="7">
        <f t="shared" si="2"/>
        <v>5</v>
      </c>
      <c r="M9" s="7" t="str">
        <f t="shared" si="3"/>
        <v>Medium</v>
      </c>
      <c r="N9" s="17" t="s">
        <v>131</v>
      </c>
    </row>
    <row r="10" spans="1:14" ht="81" customHeight="1" x14ac:dyDescent="0.25">
      <c r="A10" s="7" t="s">
        <v>149</v>
      </c>
      <c r="B10" s="13" t="s">
        <v>150</v>
      </c>
      <c r="C10" s="3" t="s">
        <v>151</v>
      </c>
      <c r="D10" s="17" t="s">
        <v>129</v>
      </c>
      <c r="E10" s="7">
        <v>3</v>
      </c>
      <c r="F10" s="7">
        <v>5</v>
      </c>
      <c r="G10" s="7">
        <f t="shared" si="0"/>
        <v>15</v>
      </c>
      <c r="H10" s="7" t="str">
        <f t="shared" si="1"/>
        <v>High</v>
      </c>
      <c r="I10" s="3" t="s">
        <v>152</v>
      </c>
      <c r="J10" s="7">
        <v>1</v>
      </c>
      <c r="K10" s="7">
        <v>5</v>
      </c>
      <c r="L10" s="7">
        <f t="shared" si="2"/>
        <v>5</v>
      </c>
      <c r="M10" s="7" t="str">
        <f t="shared" si="3"/>
        <v>Medium</v>
      </c>
      <c r="N10" s="17" t="s">
        <v>131</v>
      </c>
    </row>
    <row r="11" spans="1:14" ht="81" customHeight="1" x14ac:dyDescent="0.25">
      <c r="A11" s="7" t="s">
        <v>153</v>
      </c>
      <c r="B11" s="13" t="s">
        <v>154</v>
      </c>
      <c r="C11" s="3" t="s">
        <v>155</v>
      </c>
      <c r="D11" s="17" t="s">
        <v>135</v>
      </c>
      <c r="E11" s="7">
        <v>4</v>
      </c>
      <c r="F11" s="7">
        <v>5</v>
      </c>
      <c r="G11" s="7">
        <f t="shared" si="0"/>
        <v>20</v>
      </c>
      <c r="H11" s="7" t="str">
        <f t="shared" si="1"/>
        <v>Critical</v>
      </c>
      <c r="I11" s="3" t="s">
        <v>156</v>
      </c>
      <c r="J11" s="7">
        <v>1</v>
      </c>
      <c r="K11" s="7">
        <v>5</v>
      </c>
      <c r="L11" s="7">
        <f t="shared" si="2"/>
        <v>5</v>
      </c>
      <c r="M11" s="7" t="str">
        <f t="shared" si="3"/>
        <v>Medium</v>
      </c>
      <c r="N11" s="17" t="s">
        <v>131</v>
      </c>
    </row>
    <row r="12" spans="1:14" ht="81" customHeight="1" x14ac:dyDescent="0.25">
      <c r="A12" s="7" t="s">
        <v>157</v>
      </c>
      <c r="B12" s="13" t="s">
        <v>158</v>
      </c>
      <c r="C12" s="3" t="s">
        <v>159</v>
      </c>
      <c r="D12" s="17" t="s">
        <v>129</v>
      </c>
      <c r="E12" s="7">
        <v>3</v>
      </c>
      <c r="F12" s="7">
        <v>5</v>
      </c>
      <c r="G12" s="7">
        <f t="shared" si="0"/>
        <v>15</v>
      </c>
      <c r="H12" s="7" t="str">
        <f t="shared" si="1"/>
        <v>High</v>
      </c>
      <c r="I12" s="3" t="s">
        <v>160</v>
      </c>
      <c r="J12" s="7">
        <v>1</v>
      </c>
      <c r="K12" s="7">
        <v>5</v>
      </c>
      <c r="L12" s="7">
        <f t="shared" si="2"/>
        <v>5</v>
      </c>
      <c r="M12" s="7" t="str">
        <f t="shared" si="3"/>
        <v>Medium</v>
      </c>
      <c r="N12" s="17" t="s">
        <v>131</v>
      </c>
    </row>
    <row r="13" spans="1:14" ht="81" customHeight="1" x14ac:dyDescent="0.25">
      <c r="A13" s="7" t="s">
        <v>161</v>
      </c>
      <c r="B13" s="13" t="s">
        <v>162</v>
      </c>
      <c r="C13" s="3" t="s">
        <v>163</v>
      </c>
      <c r="D13" s="17" t="s">
        <v>164</v>
      </c>
      <c r="E13" s="7">
        <v>2</v>
      </c>
      <c r="F13" s="7">
        <v>5</v>
      </c>
      <c r="G13" s="7">
        <f t="shared" si="0"/>
        <v>10</v>
      </c>
      <c r="H13" s="7" t="str">
        <f t="shared" si="1"/>
        <v>High</v>
      </c>
      <c r="I13" s="3" t="s">
        <v>165</v>
      </c>
      <c r="J13" s="7">
        <v>1</v>
      </c>
      <c r="K13" s="7">
        <v>5</v>
      </c>
      <c r="L13" s="7">
        <f t="shared" si="2"/>
        <v>5</v>
      </c>
      <c r="M13" s="7" t="str">
        <f t="shared" si="3"/>
        <v>Medium</v>
      </c>
      <c r="N13" s="17" t="s">
        <v>131</v>
      </c>
    </row>
    <row r="14" spans="1:14" ht="81" customHeight="1" x14ac:dyDescent="0.25">
      <c r="A14" s="7" t="s">
        <v>166</v>
      </c>
      <c r="B14" s="13" t="s">
        <v>167</v>
      </c>
      <c r="C14" s="3" t="s">
        <v>168</v>
      </c>
      <c r="D14" s="17" t="s">
        <v>129</v>
      </c>
      <c r="E14" s="7">
        <v>2</v>
      </c>
      <c r="F14" s="7">
        <v>5</v>
      </c>
      <c r="G14" s="7">
        <f t="shared" si="0"/>
        <v>10</v>
      </c>
      <c r="H14" s="7" t="str">
        <f t="shared" si="1"/>
        <v>High</v>
      </c>
      <c r="I14" s="3" t="s">
        <v>169</v>
      </c>
      <c r="J14" s="7">
        <v>1</v>
      </c>
      <c r="K14" s="7">
        <v>5</v>
      </c>
      <c r="L14" s="7">
        <f t="shared" si="2"/>
        <v>5</v>
      </c>
      <c r="M14" s="7" t="str">
        <f t="shared" si="3"/>
        <v>Medium</v>
      </c>
      <c r="N14" s="17" t="s">
        <v>131</v>
      </c>
    </row>
    <row r="15" spans="1:14" ht="81" customHeight="1" x14ac:dyDescent="0.25">
      <c r="A15" s="7" t="s">
        <v>170</v>
      </c>
      <c r="B15" s="13" t="s">
        <v>171</v>
      </c>
      <c r="C15" s="3" t="s">
        <v>172</v>
      </c>
      <c r="D15" s="17" t="s">
        <v>129</v>
      </c>
      <c r="E15" s="7">
        <v>3</v>
      </c>
      <c r="F15" s="7">
        <v>5</v>
      </c>
      <c r="G15" s="7">
        <f t="shared" si="0"/>
        <v>15</v>
      </c>
      <c r="H15" s="7" t="str">
        <f t="shared" si="1"/>
        <v>High</v>
      </c>
      <c r="I15" s="3" t="s">
        <v>173</v>
      </c>
      <c r="J15" s="7">
        <v>1</v>
      </c>
      <c r="K15" s="7">
        <v>5</v>
      </c>
      <c r="L15" s="7">
        <f t="shared" si="2"/>
        <v>5</v>
      </c>
      <c r="M15" s="7" t="str">
        <f t="shared" si="3"/>
        <v>Medium</v>
      </c>
      <c r="N15" s="17" t="s">
        <v>131</v>
      </c>
    </row>
    <row r="16" spans="1:14" ht="81" customHeight="1" x14ac:dyDescent="0.25">
      <c r="A16" s="7" t="s">
        <v>174</v>
      </c>
      <c r="B16" s="13" t="s">
        <v>175</v>
      </c>
      <c r="C16" s="3" t="s">
        <v>176</v>
      </c>
      <c r="D16" s="17" t="s">
        <v>135</v>
      </c>
      <c r="E16" s="7">
        <v>3</v>
      </c>
      <c r="F16" s="7">
        <v>5</v>
      </c>
      <c r="G16" s="7">
        <f t="shared" si="0"/>
        <v>15</v>
      </c>
      <c r="H16" s="7" t="str">
        <f t="shared" si="1"/>
        <v>High</v>
      </c>
      <c r="I16" s="3" t="s">
        <v>177</v>
      </c>
      <c r="J16" s="7">
        <v>1</v>
      </c>
      <c r="K16" s="7">
        <v>5</v>
      </c>
      <c r="L16" s="7">
        <f t="shared" si="2"/>
        <v>5</v>
      </c>
      <c r="M16" s="7" t="str">
        <f t="shared" si="3"/>
        <v>Medium</v>
      </c>
      <c r="N16" s="17" t="s">
        <v>131</v>
      </c>
    </row>
    <row r="17" spans="1:14" ht="67.5" customHeight="1" x14ac:dyDescent="0.25">
      <c r="A17" s="7" t="s">
        <v>178</v>
      </c>
      <c r="B17" s="13" t="s">
        <v>179</v>
      </c>
      <c r="C17" s="3" t="s">
        <v>180</v>
      </c>
      <c r="D17" s="17" t="s">
        <v>135</v>
      </c>
      <c r="E17" s="7">
        <v>3</v>
      </c>
      <c r="F17" s="7">
        <v>5</v>
      </c>
      <c r="G17" s="7">
        <f t="shared" si="0"/>
        <v>15</v>
      </c>
      <c r="H17" s="7" t="str">
        <f t="shared" si="1"/>
        <v>High</v>
      </c>
      <c r="I17" s="3" t="s">
        <v>181</v>
      </c>
      <c r="J17" s="7">
        <v>1</v>
      </c>
      <c r="K17" s="7">
        <v>4</v>
      </c>
      <c r="L17" s="7">
        <f t="shared" si="2"/>
        <v>4</v>
      </c>
      <c r="M17" s="7" t="str">
        <f t="shared" si="3"/>
        <v>Low</v>
      </c>
      <c r="N17" s="17" t="s">
        <v>131</v>
      </c>
    </row>
    <row r="18" spans="1:14" ht="81" customHeight="1" x14ac:dyDescent="0.25">
      <c r="A18" s="7" t="s">
        <v>182</v>
      </c>
      <c r="B18" s="13" t="s">
        <v>183</v>
      </c>
      <c r="C18" s="3" t="s">
        <v>184</v>
      </c>
      <c r="D18" s="17" t="s">
        <v>129</v>
      </c>
      <c r="E18" s="7">
        <v>3</v>
      </c>
      <c r="F18" s="7">
        <v>5</v>
      </c>
      <c r="G18" s="7">
        <f t="shared" si="0"/>
        <v>15</v>
      </c>
      <c r="H18" s="7" t="str">
        <f t="shared" si="1"/>
        <v>High</v>
      </c>
      <c r="I18" s="3" t="s">
        <v>185</v>
      </c>
      <c r="J18" s="7">
        <v>1</v>
      </c>
      <c r="K18" s="7">
        <v>5</v>
      </c>
      <c r="L18" s="7">
        <f t="shared" si="2"/>
        <v>5</v>
      </c>
      <c r="M18" s="7" t="str">
        <f t="shared" si="3"/>
        <v>Medium</v>
      </c>
      <c r="N18" s="17" t="s">
        <v>131</v>
      </c>
    </row>
    <row r="19" spans="1:14" ht="81" customHeight="1" x14ac:dyDescent="0.25">
      <c r="A19" s="7" t="s">
        <v>186</v>
      </c>
      <c r="B19" s="13" t="s">
        <v>187</v>
      </c>
      <c r="C19" s="3" t="s">
        <v>188</v>
      </c>
      <c r="D19" s="17" t="s">
        <v>135</v>
      </c>
      <c r="E19" s="7">
        <v>3</v>
      </c>
      <c r="F19" s="7">
        <v>5</v>
      </c>
      <c r="G19" s="7">
        <f t="shared" si="0"/>
        <v>15</v>
      </c>
      <c r="H19" s="7" t="str">
        <f t="shared" si="1"/>
        <v>High</v>
      </c>
      <c r="I19" s="3" t="s">
        <v>189</v>
      </c>
      <c r="J19" s="7">
        <v>1</v>
      </c>
      <c r="K19" s="7">
        <v>5</v>
      </c>
      <c r="L19" s="7">
        <f t="shared" si="2"/>
        <v>5</v>
      </c>
      <c r="M19" s="7" t="str">
        <f t="shared" si="3"/>
        <v>Medium</v>
      </c>
      <c r="N19" s="17" t="s">
        <v>131</v>
      </c>
    </row>
    <row r="20" spans="1:14" ht="81" customHeight="1" x14ac:dyDescent="0.25">
      <c r="A20" s="7" t="s">
        <v>190</v>
      </c>
      <c r="B20" s="13" t="s">
        <v>191</v>
      </c>
      <c r="C20" s="3" t="s">
        <v>192</v>
      </c>
      <c r="D20" s="17" t="s">
        <v>129</v>
      </c>
      <c r="E20" s="7">
        <v>2</v>
      </c>
      <c r="F20" s="7">
        <v>5</v>
      </c>
      <c r="G20" s="7">
        <f t="shared" si="0"/>
        <v>10</v>
      </c>
      <c r="H20" s="7" t="str">
        <f t="shared" si="1"/>
        <v>High</v>
      </c>
      <c r="I20" s="3" t="s">
        <v>193</v>
      </c>
      <c r="J20" s="7">
        <v>1</v>
      </c>
      <c r="K20" s="7">
        <v>5</v>
      </c>
      <c r="L20" s="7">
        <f t="shared" si="2"/>
        <v>5</v>
      </c>
      <c r="M20" s="7" t="str">
        <f t="shared" si="3"/>
        <v>Medium</v>
      </c>
      <c r="N20" s="17" t="s">
        <v>131</v>
      </c>
    </row>
    <row r="21" spans="1:14" ht="81" customHeight="1" x14ac:dyDescent="0.25">
      <c r="A21" s="7" t="s">
        <v>194</v>
      </c>
      <c r="B21" s="13" t="s">
        <v>195</v>
      </c>
      <c r="C21" s="3" t="s">
        <v>196</v>
      </c>
      <c r="D21" s="17" t="s">
        <v>129</v>
      </c>
      <c r="E21" s="7">
        <v>3</v>
      </c>
      <c r="F21" s="7">
        <v>5</v>
      </c>
      <c r="G21" s="7">
        <f t="shared" si="0"/>
        <v>15</v>
      </c>
      <c r="H21" s="7" t="str">
        <f t="shared" si="1"/>
        <v>High</v>
      </c>
      <c r="I21" s="3" t="s">
        <v>197</v>
      </c>
      <c r="J21" s="7">
        <v>1</v>
      </c>
      <c r="K21" s="7">
        <v>5</v>
      </c>
      <c r="L21" s="7">
        <f t="shared" si="2"/>
        <v>5</v>
      </c>
      <c r="M21" s="7" t="str">
        <f t="shared" si="3"/>
        <v>Medium</v>
      </c>
      <c r="N21" s="17" t="s">
        <v>131</v>
      </c>
    </row>
    <row r="22" spans="1:14" ht="81" customHeight="1" x14ac:dyDescent="0.25">
      <c r="A22" s="7" t="s">
        <v>198</v>
      </c>
      <c r="B22" s="13" t="s">
        <v>199</v>
      </c>
      <c r="C22" s="3" t="s">
        <v>200</v>
      </c>
      <c r="D22" s="17" t="s">
        <v>129</v>
      </c>
      <c r="E22" s="7">
        <v>3</v>
      </c>
      <c r="F22" s="7">
        <v>5</v>
      </c>
      <c r="G22" s="7">
        <f t="shared" si="0"/>
        <v>15</v>
      </c>
      <c r="H22" s="7" t="str">
        <f t="shared" si="1"/>
        <v>High</v>
      </c>
      <c r="I22" s="3" t="s">
        <v>201</v>
      </c>
      <c r="J22" s="7">
        <v>1</v>
      </c>
      <c r="K22" s="7">
        <v>5</v>
      </c>
      <c r="L22" s="7">
        <f t="shared" si="2"/>
        <v>5</v>
      </c>
      <c r="M22" s="7" t="str">
        <f t="shared" si="3"/>
        <v>Medium</v>
      </c>
      <c r="N22" s="17" t="s">
        <v>131</v>
      </c>
    </row>
    <row r="23" spans="1:14" ht="81" customHeight="1" x14ac:dyDescent="0.25">
      <c r="A23" s="7" t="s">
        <v>202</v>
      </c>
      <c r="B23" s="13" t="s">
        <v>203</v>
      </c>
      <c r="C23" s="3" t="s">
        <v>204</v>
      </c>
      <c r="D23" s="17" t="s">
        <v>129</v>
      </c>
      <c r="E23" s="7">
        <v>4</v>
      </c>
      <c r="F23" s="7">
        <v>5</v>
      </c>
      <c r="G23" s="7">
        <f t="shared" si="0"/>
        <v>20</v>
      </c>
      <c r="H23" s="7" t="str">
        <f t="shared" si="1"/>
        <v>Critical</v>
      </c>
      <c r="I23" s="3" t="s">
        <v>205</v>
      </c>
      <c r="J23" s="7">
        <v>1</v>
      </c>
      <c r="K23" s="7">
        <v>5</v>
      </c>
      <c r="L23" s="7">
        <f t="shared" si="2"/>
        <v>5</v>
      </c>
      <c r="M23" s="7" t="str">
        <f t="shared" si="3"/>
        <v>Medium</v>
      </c>
      <c r="N23" s="17" t="s">
        <v>131</v>
      </c>
    </row>
    <row r="24" spans="1:14" ht="81" customHeight="1" x14ac:dyDescent="0.25">
      <c r="A24" s="7" t="s">
        <v>206</v>
      </c>
      <c r="B24" s="13" t="s">
        <v>207</v>
      </c>
      <c r="C24" s="3" t="s">
        <v>208</v>
      </c>
      <c r="D24" s="17" t="s">
        <v>129</v>
      </c>
      <c r="E24" s="7">
        <v>3</v>
      </c>
      <c r="F24" s="7">
        <v>5</v>
      </c>
      <c r="G24" s="7">
        <f t="shared" si="0"/>
        <v>15</v>
      </c>
      <c r="H24" s="7" t="str">
        <f t="shared" si="1"/>
        <v>High</v>
      </c>
      <c r="I24" s="3" t="s">
        <v>209</v>
      </c>
      <c r="J24" s="7">
        <v>1</v>
      </c>
      <c r="K24" s="7">
        <v>5</v>
      </c>
      <c r="L24" s="7">
        <f t="shared" si="2"/>
        <v>5</v>
      </c>
      <c r="M24" s="7" t="str">
        <f t="shared" si="3"/>
        <v>Medium</v>
      </c>
      <c r="N24" s="17" t="s">
        <v>131</v>
      </c>
    </row>
    <row r="25" spans="1:14" ht="81" customHeight="1" x14ac:dyDescent="0.25">
      <c r="A25" s="7" t="s">
        <v>210</v>
      </c>
      <c r="B25" s="13" t="s">
        <v>211</v>
      </c>
      <c r="C25" s="3" t="s">
        <v>212</v>
      </c>
      <c r="D25" s="17" t="s">
        <v>129</v>
      </c>
      <c r="E25" s="7">
        <v>2</v>
      </c>
      <c r="F25" s="7">
        <v>5</v>
      </c>
      <c r="G25" s="7">
        <f t="shared" si="0"/>
        <v>10</v>
      </c>
      <c r="H25" s="7" t="str">
        <f t="shared" si="1"/>
        <v>High</v>
      </c>
      <c r="I25" s="3" t="s">
        <v>213</v>
      </c>
      <c r="J25" s="7">
        <v>1</v>
      </c>
      <c r="K25" s="7">
        <v>5</v>
      </c>
      <c r="L25" s="7">
        <f t="shared" si="2"/>
        <v>5</v>
      </c>
      <c r="M25" s="7" t="str">
        <f t="shared" si="3"/>
        <v>Medium</v>
      </c>
      <c r="N25" s="17" t="s">
        <v>131</v>
      </c>
    </row>
    <row r="26" spans="1:14" ht="81" customHeight="1" x14ac:dyDescent="0.25">
      <c r="A26" s="7" t="s">
        <v>214</v>
      </c>
      <c r="B26" s="13" t="s">
        <v>215</v>
      </c>
      <c r="C26" s="3" t="s">
        <v>216</v>
      </c>
      <c r="D26" s="17" t="s">
        <v>217</v>
      </c>
      <c r="E26" s="7">
        <v>3</v>
      </c>
      <c r="F26" s="7">
        <v>4</v>
      </c>
      <c r="G26" s="7">
        <f t="shared" si="0"/>
        <v>12</v>
      </c>
      <c r="H26" s="7" t="str">
        <f t="shared" si="1"/>
        <v>High</v>
      </c>
      <c r="I26" s="3" t="s">
        <v>218</v>
      </c>
      <c r="J26" s="7">
        <v>1</v>
      </c>
      <c r="K26" s="7">
        <v>4</v>
      </c>
      <c r="L26" s="7">
        <f t="shared" si="2"/>
        <v>4</v>
      </c>
      <c r="M26" s="7" t="str">
        <f t="shared" si="3"/>
        <v>Low</v>
      </c>
      <c r="N26" s="17" t="s">
        <v>131</v>
      </c>
    </row>
    <row r="27" spans="1:14" ht="81" customHeight="1" x14ac:dyDescent="0.25">
      <c r="A27" s="7" t="s">
        <v>219</v>
      </c>
      <c r="B27" s="13" t="s">
        <v>220</v>
      </c>
      <c r="C27" s="3" t="s">
        <v>221</v>
      </c>
      <c r="D27" s="17" t="s">
        <v>129</v>
      </c>
      <c r="E27" s="7">
        <v>2</v>
      </c>
      <c r="F27" s="7">
        <v>5</v>
      </c>
      <c r="G27" s="7">
        <f t="shared" si="0"/>
        <v>10</v>
      </c>
      <c r="H27" s="7" t="str">
        <f t="shared" si="1"/>
        <v>High</v>
      </c>
      <c r="I27" s="3" t="s">
        <v>222</v>
      </c>
      <c r="J27" s="7">
        <v>1</v>
      </c>
      <c r="K27" s="7">
        <v>5</v>
      </c>
      <c r="L27" s="7">
        <f t="shared" si="2"/>
        <v>5</v>
      </c>
      <c r="M27" s="7" t="str">
        <f t="shared" si="3"/>
        <v>Medium</v>
      </c>
      <c r="N27" s="17" t="s">
        <v>131</v>
      </c>
    </row>
    <row r="28" spans="1:14" ht="81" customHeight="1" x14ac:dyDescent="0.25">
      <c r="A28" s="7" t="s">
        <v>223</v>
      </c>
      <c r="B28" s="13" t="s">
        <v>224</v>
      </c>
      <c r="C28" s="3" t="s">
        <v>225</v>
      </c>
      <c r="D28" s="17" t="s">
        <v>129</v>
      </c>
      <c r="E28" s="7">
        <v>2</v>
      </c>
      <c r="F28" s="7">
        <v>5</v>
      </c>
      <c r="G28" s="7">
        <f t="shared" si="0"/>
        <v>10</v>
      </c>
      <c r="H28" s="7" t="str">
        <f t="shared" si="1"/>
        <v>High</v>
      </c>
      <c r="I28" s="3" t="s">
        <v>226</v>
      </c>
      <c r="J28" s="7">
        <v>1</v>
      </c>
      <c r="K28" s="7">
        <v>5</v>
      </c>
      <c r="L28" s="7">
        <f t="shared" si="2"/>
        <v>5</v>
      </c>
      <c r="M28" s="7" t="str">
        <f t="shared" si="3"/>
        <v>Medium</v>
      </c>
      <c r="N28" s="17" t="s">
        <v>131</v>
      </c>
    </row>
    <row r="31" spans="1:14" ht="15" customHeight="1" x14ac:dyDescent="0.25">
      <c r="A31" s="29" t="s">
        <v>227</v>
      </c>
      <c r="B31" s="29"/>
      <c r="C31" s="29"/>
      <c r="D31" s="29"/>
      <c r="E31" s="29"/>
      <c r="F31" s="29"/>
      <c r="G31" s="29"/>
      <c r="H31" s="29"/>
      <c r="I31" s="29"/>
      <c r="J31" s="29"/>
      <c r="K31" s="29"/>
      <c r="L31" s="29"/>
      <c r="M31" s="29"/>
      <c r="N31" s="29"/>
    </row>
    <row r="33" spans="1:8" x14ac:dyDescent="0.25">
      <c r="A33" s="27" t="s">
        <v>228</v>
      </c>
      <c r="B33" s="27"/>
      <c r="C33" s="27"/>
      <c r="D33" s="28"/>
      <c r="E33" s="28"/>
      <c r="F33" s="28"/>
      <c r="G33" s="28"/>
      <c r="H33" s="28"/>
    </row>
    <row r="34" spans="1:8" x14ac:dyDescent="0.25">
      <c r="A34" s="27" t="s">
        <v>229</v>
      </c>
      <c r="B34" s="27"/>
      <c r="C34" s="27"/>
      <c r="D34" s="28"/>
      <c r="E34" s="28"/>
      <c r="F34" s="28"/>
      <c r="G34" s="28"/>
      <c r="H34" s="28"/>
    </row>
    <row r="35" spans="1:8" x14ac:dyDescent="0.25">
      <c r="A35" s="27" t="s">
        <v>230</v>
      </c>
      <c r="B35" s="27"/>
      <c r="C35" s="27"/>
      <c r="D35" s="28"/>
      <c r="E35" s="28"/>
      <c r="F35" s="28"/>
      <c r="G35" s="28"/>
      <c r="H35" s="28"/>
    </row>
    <row r="36" spans="1:8" x14ac:dyDescent="0.25">
      <c r="A36" s="27" t="s">
        <v>231</v>
      </c>
      <c r="B36" s="27"/>
      <c r="C36" s="27"/>
      <c r="D36" s="28"/>
      <c r="E36" s="28"/>
      <c r="F36" s="28"/>
      <c r="G36" s="28"/>
      <c r="H36" s="28"/>
    </row>
    <row r="37" spans="1:8" x14ac:dyDescent="0.25">
      <c r="A37" s="27" t="s">
        <v>229</v>
      </c>
      <c r="B37" s="27"/>
      <c r="C37" s="27"/>
      <c r="D37" s="28"/>
      <c r="E37" s="28"/>
      <c r="F37" s="28"/>
      <c r="G37" s="28"/>
      <c r="H37" s="28"/>
    </row>
    <row r="38" spans="1:8" x14ac:dyDescent="0.25">
      <c r="A38" s="27" t="s">
        <v>230</v>
      </c>
      <c r="B38" s="27"/>
      <c r="C38" s="27"/>
      <c r="D38" s="28"/>
      <c r="E38" s="28"/>
      <c r="F38" s="28"/>
      <c r="G38" s="28"/>
      <c r="H38" s="28"/>
    </row>
    <row r="39" spans="1:8" x14ac:dyDescent="0.25">
      <c r="A39" s="27" t="s">
        <v>232</v>
      </c>
      <c r="B39" s="27"/>
      <c r="C39" s="27"/>
      <c r="D39" s="28"/>
      <c r="E39" s="28"/>
      <c r="F39" s="28"/>
      <c r="G39" s="28"/>
      <c r="H39" s="28"/>
    </row>
  </sheetData>
  <mergeCells count="16">
    <mergeCell ref="A2:N2"/>
    <mergeCell ref="A31:N31"/>
    <mergeCell ref="A33:C33"/>
    <mergeCell ref="D33:H33"/>
    <mergeCell ref="A34:C34"/>
    <mergeCell ref="D34:H34"/>
    <mergeCell ref="A38:C38"/>
    <mergeCell ref="D38:H38"/>
    <mergeCell ref="A39:C39"/>
    <mergeCell ref="D39:H39"/>
    <mergeCell ref="A35:C35"/>
    <mergeCell ref="D35:H35"/>
    <mergeCell ref="A36:C36"/>
    <mergeCell ref="D36:H36"/>
    <mergeCell ref="A37:C37"/>
    <mergeCell ref="D37:H37"/>
  </mergeCells>
  <conditionalFormatting sqref="E5:F28">
    <cfRule type="cellIs" dxfId="23" priority="2" operator="equal">
      <formula>1</formula>
    </cfRule>
    <cfRule type="cellIs" dxfId="22" priority="3" operator="equal">
      <formula>2</formula>
    </cfRule>
    <cfRule type="cellIs" dxfId="21" priority="4" operator="equal">
      <formula>3</formula>
    </cfRule>
    <cfRule type="cellIs" dxfId="20" priority="5" operator="equal">
      <formula>4</formula>
    </cfRule>
    <cfRule type="cellIs" dxfId="19" priority="6" operator="equal">
      <formula>5</formula>
    </cfRule>
  </conditionalFormatting>
  <conditionalFormatting sqref="G5:G28">
    <cfRule type="cellIs" dxfId="18" priority="12" operator="lessThanOrEqual">
      <formula>4</formula>
    </cfRule>
    <cfRule type="cellIs" dxfId="17" priority="13" operator="between">
      <formula>5</formula>
      <formula>9</formula>
    </cfRule>
    <cfRule type="cellIs" dxfId="16" priority="14" operator="greaterThanOrEqual">
      <formula>10</formula>
    </cfRule>
  </conditionalFormatting>
  <conditionalFormatting sqref="H5:H28">
    <cfRule type="cellIs" dxfId="15" priority="18" operator="equal">
      <formula>"Low"</formula>
    </cfRule>
    <cfRule type="cellIs" dxfId="14" priority="19" operator="equal">
      <formula>"Medium"</formula>
    </cfRule>
    <cfRule type="cellIs" dxfId="13" priority="20" operator="equal">
      <formula>"High"</formula>
    </cfRule>
    <cfRule type="cellIs" dxfId="12" priority="21" operator="equal">
      <formula>"Critical"</formula>
    </cfRule>
  </conditionalFormatting>
  <conditionalFormatting sqref="J5:K28">
    <cfRule type="cellIs" dxfId="11" priority="7" operator="equal">
      <formula>1</formula>
    </cfRule>
    <cfRule type="cellIs" dxfId="10" priority="8" operator="equal">
      <formula>2</formula>
    </cfRule>
    <cfRule type="cellIs" dxfId="9" priority="9" operator="equal">
      <formula>3</formula>
    </cfRule>
    <cfRule type="cellIs" dxfId="8" priority="10" operator="equal">
      <formula>4</formula>
    </cfRule>
    <cfRule type="cellIs" dxfId="7" priority="11" operator="equal">
      <formula>5</formula>
    </cfRule>
  </conditionalFormatting>
  <conditionalFormatting sqref="L5:L28">
    <cfRule type="cellIs" dxfId="6" priority="15" operator="lessThanOrEqual">
      <formula>4</formula>
    </cfRule>
    <cfRule type="cellIs" dxfId="5" priority="16" operator="between">
      <formula>5</formula>
      <formula>9</formula>
    </cfRule>
    <cfRule type="cellIs" dxfId="4" priority="17" operator="greaterThanOrEqual">
      <formula>10</formula>
    </cfRule>
  </conditionalFormatting>
  <conditionalFormatting sqref="M5:M28">
    <cfRule type="cellIs" dxfId="3" priority="22" operator="equal">
      <formula>"Low"</formula>
    </cfRule>
    <cfRule type="cellIs" dxfId="2" priority="23" operator="equal">
      <formula>"Medium"</formula>
    </cfRule>
    <cfRule type="cellIs" dxfId="1" priority="24" operator="equal">
      <formula>"High"</formula>
    </cfRule>
    <cfRule type="cellIs" dxfId="0" priority="25" operator="equal">
      <formula>"Critical"</formula>
    </cfRule>
  </conditionalFormatting>
  <dataValidations count="2">
    <dataValidation type="list" allowBlank="1" errorTitle="Invalid Score" error="Please select a value between 1 and 5" promptTitle="Score" prompt="Select 1-5" sqref="E5:F28 J5:K28" xr:uid="{00000000-0002-0000-0300-000000000000}">
      <formula1>"1,2,3,4,5"</formula1>
      <formula2>0</formula2>
    </dataValidation>
    <dataValidation type="list" allowBlank="1" errorTitle="Invalid Status" error="Please select Open, Closed, or In Progress" sqref="N5:N28" xr:uid="{00000000-0002-0000-0300-000001000000}">
      <formula1>"Open,Closed,In Progress"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Normal="100" workbookViewId="0">
      <selection activeCell="K27" sqref="K27"/>
    </sheetView>
  </sheetViews>
  <sheetFormatPr defaultColWidth="8.7109375" defaultRowHeight="15" x14ac:dyDescent="0.25"/>
  <cols>
    <col min="1" max="1" width="5" customWidth="1"/>
    <col min="2" max="2" width="30" customWidth="1"/>
    <col min="3" max="7" width="16" customWidth="1"/>
  </cols>
  <sheetData>
    <row r="1" spans="1:7" ht="75.75" customHeight="1" x14ac:dyDescent="0.25"/>
    <row r="2" spans="1:7" ht="26.25" customHeight="1" x14ac:dyDescent="0.4">
      <c r="A2" s="19" t="s">
        <v>0</v>
      </c>
      <c r="B2" s="19"/>
      <c r="C2" s="19"/>
      <c r="D2" s="19"/>
      <c r="E2" s="19"/>
      <c r="F2" s="19"/>
      <c r="G2" s="19"/>
    </row>
    <row r="4" spans="1:7" ht="15.75" x14ac:dyDescent="0.25">
      <c r="B4" s="4" t="s">
        <v>1</v>
      </c>
    </row>
    <row r="5" spans="1:7" ht="24" x14ac:dyDescent="0.25">
      <c r="C5" s="1" t="s">
        <v>2</v>
      </c>
      <c r="D5" s="1" t="s">
        <v>3</v>
      </c>
      <c r="E5" s="1" t="s">
        <v>4</v>
      </c>
      <c r="F5" s="1" t="s">
        <v>5</v>
      </c>
      <c r="G5" s="1" t="s">
        <v>6</v>
      </c>
    </row>
    <row r="6" spans="1:7" ht="36" customHeight="1" x14ac:dyDescent="0.25">
      <c r="C6" s="5">
        <f>COUNTA('Risk Assessment'!A5:A28)</f>
        <v>24</v>
      </c>
      <c r="D6" s="5">
        <f>COUNTIF('Risk Assessment'!H5:H28,"Critical")</f>
        <v>5</v>
      </c>
      <c r="E6" s="5">
        <f>COUNTIF('Risk Assessment'!H5:H28,"High")</f>
        <v>19</v>
      </c>
      <c r="F6" s="5">
        <f>COUNTIF('Risk Assessment'!H5:H28,"Medium")</f>
        <v>0</v>
      </c>
      <c r="G6" s="5">
        <f>COUNTIF('Risk Assessment'!H5:H28,"Low")</f>
        <v>0</v>
      </c>
    </row>
    <row r="8" spans="1:7" ht="15.75" x14ac:dyDescent="0.25">
      <c r="B8" s="20" t="s">
        <v>7</v>
      </c>
      <c r="C8" s="20"/>
      <c r="D8" s="20"/>
      <c r="E8" s="20"/>
      <c r="F8" s="20"/>
      <c r="G8" s="20"/>
    </row>
    <row r="9" spans="1:7" x14ac:dyDescent="0.25">
      <c r="C9" s="1" t="s">
        <v>8</v>
      </c>
      <c r="D9" s="1" t="s">
        <v>9</v>
      </c>
      <c r="E9" s="1" t="s">
        <v>10</v>
      </c>
    </row>
    <row r="10" spans="1:7" x14ac:dyDescent="0.25">
      <c r="C10" s="6" t="s">
        <v>11</v>
      </c>
      <c r="D10" s="7">
        <f>COUNTIF('Risk Assessment'!H5:H28,"Critical")</f>
        <v>5</v>
      </c>
      <c r="E10" s="7" t="str">
        <f>IF(D10=0,"0%",TEXT(D10/C6,"0%"))</f>
        <v>21%</v>
      </c>
    </row>
    <row r="11" spans="1:7" x14ac:dyDescent="0.25">
      <c r="C11" s="8" t="s">
        <v>12</v>
      </c>
      <c r="D11" s="7">
        <f>COUNTIF('Risk Assessment'!H5:H28,"High")</f>
        <v>19</v>
      </c>
      <c r="E11" s="7" t="str">
        <f>IF(D11=0,"0%",TEXT(D11/C6,"0%"))</f>
        <v>79%</v>
      </c>
    </row>
    <row r="12" spans="1:7" x14ac:dyDescent="0.25">
      <c r="C12" s="9" t="s">
        <v>13</v>
      </c>
      <c r="D12" s="7">
        <f>COUNTIF('Risk Assessment'!H5:H28,"Medium")</f>
        <v>0</v>
      </c>
      <c r="E12" s="7" t="str">
        <f>IF(D12=0,"0%",TEXT(D12/C6,"0%"))</f>
        <v>0%</v>
      </c>
    </row>
    <row r="13" spans="1:7" x14ac:dyDescent="0.25">
      <c r="C13" s="10" t="s">
        <v>14</v>
      </c>
      <c r="D13" s="7">
        <f>COUNTIF('Risk Assessment'!H5:H28,"Low")</f>
        <v>0</v>
      </c>
      <c r="E13" s="7" t="str">
        <f>IF(D13=0,"0%",TEXT(D13/C6,"0%"))</f>
        <v>0%</v>
      </c>
    </row>
    <row r="15" spans="1:7" ht="15.75" x14ac:dyDescent="0.25">
      <c r="B15" s="20" t="s">
        <v>15</v>
      </c>
      <c r="C15" s="20"/>
      <c r="D15" s="20"/>
      <c r="E15" s="20"/>
      <c r="F15" s="20"/>
      <c r="G15" s="20"/>
    </row>
    <row r="16" spans="1:7" x14ac:dyDescent="0.25">
      <c r="C16" s="1" t="s">
        <v>8</v>
      </c>
      <c r="D16" s="1" t="s">
        <v>9</v>
      </c>
      <c r="E16" s="1" t="s">
        <v>10</v>
      </c>
    </row>
    <row r="17" spans="2:7" x14ac:dyDescent="0.25">
      <c r="C17" s="6" t="s">
        <v>11</v>
      </c>
      <c r="D17" s="7">
        <f>COUNTIF('Risk Assessment'!M5:M28,"Critical")</f>
        <v>0</v>
      </c>
      <c r="E17" s="7" t="str">
        <f>IF(D17=0,"0%",TEXT(D17/C6,"0%"))</f>
        <v>0%</v>
      </c>
    </row>
    <row r="18" spans="2:7" x14ac:dyDescent="0.25">
      <c r="C18" s="8" t="s">
        <v>12</v>
      </c>
      <c r="D18" s="7">
        <f>COUNTIF('Risk Assessment'!M5:M28,"High")</f>
        <v>0</v>
      </c>
      <c r="E18" s="7" t="str">
        <f>IF(D18=0,"0%",TEXT(D18/C6,"0%"))</f>
        <v>0%</v>
      </c>
    </row>
    <row r="19" spans="2:7" x14ac:dyDescent="0.25">
      <c r="C19" s="9" t="s">
        <v>13</v>
      </c>
      <c r="D19" s="7">
        <f>COUNTIF('Risk Assessment'!M5:M28,"Medium")</f>
        <v>22</v>
      </c>
      <c r="E19" s="7" t="str">
        <f>IF(D19=0,"0%",TEXT(D19/C6,"0%"))</f>
        <v>92%</v>
      </c>
    </row>
    <row r="20" spans="2:7" x14ac:dyDescent="0.25">
      <c r="C20" s="10" t="s">
        <v>14</v>
      </c>
      <c r="D20" s="7">
        <f>COUNTIF('Risk Assessment'!M5:M28,"Low")</f>
        <v>2</v>
      </c>
      <c r="E20" s="7" t="str">
        <f>IF(D20=0,"0%",TEXT(D20/C6,"0%"))</f>
        <v>8%</v>
      </c>
    </row>
    <row r="22" spans="2:7" ht="15.75" x14ac:dyDescent="0.25">
      <c r="B22" s="20" t="s">
        <v>16</v>
      </c>
      <c r="C22" s="20"/>
      <c r="D22" s="20"/>
      <c r="E22" s="20"/>
      <c r="F22" s="20"/>
      <c r="G22" s="20"/>
    </row>
    <row r="23" spans="2:7" x14ac:dyDescent="0.25">
      <c r="C23" s="1" t="s">
        <v>17</v>
      </c>
      <c r="D23" s="1" t="s">
        <v>18</v>
      </c>
    </row>
    <row r="24" spans="2:7" ht="21.75" customHeight="1" x14ac:dyDescent="0.25">
      <c r="C24" s="11" t="s">
        <v>19</v>
      </c>
      <c r="D24" s="12">
        <f>ROUND(AVERAGE('Risk Assessment'!G5:G28),1)</f>
        <v>14.7</v>
      </c>
    </row>
    <row r="25" spans="2:7" ht="21.75" customHeight="1" x14ac:dyDescent="0.25">
      <c r="C25" s="13" t="s">
        <v>20</v>
      </c>
      <c r="D25" s="14">
        <f>ROUND(AVERAGE('Risk Assessment'!L5:L28),1)</f>
        <v>4.9000000000000004</v>
      </c>
    </row>
    <row r="26" spans="2:7" ht="21.75" customHeight="1" x14ac:dyDescent="0.25">
      <c r="C26" s="11" t="s">
        <v>21</v>
      </c>
      <c r="D26" s="12" t="str">
        <f>TEXT(1-(AVERAGE('Risk Assessment'!L5:L28)/AVERAGE('Risk Assessment'!G5:G28)),"0%")</f>
        <v>66%</v>
      </c>
    </row>
    <row r="27" spans="2:7" ht="21.75" customHeight="1" x14ac:dyDescent="0.25">
      <c r="C27" s="13" t="s">
        <v>22</v>
      </c>
      <c r="D27" s="14">
        <f>COUNTIF('Risk Assessment'!M5:M28,"Critical")</f>
        <v>0</v>
      </c>
    </row>
    <row r="28" spans="2:7" ht="21.75" customHeight="1" x14ac:dyDescent="0.25">
      <c r="C28" s="11" t="s">
        <v>23</v>
      </c>
      <c r="D28" s="12">
        <f>COUNTIF('Risk Assessment'!M5:M28,"High")</f>
        <v>0</v>
      </c>
    </row>
    <row r="29" spans="2:7" ht="21.75" customHeight="1" x14ac:dyDescent="0.25">
      <c r="C29" s="13" t="s">
        <v>24</v>
      </c>
      <c r="D29" s="14">
        <f>COUNTIF('Risk Assessment'!N5:N28,"Open")</f>
        <v>24</v>
      </c>
    </row>
    <row r="31" spans="2:7" ht="15.75" x14ac:dyDescent="0.25">
      <c r="B31" s="4" t="s">
        <v>25</v>
      </c>
    </row>
    <row r="32" spans="2:7" ht="24" x14ac:dyDescent="0.25">
      <c r="C32" s="15" t="s">
        <v>26</v>
      </c>
      <c r="D32" s="3" t="s">
        <v>27</v>
      </c>
    </row>
    <row r="33" spans="3:4" x14ac:dyDescent="0.25">
      <c r="C33" s="15" t="s">
        <v>28</v>
      </c>
      <c r="D33" s="3" t="s">
        <v>29</v>
      </c>
    </row>
    <row r="34" spans="3:4" x14ac:dyDescent="0.25">
      <c r="C34" s="15" t="s">
        <v>30</v>
      </c>
      <c r="D34" s="3" t="s">
        <v>31</v>
      </c>
    </row>
    <row r="35" spans="3:4" x14ac:dyDescent="0.25">
      <c r="C35" s="15" t="s">
        <v>32</v>
      </c>
      <c r="D35" s="3" t="s">
        <v>33</v>
      </c>
    </row>
    <row r="36" spans="3:4" ht="24" x14ac:dyDescent="0.25">
      <c r="C36" s="15" t="s">
        <v>34</v>
      </c>
      <c r="D36" s="3" t="s">
        <v>35</v>
      </c>
    </row>
    <row r="37" spans="3:4" x14ac:dyDescent="0.25">
      <c r="C37" s="15" t="s">
        <v>36</v>
      </c>
      <c r="D37" s="3" t="s">
        <v>37</v>
      </c>
    </row>
  </sheetData>
  <mergeCells count="4">
    <mergeCell ref="A2:G2"/>
    <mergeCell ref="B8:G8"/>
    <mergeCell ref="B15:G15"/>
    <mergeCell ref="B22:G2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showGridLines="0" zoomScaleNormal="100" workbookViewId="0">
      <selection activeCell="M36" sqref="M36"/>
    </sheetView>
  </sheetViews>
  <sheetFormatPr defaultColWidth="8.7109375" defaultRowHeight="15" x14ac:dyDescent="0.25"/>
  <cols>
    <col min="1" max="1" width="5" customWidth="1"/>
    <col min="2" max="2" width="12" customWidth="1"/>
    <col min="3" max="3" width="25" customWidth="1"/>
    <col min="4" max="8" width="12" customWidth="1"/>
  </cols>
  <sheetData>
    <row r="1" spans="1:8" ht="75.75" customHeight="1" x14ac:dyDescent="0.25">
      <c r="A1" s="25"/>
      <c r="B1" s="25"/>
      <c r="C1" s="25"/>
    </row>
    <row r="2" spans="1:8" ht="26.25" customHeight="1" x14ac:dyDescent="0.4">
      <c r="A2" s="19" t="s">
        <v>59</v>
      </c>
      <c r="B2" s="19"/>
      <c r="C2" s="19"/>
      <c r="D2" s="19"/>
      <c r="E2" s="19"/>
      <c r="F2" s="19"/>
    </row>
    <row r="4" spans="1:8" x14ac:dyDescent="0.25">
      <c r="B4" s="33" t="s">
        <v>60</v>
      </c>
      <c r="C4" s="33"/>
      <c r="D4" s="33"/>
      <c r="E4" s="33"/>
      <c r="F4" s="33"/>
    </row>
    <row r="6" spans="1:8" x14ac:dyDescent="0.25">
      <c r="B6" s="33" t="s">
        <v>61</v>
      </c>
      <c r="C6" s="33"/>
      <c r="E6" s="33" t="s">
        <v>62</v>
      </c>
      <c r="F6" s="33"/>
    </row>
    <row r="7" spans="1:8" x14ac:dyDescent="0.25">
      <c r="B7" s="17">
        <v>1</v>
      </c>
      <c r="C7" s="3" t="s">
        <v>63</v>
      </c>
      <c r="E7" s="17">
        <v>1</v>
      </c>
      <c r="F7" s="3" t="s">
        <v>64</v>
      </c>
    </row>
    <row r="8" spans="1:8" ht="24" x14ac:dyDescent="0.25">
      <c r="B8" s="17">
        <v>2</v>
      </c>
      <c r="C8" s="3" t="s">
        <v>65</v>
      </c>
      <c r="E8" s="17">
        <v>2</v>
      </c>
      <c r="F8" s="3" t="s">
        <v>66</v>
      </c>
    </row>
    <row r="9" spans="1:8" ht="24" x14ac:dyDescent="0.25">
      <c r="B9" s="17">
        <v>3</v>
      </c>
      <c r="C9" s="3" t="s">
        <v>67</v>
      </c>
      <c r="E9" s="17">
        <v>3</v>
      </c>
      <c r="F9" s="3" t="s">
        <v>68</v>
      </c>
    </row>
    <row r="10" spans="1:8" x14ac:dyDescent="0.25">
      <c r="B10" s="17">
        <v>4</v>
      </c>
      <c r="C10" s="3" t="s">
        <v>69</v>
      </c>
      <c r="E10" s="17">
        <v>4</v>
      </c>
      <c r="F10" s="3" t="s">
        <v>70</v>
      </c>
    </row>
    <row r="11" spans="1:8" x14ac:dyDescent="0.25">
      <c r="B11" s="17">
        <v>5</v>
      </c>
      <c r="C11" s="3" t="s">
        <v>71</v>
      </c>
      <c r="E11" s="17">
        <v>5</v>
      </c>
      <c r="F11" s="3" t="s">
        <v>72</v>
      </c>
    </row>
    <row r="14" spans="1:8" ht="15.75" x14ac:dyDescent="0.25">
      <c r="A14" s="4" t="s">
        <v>73</v>
      </c>
    </row>
    <row r="16" spans="1:8" ht="15" customHeight="1" x14ac:dyDescent="0.25">
      <c r="B16" s="32" t="s">
        <v>74</v>
      </c>
      <c r="C16" s="32"/>
      <c r="D16" s="18" t="s">
        <v>75</v>
      </c>
      <c r="E16" s="18" t="s">
        <v>76</v>
      </c>
      <c r="F16" s="18" t="s">
        <v>77</v>
      </c>
      <c r="G16" s="18" t="s">
        <v>78</v>
      </c>
      <c r="H16" s="18" t="s">
        <v>79</v>
      </c>
    </row>
    <row r="17" spans="1:8" ht="15" customHeight="1" x14ac:dyDescent="0.25">
      <c r="B17" s="32" t="s">
        <v>80</v>
      </c>
      <c r="C17" s="32"/>
      <c r="D17" s="9">
        <v>5</v>
      </c>
      <c r="E17" s="8">
        <v>10</v>
      </c>
      <c r="F17" s="8">
        <v>15</v>
      </c>
      <c r="G17" s="6">
        <v>20</v>
      </c>
      <c r="H17" s="6">
        <v>25</v>
      </c>
    </row>
    <row r="18" spans="1:8" ht="15" customHeight="1" x14ac:dyDescent="0.25">
      <c r="B18" s="32" t="s">
        <v>81</v>
      </c>
      <c r="C18" s="32"/>
      <c r="D18" s="10">
        <v>4</v>
      </c>
      <c r="E18" s="9">
        <v>8</v>
      </c>
      <c r="F18" s="8">
        <v>12</v>
      </c>
      <c r="G18" s="6">
        <v>16</v>
      </c>
      <c r="H18" s="6">
        <v>20</v>
      </c>
    </row>
    <row r="19" spans="1:8" ht="15" customHeight="1" x14ac:dyDescent="0.25">
      <c r="B19" s="32" t="s">
        <v>82</v>
      </c>
      <c r="C19" s="32"/>
      <c r="D19" s="10">
        <v>3</v>
      </c>
      <c r="E19" s="9">
        <v>6</v>
      </c>
      <c r="F19" s="9">
        <v>9</v>
      </c>
      <c r="G19" s="8">
        <v>12</v>
      </c>
      <c r="H19" s="8">
        <v>15</v>
      </c>
    </row>
    <row r="20" spans="1:8" ht="15" customHeight="1" x14ac:dyDescent="0.25">
      <c r="B20" s="32" t="s">
        <v>83</v>
      </c>
      <c r="C20" s="32"/>
      <c r="D20" s="10">
        <v>2</v>
      </c>
      <c r="E20" s="10">
        <v>4</v>
      </c>
      <c r="F20" s="9">
        <v>6</v>
      </c>
      <c r="G20" s="9">
        <v>8</v>
      </c>
      <c r="H20" s="8">
        <v>10</v>
      </c>
    </row>
    <row r="21" spans="1:8" ht="15" customHeight="1" x14ac:dyDescent="0.25">
      <c r="B21" s="32" t="s">
        <v>84</v>
      </c>
      <c r="C21" s="32"/>
      <c r="D21" s="10">
        <v>1</v>
      </c>
      <c r="E21" s="10">
        <v>2</v>
      </c>
      <c r="F21" s="10">
        <v>3</v>
      </c>
      <c r="G21" s="10">
        <v>4</v>
      </c>
      <c r="H21" s="9">
        <v>5</v>
      </c>
    </row>
    <row r="23" spans="1:8" x14ac:dyDescent="0.25">
      <c r="B23" s="33" t="s">
        <v>85</v>
      </c>
      <c r="C23" s="33"/>
      <c r="D23" s="33"/>
      <c r="E23" s="33"/>
      <c r="F23" s="33"/>
    </row>
    <row r="24" spans="1:8" x14ac:dyDescent="0.25">
      <c r="B24" s="33" t="s">
        <v>86</v>
      </c>
      <c r="C24" s="33"/>
      <c r="D24" s="33"/>
      <c r="E24" s="33"/>
      <c r="F24" s="33"/>
    </row>
    <row r="26" spans="1:8" ht="15.75" x14ac:dyDescent="0.25">
      <c r="A26" s="20" t="s">
        <v>87</v>
      </c>
      <c r="B26" s="20"/>
      <c r="C26" s="20"/>
      <c r="D26" s="20"/>
      <c r="E26" s="20"/>
      <c r="F26" s="20"/>
    </row>
    <row r="27" spans="1:8" ht="15" customHeight="1" x14ac:dyDescent="0.25">
      <c r="B27" s="7" t="s">
        <v>88</v>
      </c>
      <c r="C27" s="10" t="s">
        <v>14</v>
      </c>
      <c r="D27" s="30" t="s">
        <v>89</v>
      </c>
      <c r="E27" s="30"/>
      <c r="F27" s="22"/>
    </row>
    <row r="28" spans="1:8" ht="15" customHeight="1" x14ac:dyDescent="0.25">
      <c r="B28" s="7" t="s">
        <v>90</v>
      </c>
      <c r="C28" s="9" t="s">
        <v>13</v>
      </c>
      <c r="D28" s="30" t="s">
        <v>91</v>
      </c>
      <c r="E28" s="30"/>
      <c r="F28" s="22"/>
    </row>
    <row r="29" spans="1:8" ht="22.35" customHeight="1" x14ac:dyDescent="0.25">
      <c r="B29" s="7" t="s">
        <v>92</v>
      </c>
      <c r="C29" s="8" t="s">
        <v>12</v>
      </c>
      <c r="D29" s="30" t="s">
        <v>93</v>
      </c>
      <c r="E29" s="30"/>
      <c r="F29" s="22"/>
    </row>
    <row r="30" spans="1:8" ht="32.85" customHeight="1" x14ac:dyDescent="0.25">
      <c r="B30" s="7" t="s">
        <v>94</v>
      </c>
      <c r="C30" s="6" t="s">
        <v>11</v>
      </c>
      <c r="D30" s="30" t="s">
        <v>95</v>
      </c>
      <c r="E30" s="30"/>
      <c r="F30" s="22"/>
    </row>
    <row r="32" spans="1:8" ht="15.75" x14ac:dyDescent="0.25">
      <c r="A32" s="4" t="s">
        <v>96</v>
      </c>
    </row>
    <row r="33" spans="2:6" ht="15" customHeight="1" x14ac:dyDescent="0.25">
      <c r="B33" s="1" t="s">
        <v>97</v>
      </c>
      <c r="C33" s="1" t="s">
        <v>98</v>
      </c>
      <c r="D33" s="31" t="s">
        <v>99</v>
      </c>
      <c r="E33" s="31"/>
      <c r="F33" s="32"/>
    </row>
    <row r="34" spans="2:6" ht="22.35" customHeight="1" x14ac:dyDescent="0.25">
      <c r="B34" s="17" t="s">
        <v>100</v>
      </c>
      <c r="C34" s="13" t="s">
        <v>101</v>
      </c>
      <c r="D34" s="30" t="s">
        <v>102</v>
      </c>
      <c r="E34" s="30"/>
      <c r="F34" s="22"/>
    </row>
    <row r="35" spans="2:6" ht="22.35" customHeight="1" x14ac:dyDescent="0.25">
      <c r="B35" s="17" t="s">
        <v>103</v>
      </c>
      <c r="C35" s="13" t="s">
        <v>104</v>
      </c>
      <c r="D35" s="30" t="s">
        <v>105</v>
      </c>
      <c r="E35" s="30"/>
      <c r="F35" s="22"/>
    </row>
    <row r="36" spans="2:6" ht="22.35" customHeight="1" x14ac:dyDescent="0.25">
      <c r="B36" s="17" t="s">
        <v>106</v>
      </c>
      <c r="C36" s="13" t="s">
        <v>107</v>
      </c>
      <c r="D36" s="30" t="s">
        <v>108</v>
      </c>
      <c r="E36" s="30"/>
      <c r="F36" s="22"/>
    </row>
    <row r="37" spans="2:6" ht="22.35" customHeight="1" x14ac:dyDescent="0.25">
      <c r="B37" s="17" t="s">
        <v>109</v>
      </c>
      <c r="C37" s="13" t="s">
        <v>110</v>
      </c>
      <c r="D37" s="30" t="s">
        <v>111</v>
      </c>
      <c r="E37" s="30"/>
      <c r="F37" s="22"/>
    </row>
    <row r="38" spans="2:6" ht="22.35" customHeight="1" x14ac:dyDescent="0.25">
      <c r="B38" s="17" t="s">
        <v>112</v>
      </c>
      <c r="C38" s="13" t="s">
        <v>113</v>
      </c>
      <c r="D38" s="30" t="s">
        <v>114</v>
      </c>
      <c r="E38" s="30"/>
      <c r="F38" s="22"/>
    </row>
  </sheetData>
  <mergeCells count="24">
    <mergeCell ref="A1:C1"/>
    <mergeCell ref="A2:F2"/>
    <mergeCell ref="B4:F4"/>
    <mergeCell ref="B6:C6"/>
    <mergeCell ref="E6:F6"/>
    <mergeCell ref="B16:C16"/>
    <mergeCell ref="B17:C17"/>
    <mergeCell ref="B18:C18"/>
    <mergeCell ref="B19:C19"/>
    <mergeCell ref="B20:C20"/>
    <mergeCell ref="B21:C21"/>
    <mergeCell ref="B23:F23"/>
    <mergeCell ref="B24:F24"/>
    <mergeCell ref="A26:F26"/>
    <mergeCell ref="D27:F27"/>
    <mergeCell ref="D35:F35"/>
    <mergeCell ref="D36:F36"/>
    <mergeCell ref="D37:F37"/>
    <mergeCell ref="D38:F38"/>
    <mergeCell ref="D28:F28"/>
    <mergeCell ref="D29:F29"/>
    <mergeCell ref="D30:F30"/>
    <mergeCell ref="D33:F33"/>
    <mergeCell ref="D34:F3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 Information</vt:lpstr>
      <vt:lpstr>Risk Assessment</vt:lpstr>
      <vt:lpstr>Dashboard</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Darren Watts</cp:lastModifiedBy>
  <cp:revision>0</cp:revision>
  <dcterms:created xsi:type="dcterms:W3CDTF">2026-03-31T08:56:27Z</dcterms:created>
  <dcterms:modified xsi:type="dcterms:W3CDTF">2026-04-01T08:29:02Z</dcterms:modified>
  <dc:language>en-US</dc:language>
</cp:coreProperties>
</file>