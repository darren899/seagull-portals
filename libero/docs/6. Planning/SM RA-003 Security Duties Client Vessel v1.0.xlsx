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Security Duties Client Vessel/"/>
    </mc:Choice>
  </mc:AlternateContent>
  <xr:revisionPtr revIDLastSave="11" documentId="11_C3F3C24632418175F4C5400DB124EFF28DD7B219" xr6:coauthVersionLast="47" xr6:coauthVersionMax="47" xr10:uidLastSave="{42EDBF6F-85BF-4428-A0CE-BB1BE1343302}"/>
  <bookViews>
    <workbookView xWindow="29340" yWindow="4935" windowWidth="29190" windowHeight="15105" tabRatio="500" activeTab="2"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4" i="4" l="1"/>
  <c r="M24" i="4" s="1"/>
  <c r="G24" i="4"/>
  <c r="H24" i="4" s="1"/>
  <c r="L23" i="4"/>
  <c r="M23" i="4" s="1"/>
  <c r="G23" i="4"/>
  <c r="H23" i="4" s="1"/>
  <c r="L22" i="4"/>
  <c r="M22" i="4" s="1"/>
  <c r="G22" i="4"/>
  <c r="H22" i="4" s="1"/>
  <c r="L21" i="4"/>
  <c r="M21" i="4" s="1"/>
  <c r="G21" i="4"/>
  <c r="H21" i="4" s="1"/>
  <c r="L20" i="4"/>
  <c r="M20" i="4" s="1"/>
  <c r="G20" i="4"/>
  <c r="H20" i="4" s="1"/>
  <c r="L19" i="4"/>
  <c r="M19" i="4" s="1"/>
  <c r="G19" i="4"/>
  <c r="H19" i="4" s="1"/>
  <c r="L18" i="4"/>
  <c r="M18" i="4" s="1"/>
  <c r="G18" i="4"/>
  <c r="H18" i="4" s="1"/>
  <c r="L17" i="4"/>
  <c r="M17" i="4" s="1"/>
  <c r="G17" i="4"/>
  <c r="H17" i="4" s="1"/>
  <c r="L16" i="4"/>
  <c r="M16" i="4" s="1"/>
  <c r="G16" i="4"/>
  <c r="H16" i="4" s="1"/>
  <c r="L15" i="4"/>
  <c r="M15" i="4" s="1"/>
  <c r="G15" i="4"/>
  <c r="H15" i="4" s="1"/>
  <c r="L14" i="4"/>
  <c r="M14" i="4" s="1"/>
  <c r="G14" i="4"/>
  <c r="H14" i="4" s="1"/>
  <c r="L13" i="4"/>
  <c r="M13" i="4" s="1"/>
  <c r="G13" i="4"/>
  <c r="H13" i="4" s="1"/>
  <c r="L12" i="4"/>
  <c r="M12" i="4" s="1"/>
  <c r="G12" i="4"/>
  <c r="H12" i="4" s="1"/>
  <c r="L11" i="4"/>
  <c r="M11" i="4" s="1"/>
  <c r="G11" i="4"/>
  <c r="H11" i="4" s="1"/>
  <c r="L10" i="4"/>
  <c r="M10" i="4" s="1"/>
  <c r="G10" i="4"/>
  <c r="H10" i="4" s="1"/>
  <c r="L9" i="4"/>
  <c r="M9" i="4" s="1"/>
  <c r="G9" i="4"/>
  <c r="H9" i="4" s="1"/>
  <c r="L8" i="4"/>
  <c r="M8" i="4" s="1"/>
  <c r="G8" i="4"/>
  <c r="H8" i="4" s="1"/>
  <c r="L7" i="4"/>
  <c r="M7" i="4" s="1"/>
  <c r="G7" i="4"/>
  <c r="H7" i="4" s="1"/>
  <c r="L6" i="4"/>
  <c r="M6" i="4" s="1"/>
  <c r="G6" i="4"/>
  <c r="H6" i="4" s="1"/>
  <c r="L5" i="4"/>
  <c r="M5" i="4" s="1"/>
  <c r="G5" i="4"/>
  <c r="D24" i="1" s="1"/>
  <c r="D29" i="1"/>
  <c r="D25" i="1"/>
  <c r="C6" i="1"/>
  <c r="D26" i="1" l="1"/>
  <c r="D28" i="1"/>
  <c r="D19" i="1"/>
  <c r="E19" i="1" s="1"/>
  <c r="D27" i="1"/>
  <c r="D17" i="1"/>
  <c r="E17" i="1" s="1"/>
  <c r="D18" i="1"/>
  <c r="E18" i="1" s="1"/>
  <c r="D20" i="1"/>
  <c r="E20" i="1" s="1"/>
  <c r="H5" i="4"/>
  <c r="D12" i="1" l="1"/>
  <c r="E12" i="1" s="1"/>
  <c r="D6" i="1"/>
  <c r="D11" i="1"/>
  <c r="E11" i="1" s="1"/>
  <c r="D10" i="1"/>
  <c r="E10" i="1" s="1"/>
  <c r="G6" i="1"/>
  <c r="D13" i="1"/>
  <c r="E13" i="1" s="1"/>
  <c r="F6" i="1"/>
  <c r="E6" i="1"/>
</calcChain>
</file>

<file path=xl/sharedStrings.xml><?xml version="1.0" encoding="utf-8"?>
<sst xmlns="http://schemas.openxmlformats.org/spreadsheetml/2006/main" count="275" uniqueCount="216">
  <si>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</si>
  <si>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</si>
  <si>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</si>
  <si>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</si>
  <si>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</si>
  <si>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</si>
  <si>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</si>
  <si>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</si>
  <si>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</si>
  <si>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</si>
  <si>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</si>
  <si>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</si>
  <si>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</si>
  <si>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</si>
  <si>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</si>
  <si>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</si>
  <si>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</si>
  <si>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</si>
  <si>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</si>
  <si>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</si>
  <si>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</si>
  <si>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</si>
  <si>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</si>
  <si>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</si>
  <si>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</si>
  <si>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</si>
  <si>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</si>
  <si>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SM/HSE/RA/003</t>
  </si>
  <si>
    <t>Version:</t>
  </si>
  <si>
    <t>1.0</t>
  </si>
  <si>
    <t>Effective Date:</t>
  </si>
  <si>
    <t>15 March 2026</t>
  </si>
  <si>
    <t>Review Date:</t>
  </si>
  <si>
    <t>15 September 2026</t>
  </si>
  <si>
    <t>Assessed by:</t>
  </si>
  <si>
    <t>Group Compliance Director</t>
  </si>
  <si>
    <t>Status:</t>
  </si>
  <si>
    <t>Active</t>
  </si>
  <si>
    <t>SAFETY RISK ASSESSMENT – SECURITY DUTIES, CLIENT VESSEL</t>
  </si>
  <si>
    <t>RISK MANAGEMENT INFORMATION</t>
  </si>
  <si>
    <t>Risk Assessment ID:</t>
  </si>
  <si>
    <t>RA-003</t>
  </si>
  <si>
    <t>Location:</t>
  </si>
  <si>
    <t>Client vessels – all operational regions (IOR, WAF, PG)</t>
  </si>
  <si>
    <t>Activity Description:</t>
  </si>
  <si>
    <t>Security personnel deployed aboard client vessels to provide armed or unarmed security services including watchkeeping, access control, citadel preparation, weapons handling, threat response, and liaison with vessel crew. Duties are conducted 24 hours in rotating watch patterns across varying vessel types, weather conditions, and threat environments.</t>
  </si>
  <si>
    <t>Contributors:</t>
  </si>
  <si>
    <t>Senior Operations Manager, Vessel Managers, Team Leaders</t>
  </si>
  <si>
    <t>Responsible Persons:</t>
  </si>
  <si>
    <t>Senior Operations Manager, Vessel Managers, Team Leaders, Team Members, Client Vessel Master</t>
  </si>
  <si>
    <t>Management have day-to-day responsibility for health and safety and must be aware of the hazards and control measures in this assessment. They must ensure all staff are aware of the findings and that adequate training and supervision is in place.</t>
  </si>
  <si>
    <t>Team Leaders and Team Members are to ensure they have read the risk assessment, understood and acknowledged the controls, and follow any instructions given.</t>
  </si>
  <si>
    <t>Client Vessel Masters are respectfully requested to review this risk assessment and assist in compliance with any relevant controls that apply to their vessel or crew.</t>
  </si>
  <si>
    <t>COMMUNICATION &amp; CONSULTATION / RECORDING &amp; REPORTING / MONITORING &amp; REVIEW</t>
  </si>
  <si>
    <t>This risk assessment must be shared with all personnel engaged with the activity. All personnel must confirm they have read and understood the assessment before deployment. A record of this must be maintained.</t>
  </si>
  <si>
    <t>Monitoring and supervision: Seagull Maritime must monitor the activities of all personnel through regular checks, toolbox talks, and debrief reports.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</si>
  <si>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</si>
  <si>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</si>
  <si>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</si>
  <si>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</si>
  <si>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</si>
  <si>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</si>
  <si>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</si>
  <si>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</si>
  <si>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</si>
  <si>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</si>
  <si>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</si>
  <si>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</si>
  <si>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</si>
  <si>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</si>
  <si>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</si>
  <si>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</si>
  <si>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</si>
  <si>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</si>
  <si>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</si>
  <si>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</si>
  <si>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</si>
  <si>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</si>
  <si>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</si>
  <si>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</si>
  <si>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</si>
  <si>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</si>
  <si>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</si>
  <si>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</si>
  <si>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</si>
  <si>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</si>
  <si>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</si>
  <si>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</si>
  <si>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</si>
  <si>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</si>
  <si>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</si>
  <si>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</si>
  <si>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</si>
  <si>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</si>
  <si>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</si>
  <si>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</si>
  <si>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</si>
  <si>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</si>
  <si>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</si>
  <si>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</si>
  <si>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</si>
  <si>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</si>
  <si>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</si>
  <si>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</si>
  <si>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</si>
  <si>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</si>
  <si>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</si>
  <si>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</si>
  <si>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</si>
  <si>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</si>
  <si>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</si>
  <si>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</si>
  <si>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</si>
  <si>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</si>
  <si>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</si>
  <si>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</si>
  <si>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</si>
  <si>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</si>
  <si>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</si>
  <si>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</si>
  <si>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</si>
  <si>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</si>
  <si>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</si>
  <si>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</si>
  <si>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</si>
  <si>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SD-001</t>
  </si>
  <si>
    <t>Fatigue – watchkeeping</t>
  </si>
  <si>
    <t>Prolonged or poorly rotated watch duties may impair alertness, reaction time, and decision-making, increasing the risk of accidents, falls, or failure to detect threats.</t>
  </si>
  <si>
    <t>Security Team</t>
  </si>
  <si>
    <t>Watch rotation schedule maintained with minimum rest periods between watches.
Fatigue management plan in place and briefed to all personnel.
Team Leader monitors crew alertness and intervenes if fatigue suspected.
Rest hours recorded and auditable.
Personnel encouraged to report fatigue without penalty.</t>
  </si>
  <si>
    <t>Open</t>
  </si>
  <si>
    <t>SD-002</t>
  </si>
  <si>
    <t>Accidental discharge of firearm</t>
  </si>
  <si>
    <t>Negligent handling, cleaning, or carrying of weapons may result in accidental discharge causing serious injury or death to personnel onboard.</t>
  </si>
  <si>
    <t>Security Team / Vessel Crew</t>
  </si>
  <si>
    <t>All personnel trained and assessed as competent before handling weapons.
Weapons handling SOPs followed at all times.
Weapons unloaded and cleared before cleaning or storage.
Designated safe direction maintained when handling.
Weapons condition checks conducted at watch changeover.
Refresher drills conducted regularly.</t>
  </si>
  <si>
    <t>SD-003</t>
  </si>
  <si>
    <t>Use of force – excessive or inappropriate</t>
  </si>
  <si>
    <t>Incorrect application of rules on the use of force may result in legal action, injury to third parties, reputational damage, or criminal prosecution.</t>
  </si>
  <si>
    <t>Security Team / Third Parties</t>
  </si>
  <si>
    <t>Rules for the Use of Force (RUF) issued, briefed, and signed by all personnel before deployment.
Scenario-based training conducted pre-deployment and refreshed during transit.
Force continuum understood by all team members.
Post-incident reporting and review procedure in place.
Company representative oversight during operations.</t>
  </si>
  <si>
    <t>SD-004</t>
  </si>
  <si>
    <t>Piracy / armed attack</t>
  </si>
  <si>
    <t>Attack by pirates or armed groups may result in loss of life, hijacking, hostage-taking, or serious injury to security personnel, crew, and vessel.</t>
  </si>
  <si>
    <t>Security Team / Vessel Crew / Client Personnel</t>
  </si>
  <si>
    <t>BMP-MS compliant vessel hardening measures implemented.
Citadel prepared, tested, and provisioned before transit.
Security team conducts regular anti-piracy drills with vessel crew.
Intelligence updates reviewed daily from UKMTO, MSCHOA, and MISTO.
Graduated response plan in place and rehearsed.
Communication plan established with naval coordination centres.</t>
  </si>
  <si>
    <t>SD-005</t>
  </si>
  <si>
    <t>Hostile boarding – close-quarter threat</t>
  </si>
  <si>
    <t>Failure to repel a boarding attempt may result in close-quarter confrontation with armed attackers, risking fatal injury, hostage situations, or loss of vessel control.</t>
  </si>
  <si>
    <t>Citadel access and lockdown procedures drilled regularly.
Team defensive positions pre-planned and briefed.
Weapons readily accessible from secure storage during heightened threat levels.
Communication with naval forces maintained on dedicated channels.
Live exercises conducted where operationally feasible.
Emergency communication protocols in place for distress situations.</t>
  </si>
  <si>
    <t>SD-006</t>
  </si>
  <si>
    <t>Firearms storage – unauthorised access</t>
  </si>
  <si>
    <t>Inadequate security of weapons storage may result in unauthorised access, theft, or misuse of firearms, causing injury, legal breach, or loss of certification.</t>
  </si>
  <si>
    <t>Weapons secured in dedicated armoury with controlled access.
Ammunition stored separately from weapons.
Armoury keys held by Team Leader only; access logged.
Daily weapons and ammunition inventory conducted.
Armoury inspected and secured at watch changeover.
Weapons register maintained and auditable.</t>
  </si>
  <si>
    <t>SD-007</t>
  </si>
  <si>
    <t>Slips, trips, and falls on deck</t>
  </si>
  <si>
    <t>Wet, oily, or obstructed deck surfaces may cause slips, trips, or falls resulting in fractures, sprains, head injuries, or falls overboard.</t>
  </si>
  <si>
    <t>Non-slip safety footwear mandatory on deck.
Deck areas kept clear of loose equipment and trip hazards.
Signage displayed in known slip-risk areas.
Deck inspections conducted as part of watch routine.
Spills reported and cleaned immediately.
Adequate lighting maintained in all patrol areas.</t>
  </si>
  <si>
    <t>SD-008</t>
  </si>
  <si>
    <t>Man overboard (MOB)</t>
  </si>
  <si>
    <t>Personnel on deck patrol or at watch positions may fall overboard due to vessel movement, wet surfaces, or loss of balance, risking drowning or hypothermia.</t>
  </si>
  <si>
    <t>All personnel on deck wear lifejackets during transits and heightened sea states.
Deck patrols conducted in pairs where practicable.
MOB alarm and recovery procedures briefed to all personnel.
MOB drills conducted regularly with vessel crew.
Lifebuoys and rescue equipment positioned at key deck locations.
Guardrails and barriers maintained and inspected.</t>
  </si>
  <si>
    <t>SD-009</t>
  </si>
  <si>
    <t>Heat stress / weather exposure</t>
  </si>
  <si>
    <t>Prolonged exposure to extreme heat, direct sun, or adverse weather during watch duties may cause heat exhaustion, heat stroke, hypothermia, or dehydration.</t>
  </si>
  <si>
    <t>Sufficient drinking water available at all watch positions.
PPE appropriate to climate conditions provided.
Hot weather guidance issued and briefed.
Watch positions rotated to provide shade relief where possible.
Personnel trained to recognise and report heat stress symptoms.
Heat stress management plan in place for high-temperature operations.</t>
  </si>
  <si>
    <t>SD-010</t>
  </si>
  <si>
    <t>Night operations – reduced visibility</t>
  </si>
  <si>
    <t>Operations conducted at night or in low visibility increase the risk of collision, missteps, failure to identify threats, and delayed response to emergencies.</t>
  </si>
  <si>
    <t>Adequate lighting maintained at watch positions and patrol routes.
Night vision equipment issued where available and appropriate.
Restricted movement protocols in place for darkened ship conditions.
Enhanced lookout arrangements during night transits.
Personnel briefed on night operation hazards and procedures.
Torch carried by all personnel on night watch.</t>
  </si>
  <si>
    <t>SD-011</t>
  </si>
  <si>
    <t>Communications failure</t>
  </si>
  <si>
    <t>Loss of radio communications between security team, vessel bridge, and coordination centres may delay response to threats, emergencies, or medical situations.</t>
  </si>
  <si>
    <t>Radio checks conducted at each watch changeover.
Backup communication equipment available (satellite phone, secondary VHF).
Communication plan includes fallback procedures and alternative channels.
Battery status checked before each watch.
Designated communication schedule maintained with operations centre.</t>
  </si>
  <si>
    <t>SD-012</t>
  </si>
  <si>
    <t>Medical emergency onboard</t>
  </si>
  <si>
    <t>Illness or injury occurring during deployment with limited access to medical facilities may result in delayed treatment, serious complications, or death.</t>
  </si>
  <si>
    <t>Trained first aider within security team on every deployment.
First aid and trauma kit maintained and inspected before each deployment.
Medical emergency plan includes telemedicine and medevac procedures.
Medical emergency drills conducted regularly.
Pre-deployment medical screening of all personnel.
Vessel medical facilities assessed during pre-deployment survey.</t>
  </si>
  <si>
    <t>SD-013</t>
  </si>
  <si>
    <t>Emergency evacuation / abandon ship</t>
  </si>
  <si>
    <t>In the event of fire, flooding, collision, or structural failure, delayed or disorganised evacuation may result in serious injury or death.</t>
  </si>
  <si>
    <t>Security team included in vessel muster and evacuation drills.
Muster station and lifeboat assignments confirmed on embarkation.
Abandon ship procedures briefed during induction.
Drills conducted jointly with vessel crew at regular intervals.
Personal survival equipment inspected and accessible.
Weapons securing procedure in place for abandon ship situations.</t>
  </si>
  <si>
    <t>SD-014</t>
  </si>
  <si>
    <t>Equipment failure – optics / comms / NVG</t>
  </si>
  <si>
    <t>Failure of surveillance optics, night vision, or communication equipment may result in loss of situational awareness and delayed threat detection.</t>
  </si>
  <si>
    <t>Pre-deployment equipment checks conducted on all surveillance and communication equipment.
Redundant equipment carried for critical items.
Fault reporting procedure in place.
Routine maintenance schedule during deployment.
Personnel trained on backup systems and manual alternatives.</t>
  </si>
  <si>
    <t>SD-015</t>
  </si>
  <si>
    <t>Fatigue – transit phase</t>
  </si>
  <si>
    <t>Long transit periods with limited recreation, confined living spaces, and irregular sleep patterns may result in cumulative fatigue affecting judgement and physical ability.</t>
  </si>
  <si>
    <t>Transit watch rotations designed to allow adequate rest.
Recreation activities and welfare provisions available onboard.
Team Leader monitors cumulative fatigue over transit period.
Rest audits conducted and recorded.
Personnel briefed on managing fatigue and reporting concerns.</t>
  </si>
  <si>
    <t>SD-016</t>
  </si>
  <si>
    <t>Standing for prolonged periods</t>
  </si>
  <si>
    <t>Extended periods of standing during watch duties may cause musculoskeletal injuries including back pain, joint problems, and circulatory issues.</t>
  </si>
  <si>
    <t>Watch durations set to manageable lengths with rest periods.
Personnel briefed on posture, stretching, and movement during watches.
Seating or leaning support available at watch positions where practicable.
Watch rotation allows for recovery between duty periods.</t>
  </si>
  <si>
    <t>SD-017</t>
  </si>
  <si>
    <t>Noise exposure</t>
  </si>
  <si>
    <t>Prolonged exposure to engine noise, generators, or equipment may cause hearing damage or tinnitus, particularly during extended deployments.</t>
  </si>
  <si>
    <t>Hearing protection issued for high-noise areas.
Personnel briefed on noise hazards and use of protection.
Radio earpiece volume limited.
Watch positions assessed for noise levels.
Exposure monitored during extended deployments in high-noise environments.</t>
  </si>
  <si>
    <t>SD-018</t>
  </si>
  <si>
    <t>Asbestos exposure</t>
  </si>
  <si>
    <t>Older vessels may contain asbestos in insulation, pipework, or deck materials. Disturbance or prolonged exposure may cause serious respiratory disease.</t>
  </si>
  <si>
    <t>Pre-deployment vessel survey includes asbestos assessment where information is available.
Personnel briefed on asbestos risks and identification.
Suspected asbestos reported immediately and area sealed off.
No work carried out that may disturb suspected asbestos-containing materials.
Client vessel master consulted on known asbestos locations.</t>
  </si>
  <si>
    <t>SD-019</t>
  </si>
  <si>
    <t>Fire – onboard vessel</t>
  </si>
  <si>
    <t>Fire caused by electrical fault, smoking, or equipment failure may result in burns, smoke inhalation, or entrapment, particularly below decks.</t>
  </si>
  <si>
    <t>Smoking restricted to designated areas only.
Fire detection and suppression systems maintained by vessel.
Security team included in fire drills and evacuation exercises.
Fire extinguisher locations known by all security personnel.
Electrical equipment checked before use.
Emergency escape routes briefed during induction.</t>
  </si>
  <si>
    <t>SD-020</t>
  </si>
  <si>
    <t>Lack of client crew awareness</t>
  </si>
  <si>
    <t>Client vessel crew unfamiliar with security operations may inadvertently create hazards, interfere with security procedures, or fail to comply with safety instructions.</t>
  </si>
  <si>
    <t>Security induction brief delivered to client vessel crew at embarkation.
Crew briefed on restricted areas, weapons safety, and emergency procedures.
Ongoing communication maintained between Team Leader and vessel Master.
Crew cooperation included in pre-deployment planning discussions.
Incidents of non-compliance reported and addressed.</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</si>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</sst>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6">
    <xf numFmtId="0" fontId="0" fillId="0" borderId="0" xfId="0"/>
    <xf numFmtId="0" fontId="3" fillId="2" borderId="1" xfId="0" applyFont="1" applyFill="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horizontal="left" vertical="center" wrapText="1"/>
    </xf>
    <xf numFmtId="0" fontId="2" fillId="0" borderId="0" xfId="0" applyFont="1"/>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0" fillId="0" borderId="4" xfId="0" applyBorder="1"/>
    <xf numFmtId="0" fontId="4" fillId="0" borderId="3" xfId="0" applyFont="1" applyBorder="1"/>
    <xf numFmtId="0" fontId="9" fillId="0" borderId="3" xfId="0" applyFont="1" applyBorder="1"/>
    <xf numFmtId="0" fontId="9" fillId="0" borderId="1" xfId="0" applyFont="1" applyBorder="1"/>
    <xf numFmtId="0" fontId="1" fillId="0" borderId="0" xfId="0" applyFont="1"/>
    <xf numFmtId="0" fontId="3" fillId="2" borderId="0" xfId="0" applyFont="1" applyFill="1" applyAlignment="1">
      <alignment horizontal="center" vertical="center" wrapText="1"/>
    </xf>
    <xf numFmtId="0" fontId="2" fillId="0" borderId="0" xfId="0" applyFont="1"/>
    <xf numFmtId="0" fontId="9" fillId="0" borderId="0" xfId="0" applyFont="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0" fillId="0" borderId="0" xfId="0"/>
    <xf numFmtId="0" fontId="1" fillId="0" borderId="0" xfId="0" applyFont="1" applyAlignment="1">
      <alignment vertical="center"/>
    </xf>
    <xf numFmtId="0" fontId="9" fillId="0" borderId="3" xfId="0" applyFont="1" applyBorder="1" applyAlignment="1">
      <alignment horizontal="left"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topLeftCell="A2" zoomScaleNormal="100" workbookViewId="0">
      <selection sqref="A1:C1"/>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30"/>
      <c r="B1" s="30"/>
      <c r="C1" s="30"/>
    </row>
    <row r="2" spans="1:6" ht="26.25" customHeight="1" x14ac:dyDescent="0.25">
      <c r="A2" s="31" t="s">
        <v>38</v>
      </c>
      <c r="B2" s="31"/>
      <c r="C2" s="31"/>
      <c r="D2" s="31"/>
      <c r="E2" s="31"/>
      <c r="F2" s="31"/>
    </row>
    <row r="4" spans="1:6" ht="15.75" customHeight="1" x14ac:dyDescent="0.25">
      <c r="A4" s="2" t="s">
        <v>39</v>
      </c>
    </row>
    <row r="6" spans="1:6" ht="15.75" customHeight="1" x14ac:dyDescent="0.25">
      <c r="A6" s="15" t="s">
        <v>40</v>
      </c>
      <c r="B6" s="3" t="s">
        <v>41</v>
      </c>
      <c r="C6" s="16" t="s">
        <v>42</v>
      </c>
      <c r="D6" s="3" t="s">
        <v>43</v>
      </c>
    </row>
    <row r="7" spans="1:6" ht="38.25" customHeight="1" x14ac:dyDescent="0.25">
      <c r="A7" s="15" t="s">
        <v>44</v>
      </c>
      <c r="B7" s="27" t="s">
        <v>45</v>
      </c>
      <c r="C7" s="27"/>
      <c r="D7" s="27"/>
    </row>
    <row r="8" spans="1:6" ht="15.75" customHeight="1" x14ac:dyDescent="0.25">
      <c r="A8" s="15" t="s">
        <v>34</v>
      </c>
      <c r="B8" s="27" t="s">
        <v>35</v>
      </c>
      <c r="C8" s="27"/>
      <c r="D8" s="27"/>
    </row>
    <row r="9" spans="1:6" ht="15.75" customHeight="1" x14ac:dyDescent="0.25">
      <c r="A9" s="15" t="s">
        <v>46</v>
      </c>
      <c r="B9" s="27" t="s">
        <v>47</v>
      </c>
      <c r="C9" s="27"/>
      <c r="D9" s="27"/>
    </row>
    <row r="10" spans="1:6" ht="15.75" customHeight="1" x14ac:dyDescent="0.25">
      <c r="A10" s="15" t="s">
        <v>30</v>
      </c>
      <c r="B10" s="27" t="s">
        <v>31</v>
      </c>
      <c r="C10" s="27"/>
      <c r="D10" s="27"/>
    </row>
    <row r="11" spans="1:6" ht="30" customHeight="1" x14ac:dyDescent="0.25">
      <c r="A11" s="29" t="s">
        <v>48</v>
      </c>
      <c r="B11" s="27" t="s">
        <v>49</v>
      </c>
      <c r="C11" s="27"/>
      <c r="D11" s="27"/>
    </row>
    <row r="12" spans="1:6" ht="30" customHeight="1" x14ac:dyDescent="0.25">
      <c r="A12" s="29"/>
      <c r="B12" s="27" t="s">
        <v>50</v>
      </c>
      <c r="C12" s="27"/>
      <c r="D12" s="27"/>
    </row>
    <row r="13" spans="1:6" ht="30" customHeight="1" x14ac:dyDescent="0.25">
      <c r="A13" s="29"/>
      <c r="B13" s="27" t="s">
        <v>51</v>
      </c>
      <c r="C13" s="27"/>
      <c r="D13" s="27"/>
    </row>
    <row r="14" spans="1:6" ht="30" customHeight="1" x14ac:dyDescent="0.25">
      <c r="A14" s="29"/>
      <c r="B14" s="27" t="s">
        <v>52</v>
      </c>
      <c r="C14" s="27"/>
      <c r="D14" s="27"/>
    </row>
    <row r="15" spans="1:6" ht="15.75" customHeight="1" x14ac:dyDescent="0.25">
      <c r="A15" s="15" t="s">
        <v>32</v>
      </c>
      <c r="B15" s="27" t="s">
        <v>33</v>
      </c>
      <c r="C15" s="27"/>
      <c r="D15" s="27"/>
    </row>
    <row r="17" spans="1:4" ht="15.75" x14ac:dyDescent="0.25">
      <c r="A17" s="28" t="s">
        <v>53</v>
      </c>
      <c r="B17" s="28"/>
      <c r="C17" s="28"/>
      <c r="D17" s="28"/>
    </row>
    <row r="18" spans="1:4" ht="22.35" customHeight="1" x14ac:dyDescent="0.25">
      <c r="A18" s="26" t="s">
        <v>54</v>
      </c>
      <c r="B18" s="26"/>
      <c r="C18" s="26"/>
      <c r="D18" s="26"/>
    </row>
    <row r="19" spans="1:4" ht="22.35" customHeight="1" x14ac:dyDescent="0.25">
      <c r="A19" s="26" t="s">
        <v>55</v>
      </c>
      <c r="B19" s="26"/>
      <c r="C19" s="26"/>
      <c r="D19" s="26"/>
    </row>
    <row r="20" spans="1:4" ht="22.35" customHeight="1" x14ac:dyDescent="0.25">
      <c r="A20" s="26" t="s">
        <v>56</v>
      </c>
      <c r="B20" s="26"/>
      <c r="C20" s="26"/>
      <c r="D20" s="26"/>
    </row>
    <row r="22" spans="1:4" ht="15.75" x14ac:dyDescent="0.25">
      <c r="A22" s="25" t="s">
        <v>57</v>
      </c>
      <c r="B22" s="25"/>
      <c r="C22" s="25"/>
      <c r="D22" s="25"/>
    </row>
    <row r="23" spans="1:4" ht="60" customHeight="1" x14ac:dyDescent="0.25">
      <c r="A23" s="26" t="s">
        <v>45</v>
      </c>
      <c r="B23" s="26"/>
      <c r="C23" s="26"/>
      <c r="D23" s="26"/>
    </row>
  </sheetData>
  <mergeCells count="18">
    <mergeCell ref="A1:C1"/>
    <mergeCell ref="A2:F2"/>
    <mergeCell ref="B7:D7"/>
    <mergeCell ref="B8:D8"/>
    <mergeCell ref="B9:D9"/>
    <mergeCell ref="B10:D10"/>
    <mergeCell ref="A11:A14"/>
    <mergeCell ref="B11:D11"/>
    <mergeCell ref="B12:D12"/>
    <mergeCell ref="B13:D13"/>
    <mergeCell ref="B14:D14"/>
    <mergeCell ref="A22:D22"/>
    <mergeCell ref="A23:D23"/>
    <mergeCell ref="B15:D15"/>
    <mergeCell ref="A17:D17"/>
    <mergeCell ref="A18:D18"/>
    <mergeCell ref="A19:D19"/>
    <mergeCell ref="A20:D20"/>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5"/>
  <sheetViews>
    <sheetView showGridLines="0" topLeftCell="B1" zoomScaleNormal="100" workbookViewId="0">
      <selection activeCell="M5" sqref="M5"/>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23" t="s">
        <v>114</v>
      </c>
      <c r="B2" s="23"/>
      <c r="C2" s="23"/>
      <c r="D2" s="23"/>
      <c r="E2" s="23"/>
      <c r="F2" s="23"/>
      <c r="G2" s="23"/>
      <c r="H2" s="23"/>
      <c r="I2" s="23"/>
      <c r="J2" s="23"/>
      <c r="K2" s="23"/>
      <c r="L2" s="23"/>
      <c r="M2" s="23"/>
      <c r="N2" s="23"/>
    </row>
    <row r="4" spans="1:14" ht="24" customHeight="1" x14ac:dyDescent="0.25">
      <c r="A4" s="1" t="s">
        <v>115</v>
      </c>
      <c r="B4" s="1" t="s">
        <v>116</v>
      </c>
      <c r="C4" s="1" t="s">
        <v>117</v>
      </c>
      <c r="D4" s="1" t="s">
        <v>118</v>
      </c>
      <c r="E4" s="1" t="s">
        <v>60</v>
      </c>
      <c r="F4" s="1" t="s">
        <v>61</v>
      </c>
      <c r="G4" s="1" t="s">
        <v>119</v>
      </c>
      <c r="H4" s="1" t="s">
        <v>8</v>
      </c>
      <c r="I4" s="1" t="s">
        <v>120</v>
      </c>
      <c r="J4" s="1" t="s">
        <v>121</v>
      </c>
      <c r="K4" s="1" t="s">
        <v>122</v>
      </c>
      <c r="L4" s="1" t="s">
        <v>123</v>
      </c>
      <c r="M4" s="1" t="s">
        <v>8</v>
      </c>
      <c r="N4" s="1" t="s">
        <v>124</v>
      </c>
    </row>
    <row r="5" spans="1:14" ht="81" customHeight="1" x14ac:dyDescent="0.25">
      <c r="A5" s="7" t="s">
        <v>125</v>
      </c>
      <c r="B5" s="13" t="s">
        <v>126</v>
      </c>
      <c r="C5" s="3" t="s">
        <v>127</v>
      </c>
      <c r="D5" s="17" t="s">
        <v>128</v>
      </c>
      <c r="E5" s="7">
        <v>3</v>
      </c>
      <c r="F5" s="7">
        <v>5</v>
      </c>
      <c r="G5" s="7">
        <f t="shared" ref="G5:G24" si="0">E5*F5</f>
        <v>15</v>
      </c>
      <c r="H5" s="7" t="str">
        <f t="shared" ref="H5:H24" si="1">IF(G5&lt;=4,"Low",IF(G5&lt;=9,"Medium",IF(G5&lt;=15,"High","Critical")))</f>
        <v>High</v>
      </c>
      <c r="I5" s="3" t="s">
        <v>129</v>
      </c>
      <c r="J5" s="7">
        <v>1</v>
      </c>
      <c r="K5" s="7">
        <v>5</v>
      </c>
      <c r="L5" s="7">
        <f t="shared" ref="L5:L24" si="2">J5*K5</f>
        <v>5</v>
      </c>
      <c r="M5" s="7" t="str">
        <f t="shared" ref="M5:M24" si="3">IF(L5="","",IF(L5&lt;=4,"Low",IF(L5&lt;=9,"Medium",IF(L5&lt;=15,"High","Critical"))))</f>
        <v>Medium</v>
      </c>
      <c r="N5" s="17" t="s">
        <v>130</v>
      </c>
    </row>
    <row r="6" spans="1:14" ht="93.75" customHeight="1" x14ac:dyDescent="0.25">
      <c r="A6" s="7" t="s">
        <v>131</v>
      </c>
      <c r="B6" s="13" t="s">
        <v>132</v>
      </c>
      <c r="C6" s="3" t="s">
        <v>133</v>
      </c>
      <c r="D6" s="17" t="s">
        <v>134</v>
      </c>
      <c r="E6" s="7">
        <v>2</v>
      </c>
      <c r="F6" s="7">
        <v>5</v>
      </c>
      <c r="G6" s="7">
        <f t="shared" si="0"/>
        <v>10</v>
      </c>
      <c r="H6" s="7" t="str">
        <f t="shared" si="1"/>
        <v>High</v>
      </c>
      <c r="I6" s="3" t="s">
        <v>135</v>
      </c>
      <c r="J6" s="7">
        <v>1</v>
      </c>
      <c r="K6" s="7">
        <v>5</v>
      </c>
      <c r="L6" s="7">
        <f t="shared" si="2"/>
        <v>5</v>
      </c>
      <c r="M6" s="7" t="str">
        <f t="shared" si="3"/>
        <v>Medium</v>
      </c>
      <c r="N6" s="17" t="s">
        <v>130</v>
      </c>
    </row>
    <row r="7" spans="1:14" ht="81" customHeight="1" x14ac:dyDescent="0.25">
      <c r="A7" s="7" t="s">
        <v>136</v>
      </c>
      <c r="B7" s="13" t="s">
        <v>137</v>
      </c>
      <c r="C7" s="3" t="s">
        <v>138</v>
      </c>
      <c r="D7" s="17" t="s">
        <v>139</v>
      </c>
      <c r="E7" s="7">
        <v>2</v>
      </c>
      <c r="F7" s="7">
        <v>5</v>
      </c>
      <c r="G7" s="7">
        <f t="shared" si="0"/>
        <v>10</v>
      </c>
      <c r="H7" s="7" t="str">
        <f t="shared" si="1"/>
        <v>High</v>
      </c>
      <c r="I7" s="3" t="s">
        <v>140</v>
      </c>
      <c r="J7" s="7">
        <v>1</v>
      </c>
      <c r="K7" s="7">
        <v>5</v>
      </c>
      <c r="L7" s="7">
        <f t="shared" si="2"/>
        <v>5</v>
      </c>
      <c r="M7" s="7" t="str">
        <f t="shared" si="3"/>
        <v>Medium</v>
      </c>
      <c r="N7" s="17" t="s">
        <v>130</v>
      </c>
    </row>
    <row r="8" spans="1:14" ht="93.75" customHeight="1" x14ac:dyDescent="0.25">
      <c r="A8" s="7" t="s">
        <v>141</v>
      </c>
      <c r="B8" s="13" t="s">
        <v>142</v>
      </c>
      <c r="C8" s="3" t="s">
        <v>143</v>
      </c>
      <c r="D8" s="17" t="s">
        <v>144</v>
      </c>
      <c r="E8" s="7">
        <v>3</v>
      </c>
      <c r="F8" s="7">
        <v>5</v>
      </c>
      <c r="G8" s="7">
        <f t="shared" si="0"/>
        <v>15</v>
      </c>
      <c r="H8" s="7" t="str">
        <f t="shared" si="1"/>
        <v>High</v>
      </c>
      <c r="I8" s="3" t="s">
        <v>145</v>
      </c>
      <c r="J8" s="7">
        <v>1</v>
      </c>
      <c r="K8" s="7">
        <v>5</v>
      </c>
      <c r="L8" s="7">
        <f t="shared" si="2"/>
        <v>5</v>
      </c>
      <c r="M8" s="7" t="str">
        <f t="shared" si="3"/>
        <v>Medium</v>
      </c>
      <c r="N8" s="17" t="s">
        <v>130</v>
      </c>
    </row>
    <row r="9" spans="1:14" ht="93.75" customHeight="1" x14ac:dyDescent="0.25">
      <c r="A9" s="7" t="s">
        <v>146</v>
      </c>
      <c r="B9" s="13" t="s">
        <v>147</v>
      </c>
      <c r="C9" s="3" t="s">
        <v>148</v>
      </c>
      <c r="D9" s="17" t="s">
        <v>134</v>
      </c>
      <c r="E9" s="7">
        <v>2</v>
      </c>
      <c r="F9" s="7">
        <v>5</v>
      </c>
      <c r="G9" s="7">
        <f t="shared" si="0"/>
        <v>10</v>
      </c>
      <c r="H9" s="7" t="str">
        <f t="shared" si="1"/>
        <v>High</v>
      </c>
      <c r="I9" s="3" t="s">
        <v>149</v>
      </c>
      <c r="J9" s="7">
        <v>1</v>
      </c>
      <c r="K9" s="7">
        <v>5</v>
      </c>
      <c r="L9" s="7">
        <f t="shared" si="2"/>
        <v>5</v>
      </c>
      <c r="M9" s="7" t="str">
        <f t="shared" si="3"/>
        <v>Medium</v>
      </c>
      <c r="N9" s="17" t="s">
        <v>130</v>
      </c>
    </row>
    <row r="10" spans="1:14" ht="93.75" customHeight="1" x14ac:dyDescent="0.25">
      <c r="A10" s="7" t="s">
        <v>150</v>
      </c>
      <c r="B10" s="13" t="s">
        <v>151</v>
      </c>
      <c r="C10" s="3" t="s">
        <v>152</v>
      </c>
      <c r="D10" s="17" t="s">
        <v>134</v>
      </c>
      <c r="E10" s="7">
        <v>2</v>
      </c>
      <c r="F10" s="7">
        <v>5</v>
      </c>
      <c r="G10" s="7">
        <f t="shared" si="0"/>
        <v>10</v>
      </c>
      <c r="H10" s="7" t="str">
        <f t="shared" si="1"/>
        <v>High</v>
      </c>
      <c r="I10" s="3" t="s">
        <v>153</v>
      </c>
      <c r="J10" s="7">
        <v>1</v>
      </c>
      <c r="K10" s="7">
        <v>5</v>
      </c>
      <c r="L10" s="7">
        <f t="shared" si="2"/>
        <v>5</v>
      </c>
      <c r="M10" s="7" t="str">
        <f t="shared" si="3"/>
        <v>Medium</v>
      </c>
      <c r="N10" s="17" t="s">
        <v>130</v>
      </c>
    </row>
    <row r="11" spans="1:14" ht="93.75" customHeight="1" x14ac:dyDescent="0.25">
      <c r="A11" s="7" t="s">
        <v>154</v>
      </c>
      <c r="B11" s="13" t="s">
        <v>155</v>
      </c>
      <c r="C11" s="3" t="s">
        <v>156</v>
      </c>
      <c r="D11" s="17" t="s">
        <v>134</v>
      </c>
      <c r="E11" s="7">
        <v>3</v>
      </c>
      <c r="F11" s="7">
        <v>4</v>
      </c>
      <c r="G11" s="7">
        <f t="shared" si="0"/>
        <v>12</v>
      </c>
      <c r="H11" s="7" t="str">
        <f t="shared" si="1"/>
        <v>High</v>
      </c>
      <c r="I11" s="3" t="s">
        <v>157</v>
      </c>
      <c r="J11" s="7">
        <v>1</v>
      </c>
      <c r="K11" s="7">
        <v>4</v>
      </c>
      <c r="L11" s="7">
        <f t="shared" si="2"/>
        <v>4</v>
      </c>
      <c r="M11" s="7" t="str">
        <f t="shared" si="3"/>
        <v>Low</v>
      </c>
      <c r="N11" s="17" t="s">
        <v>130</v>
      </c>
    </row>
    <row r="12" spans="1:14" ht="93.75" customHeight="1" x14ac:dyDescent="0.25">
      <c r="A12" s="7" t="s">
        <v>158</v>
      </c>
      <c r="B12" s="13" t="s">
        <v>159</v>
      </c>
      <c r="C12" s="3" t="s">
        <v>160</v>
      </c>
      <c r="D12" s="17" t="s">
        <v>128</v>
      </c>
      <c r="E12" s="7">
        <v>2</v>
      </c>
      <c r="F12" s="7">
        <v>5</v>
      </c>
      <c r="G12" s="7">
        <f t="shared" si="0"/>
        <v>10</v>
      </c>
      <c r="H12" s="7" t="str">
        <f t="shared" si="1"/>
        <v>High</v>
      </c>
      <c r="I12" s="3" t="s">
        <v>161</v>
      </c>
      <c r="J12" s="7">
        <v>1</v>
      </c>
      <c r="K12" s="7">
        <v>5</v>
      </c>
      <c r="L12" s="7">
        <f t="shared" si="2"/>
        <v>5</v>
      </c>
      <c r="M12" s="7" t="str">
        <f t="shared" si="3"/>
        <v>Medium</v>
      </c>
      <c r="N12" s="17" t="s">
        <v>130</v>
      </c>
    </row>
    <row r="13" spans="1:14" ht="93.75" customHeight="1" x14ac:dyDescent="0.25">
      <c r="A13" s="7" t="s">
        <v>162</v>
      </c>
      <c r="B13" s="13" t="s">
        <v>163</v>
      </c>
      <c r="C13" s="3" t="s">
        <v>164</v>
      </c>
      <c r="D13" s="17" t="s">
        <v>128</v>
      </c>
      <c r="E13" s="7">
        <v>3</v>
      </c>
      <c r="F13" s="7">
        <v>4</v>
      </c>
      <c r="G13" s="7">
        <f t="shared" si="0"/>
        <v>12</v>
      </c>
      <c r="H13" s="7" t="str">
        <f t="shared" si="1"/>
        <v>High</v>
      </c>
      <c r="I13" s="3" t="s">
        <v>165</v>
      </c>
      <c r="J13" s="7">
        <v>1</v>
      </c>
      <c r="K13" s="7">
        <v>4</v>
      </c>
      <c r="L13" s="7">
        <f t="shared" si="2"/>
        <v>4</v>
      </c>
      <c r="M13" s="7" t="str">
        <f t="shared" si="3"/>
        <v>Low</v>
      </c>
      <c r="N13" s="17" t="s">
        <v>130</v>
      </c>
    </row>
    <row r="14" spans="1:14" ht="93.75" customHeight="1" x14ac:dyDescent="0.25">
      <c r="A14" s="7" t="s">
        <v>166</v>
      </c>
      <c r="B14" s="13" t="s">
        <v>167</v>
      </c>
      <c r="C14" s="3" t="s">
        <v>168</v>
      </c>
      <c r="D14" s="17" t="s">
        <v>134</v>
      </c>
      <c r="E14" s="7">
        <v>3</v>
      </c>
      <c r="F14" s="7">
        <v>4</v>
      </c>
      <c r="G14" s="7">
        <f t="shared" si="0"/>
        <v>12</v>
      </c>
      <c r="H14" s="7" t="str">
        <f t="shared" si="1"/>
        <v>High</v>
      </c>
      <c r="I14" s="3" t="s">
        <v>169</v>
      </c>
      <c r="J14" s="7">
        <v>1</v>
      </c>
      <c r="K14" s="7">
        <v>4</v>
      </c>
      <c r="L14" s="7">
        <f t="shared" si="2"/>
        <v>4</v>
      </c>
      <c r="M14" s="7" t="str">
        <f t="shared" si="3"/>
        <v>Low</v>
      </c>
      <c r="N14" s="17" t="s">
        <v>130</v>
      </c>
    </row>
    <row r="15" spans="1:14" ht="81" customHeight="1" x14ac:dyDescent="0.25">
      <c r="A15" s="7" t="s">
        <v>170</v>
      </c>
      <c r="B15" s="13" t="s">
        <v>171</v>
      </c>
      <c r="C15" s="3" t="s">
        <v>172</v>
      </c>
      <c r="D15" s="17" t="s">
        <v>134</v>
      </c>
      <c r="E15" s="7">
        <v>2</v>
      </c>
      <c r="F15" s="7">
        <v>4</v>
      </c>
      <c r="G15" s="7">
        <f t="shared" si="0"/>
        <v>8</v>
      </c>
      <c r="H15" s="7" t="str">
        <f t="shared" si="1"/>
        <v>Medium</v>
      </c>
      <c r="I15" s="3" t="s">
        <v>173</v>
      </c>
      <c r="J15" s="7">
        <v>1</v>
      </c>
      <c r="K15" s="7">
        <v>4</v>
      </c>
      <c r="L15" s="7">
        <f t="shared" si="2"/>
        <v>4</v>
      </c>
      <c r="M15" s="7" t="str">
        <f t="shared" si="3"/>
        <v>Low</v>
      </c>
      <c r="N15" s="17" t="s">
        <v>130</v>
      </c>
    </row>
    <row r="16" spans="1:14" ht="93.75" customHeight="1" x14ac:dyDescent="0.25">
      <c r="A16" s="7" t="s">
        <v>174</v>
      </c>
      <c r="B16" s="13" t="s">
        <v>175</v>
      </c>
      <c r="C16" s="3" t="s">
        <v>176</v>
      </c>
      <c r="D16" s="17" t="s">
        <v>134</v>
      </c>
      <c r="E16" s="7">
        <v>2</v>
      </c>
      <c r="F16" s="7">
        <v>5</v>
      </c>
      <c r="G16" s="7">
        <f t="shared" si="0"/>
        <v>10</v>
      </c>
      <c r="H16" s="7" t="str">
        <f t="shared" si="1"/>
        <v>High</v>
      </c>
      <c r="I16" s="3" t="s">
        <v>177</v>
      </c>
      <c r="J16" s="7">
        <v>1</v>
      </c>
      <c r="K16" s="7">
        <v>5</v>
      </c>
      <c r="L16" s="7">
        <f t="shared" si="2"/>
        <v>5</v>
      </c>
      <c r="M16" s="7" t="str">
        <f t="shared" si="3"/>
        <v>Medium</v>
      </c>
      <c r="N16" s="17" t="s">
        <v>130</v>
      </c>
    </row>
    <row r="17" spans="1:14" ht="93.75" customHeight="1" x14ac:dyDescent="0.25">
      <c r="A17" s="7" t="s">
        <v>178</v>
      </c>
      <c r="B17" s="13" t="s">
        <v>179</v>
      </c>
      <c r="C17" s="3" t="s">
        <v>180</v>
      </c>
      <c r="D17" s="17" t="s">
        <v>144</v>
      </c>
      <c r="E17" s="7">
        <v>2</v>
      </c>
      <c r="F17" s="7">
        <v>5</v>
      </c>
      <c r="G17" s="7">
        <f t="shared" si="0"/>
        <v>10</v>
      </c>
      <c r="H17" s="7" t="str">
        <f t="shared" si="1"/>
        <v>High</v>
      </c>
      <c r="I17" s="3" t="s">
        <v>181</v>
      </c>
      <c r="J17" s="7">
        <v>1</v>
      </c>
      <c r="K17" s="7">
        <v>5</v>
      </c>
      <c r="L17" s="7">
        <f t="shared" si="2"/>
        <v>5</v>
      </c>
      <c r="M17" s="7" t="str">
        <f t="shared" si="3"/>
        <v>Medium</v>
      </c>
      <c r="N17" s="17" t="s">
        <v>130</v>
      </c>
    </row>
    <row r="18" spans="1:14" ht="81" customHeight="1" x14ac:dyDescent="0.25">
      <c r="A18" s="7" t="s">
        <v>182</v>
      </c>
      <c r="B18" s="13" t="s">
        <v>183</v>
      </c>
      <c r="C18" s="3" t="s">
        <v>184</v>
      </c>
      <c r="D18" s="17" t="s">
        <v>128</v>
      </c>
      <c r="E18" s="7">
        <v>2</v>
      </c>
      <c r="F18" s="7">
        <v>4</v>
      </c>
      <c r="G18" s="7">
        <f t="shared" si="0"/>
        <v>8</v>
      </c>
      <c r="H18" s="7" t="str">
        <f t="shared" si="1"/>
        <v>Medium</v>
      </c>
      <c r="I18" s="3" t="s">
        <v>185</v>
      </c>
      <c r="J18" s="7">
        <v>1</v>
      </c>
      <c r="K18" s="7">
        <v>4</v>
      </c>
      <c r="L18" s="7">
        <f t="shared" si="2"/>
        <v>4</v>
      </c>
      <c r="M18" s="7" t="str">
        <f t="shared" si="3"/>
        <v>Low</v>
      </c>
      <c r="N18" s="17" t="s">
        <v>130</v>
      </c>
    </row>
    <row r="19" spans="1:14" ht="81" customHeight="1" x14ac:dyDescent="0.25">
      <c r="A19" s="7" t="s">
        <v>186</v>
      </c>
      <c r="B19" s="13" t="s">
        <v>187</v>
      </c>
      <c r="C19" s="3" t="s">
        <v>188</v>
      </c>
      <c r="D19" s="17" t="s">
        <v>128</v>
      </c>
      <c r="E19" s="7">
        <v>3</v>
      </c>
      <c r="F19" s="7">
        <v>4</v>
      </c>
      <c r="G19" s="7">
        <f t="shared" si="0"/>
        <v>12</v>
      </c>
      <c r="H19" s="7" t="str">
        <f t="shared" si="1"/>
        <v>High</v>
      </c>
      <c r="I19" s="3" t="s">
        <v>189</v>
      </c>
      <c r="J19" s="7">
        <v>1</v>
      </c>
      <c r="K19" s="7">
        <v>4</v>
      </c>
      <c r="L19" s="7">
        <f t="shared" si="2"/>
        <v>4</v>
      </c>
      <c r="M19" s="7" t="str">
        <f t="shared" si="3"/>
        <v>Low</v>
      </c>
      <c r="N19" s="17" t="s">
        <v>130</v>
      </c>
    </row>
    <row r="20" spans="1:14" ht="67.5" customHeight="1" x14ac:dyDescent="0.25">
      <c r="A20" s="7" t="s">
        <v>190</v>
      </c>
      <c r="B20" s="13" t="s">
        <v>191</v>
      </c>
      <c r="C20" s="3" t="s">
        <v>192</v>
      </c>
      <c r="D20" s="17" t="s">
        <v>128</v>
      </c>
      <c r="E20" s="7">
        <v>3</v>
      </c>
      <c r="F20" s="7">
        <v>3</v>
      </c>
      <c r="G20" s="7">
        <f t="shared" si="0"/>
        <v>9</v>
      </c>
      <c r="H20" s="7" t="str">
        <f t="shared" si="1"/>
        <v>Medium</v>
      </c>
      <c r="I20" s="3" t="s">
        <v>193</v>
      </c>
      <c r="J20" s="7">
        <v>1</v>
      </c>
      <c r="K20" s="7">
        <v>3</v>
      </c>
      <c r="L20" s="7">
        <f t="shared" si="2"/>
        <v>3</v>
      </c>
      <c r="M20" s="7" t="str">
        <f t="shared" si="3"/>
        <v>Low</v>
      </c>
      <c r="N20" s="17" t="s">
        <v>130</v>
      </c>
    </row>
    <row r="21" spans="1:14" ht="81" customHeight="1" x14ac:dyDescent="0.25">
      <c r="A21" s="7" t="s">
        <v>194</v>
      </c>
      <c r="B21" s="13" t="s">
        <v>195</v>
      </c>
      <c r="C21" s="3" t="s">
        <v>196</v>
      </c>
      <c r="D21" s="17" t="s">
        <v>128</v>
      </c>
      <c r="E21" s="7">
        <v>2</v>
      </c>
      <c r="F21" s="7">
        <v>4</v>
      </c>
      <c r="G21" s="7">
        <f t="shared" si="0"/>
        <v>8</v>
      </c>
      <c r="H21" s="7" t="str">
        <f t="shared" si="1"/>
        <v>Medium</v>
      </c>
      <c r="I21" s="3" t="s">
        <v>197</v>
      </c>
      <c r="J21" s="7">
        <v>1</v>
      </c>
      <c r="K21" s="7">
        <v>4</v>
      </c>
      <c r="L21" s="7">
        <f t="shared" si="2"/>
        <v>4</v>
      </c>
      <c r="M21" s="7" t="str">
        <f t="shared" si="3"/>
        <v>Low</v>
      </c>
      <c r="N21" s="17" t="s">
        <v>130</v>
      </c>
    </row>
    <row r="22" spans="1:14" ht="81" customHeight="1" x14ac:dyDescent="0.25">
      <c r="A22" s="7" t="s">
        <v>198</v>
      </c>
      <c r="B22" s="13" t="s">
        <v>199</v>
      </c>
      <c r="C22" s="3" t="s">
        <v>200</v>
      </c>
      <c r="D22" s="17" t="s">
        <v>128</v>
      </c>
      <c r="E22" s="7">
        <v>2</v>
      </c>
      <c r="F22" s="7">
        <v>5</v>
      </c>
      <c r="G22" s="7">
        <f t="shared" si="0"/>
        <v>10</v>
      </c>
      <c r="H22" s="7" t="str">
        <f t="shared" si="1"/>
        <v>High</v>
      </c>
      <c r="I22" s="3" t="s">
        <v>201</v>
      </c>
      <c r="J22" s="7">
        <v>1</v>
      </c>
      <c r="K22" s="7">
        <v>5</v>
      </c>
      <c r="L22" s="7">
        <f t="shared" si="2"/>
        <v>5</v>
      </c>
      <c r="M22" s="7" t="str">
        <f t="shared" si="3"/>
        <v>Medium</v>
      </c>
      <c r="N22" s="17" t="s">
        <v>130</v>
      </c>
    </row>
    <row r="23" spans="1:14" ht="93.75" customHeight="1" x14ac:dyDescent="0.25">
      <c r="A23" s="7" t="s">
        <v>202</v>
      </c>
      <c r="B23" s="13" t="s">
        <v>203</v>
      </c>
      <c r="C23" s="3" t="s">
        <v>204</v>
      </c>
      <c r="D23" s="17" t="s">
        <v>134</v>
      </c>
      <c r="E23" s="7">
        <v>2</v>
      </c>
      <c r="F23" s="7">
        <v>5</v>
      </c>
      <c r="G23" s="7">
        <f t="shared" si="0"/>
        <v>10</v>
      </c>
      <c r="H23" s="7" t="str">
        <f t="shared" si="1"/>
        <v>High</v>
      </c>
      <c r="I23" s="3" t="s">
        <v>205</v>
      </c>
      <c r="J23" s="7">
        <v>1</v>
      </c>
      <c r="K23" s="7">
        <v>5</v>
      </c>
      <c r="L23" s="7">
        <f t="shared" si="2"/>
        <v>5</v>
      </c>
      <c r="M23" s="7" t="str">
        <f t="shared" si="3"/>
        <v>Medium</v>
      </c>
      <c r="N23" s="17" t="s">
        <v>130</v>
      </c>
    </row>
    <row r="24" spans="1:14" ht="81" customHeight="1" x14ac:dyDescent="0.25">
      <c r="A24" s="7" t="s">
        <v>206</v>
      </c>
      <c r="B24" s="13" t="s">
        <v>207</v>
      </c>
      <c r="C24" s="3" t="s">
        <v>208</v>
      </c>
      <c r="D24" s="17" t="s">
        <v>134</v>
      </c>
      <c r="E24" s="7">
        <v>2</v>
      </c>
      <c r="F24" s="7">
        <v>4</v>
      </c>
      <c r="G24" s="7">
        <f t="shared" si="0"/>
        <v>8</v>
      </c>
      <c r="H24" s="7" t="str">
        <f t="shared" si="1"/>
        <v>Medium</v>
      </c>
      <c r="I24" s="3" t="s">
        <v>209</v>
      </c>
      <c r="J24" s="7">
        <v>1</v>
      </c>
      <c r="K24" s="7">
        <v>4</v>
      </c>
      <c r="L24" s="7">
        <f t="shared" si="2"/>
        <v>4</v>
      </c>
      <c r="M24" s="7" t="str">
        <f t="shared" si="3"/>
        <v>Low</v>
      </c>
      <c r="N24" s="17" t="s">
        <v>130</v>
      </c>
    </row>
    <row r="27" spans="1:14" ht="15" customHeight="1" x14ac:dyDescent="0.25">
      <c r="A27" s="24" t="s">
        <v>210</v>
      </c>
      <c r="B27" s="24"/>
      <c r="C27" s="24"/>
      <c r="D27" s="24"/>
      <c r="E27" s="24"/>
      <c r="F27" s="24"/>
      <c r="G27" s="24"/>
      <c r="H27" s="24"/>
      <c r="I27" s="24"/>
      <c r="J27" s="24"/>
      <c r="K27" s="24"/>
      <c r="L27" s="24"/>
      <c r="M27" s="24"/>
      <c r="N27" s="24"/>
    </row>
    <row r="28" spans="1:14" x14ac:dyDescent="0.25">
      <c r="H28" s="19"/>
    </row>
    <row r="29" spans="1:14" x14ac:dyDescent="0.25">
      <c r="A29" s="20" t="s">
        <v>211</v>
      </c>
      <c r="B29" s="20"/>
      <c r="C29" s="20"/>
      <c r="D29" s="21"/>
      <c r="E29" s="21"/>
      <c r="F29" s="21"/>
      <c r="G29" s="21"/>
      <c r="H29" s="22"/>
    </row>
    <row r="30" spans="1:14" x14ac:dyDescent="0.25">
      <c r="A30" s="20" t="s">
        <v>212</v>
      </c>
      <c r="B30" s="20"/>
      <c r="C30" s="20"/>
      <c r="D30" s="21"/>
      <c r="E30" s="21"/>
      <c r="F30" s="21"/>
      <c r="G30" s="21"/>
      <c r="H30" s="22"/>
    </row>
    <row r="31" spans="1:14" x14ac:dyDescent="0.25">
      <c r="A31" s="20" t="s">
        <v>213</v>
      </c>
      <c r="B31" s="20"/>
      <c r="C31" s="20"/>
      <c r="D31" s="21"/>
      <c r="E31" s="21"/>
      <c r="F31" s="21"/>
      <c r="G31" s="21"/>
      <c r="H31" s="22"/>
    </row>
    <row r="32" spans="1:14" x14ac:dyDescent="0.25">
      <c r="A32" s="20" t="s">
        <v>214</v>
      </c>
      <c r="B32" s="20"/>
      <c r="C32" s="20"/>
      <c r="D32" s="21"/>
      <c r="E32" s="21"/>
      <c r="F32" s="21"/>
      <c r="G32" s="21"/>
      <c r="H32" s="22"/>
    </row>
    <row r="33" spans="1:8" x14ac:dyDescent="0.25">
      <c r="A33" s="20" t="s">
        <v>212</v>
      </c>
      <c r="B33" s="20"/>
      <c r="C33" s="20"/>
      <c r="D33" s="21"/>
      <c r="E33" s="21"/>
      <c r="F33" s="21"/>
      <c r="G33" s="21"/>
      <c r="H33" s="22"/>
    </row>
    <row r="34" spans="1:8" x14ac:dyDescent="0.25">
      <c r="A34" s="20" t="s">
        <v>213</v>
      </c>
      <c r="B34" s="20"/>
      <c r="C34" s="20"/>
      <c r="D34" s="21"/>
      <c r="E34" s="21"/>
      <c r="F34" s="21"/>
      <c r="G34" s="21"/>
      <c r="H34" s="22"/>
    </row>
    <row r="35" spans="1:8" x14ac:dyDescent="0.25">
      <c r="A35" s="20" t="s">
        <v>215</v>
      </c>
      <c r="B35" s="20"/>
      <c r="C35" s="20"/>
      <c r="D35" s="21"/>
      <c r="E35" s="21"/>
      <c r="F35" s="21"/>
      <c r="G35" s="21"/>
      <c r="H35" s="22"/>
    </row>
  </sheetData>
  <mergeCells count="16">
    <mergeCell ref="A2:N2"/>
    <mergeCell ref="A27:N27"/>
    <mergeCell ref="A29:C29"/>
    <mergeCell ref="D29:H29"/>
    <mergeCell ref="A30:C30"/>
    <mergeCell ref="D30:H30"/>
    <mergeCell ref="A34:C34"/>
    <mergeCell ref="D34:H34"/>
    <mergeCell ref="A35:C35"/>
    <mergeCell ref="D35:H35"/>
    <mergeCell ref="A31:C31"/>
    <mergeCell ref="D31:H31"/>
    <mergeCell ref="A32:C32"/>
    <mergeCell ref="D32:H32"/>
    <mergeCell ref="A33:C33"/>
    <mergeCell ref="D33:H33"/>
  </mergeCells>
  <conditionalFormatting sqref="E5:F24">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24">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24">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24">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24">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24">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24 J5:K24" xr:uid="{00000000-0002-0000-0300-000000000000}">
      <formula1>"1,2,3,4,5"</formula1>
      <formula2>0</formula2>
    </dataValidation>
    <dataValidation type="list" allowBlank="1" errorTitle="Invalid Status" error="Please select Open, Closed, or In Progress" sqref="N5:N24"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tabSelected="1" zoomScaleNormal="100" workbookViewId="0">
      <selection activeCell="F32" sqref="F32"/>
    </sheetView>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23" t="s">
        <v>0</v>
      </c>
      <c r="B2" s="23"/>
      <c r="C2" s="23"/>
      <c r="D2" s="23"/>
      <c r="E2" s="23"/>
      <c r="F2" s="23"/>
      <c r="G2" s="23"/>
    </row>
    <row r="4" spans="1:7" ht="15.75" x14ac:dyDescent="0.25">
      <c r="B4" s="4" t="s">
        <v>1</v>
      </c>
    </row>
    <row r="5" spans="1:7" ht="24" x14ac:dyDescent="0.25">
      <c r="C5" s="1" t="s">
        <v>2</v>
      </c>
      <c r="D5" s="1" t="s">
        <v>3</v>
      </c>
      <c r="E5" s="1" t="s">
        <v>4</v>
      </c>
      <c r="F5" s="1" t="s">
        <v>5</v>
      </c>
      <c r="G5" s="1" t="s">
        <v>6</v>
      </c>
    </row>
    <row r="6" spans="1:7" ht="36" customHeight="1" x14ac:dyDescent="0.25">
      <c r="C6" s="5">
        <f>COUNTA('Risk Assessment'!A5:A24)</f>
        <v>20</v>
      </c>
      <c r="D6" s="5">
        <f>COUNTIF('Risk Assessment'!H5:H24,"Critical")</f>
        <v>0</v>
      </c>
      <c r="E6" s="5">
        <f>COUNTIF('Risk Assessment'!H5:H24,"High")</f>
        <v>15</v>
      </c>
      <c r="F6" s="5">
        <f>COUNTIF('Risk Assessment'!H5:H24,"Medium")</f>
        <v>5</v>
      </c>
      <c r="G6" s="5">
        <f>COUNTIF('Risk Assessment'!H5:H24,"Low")</f>
        <v>0</v>
      </c>
    </row>
    <row r="8" spans="1:7" ht="15.75" x14ac:dyDescent="0.25">
      <c r="B8" s="25" t="s">
        <v>7</v>
      </c>
      <c r="C8" s="25"/>
      <c r="D8" s="25"/>
      <c r="E8" s="25"/>
      <c r="F8" s="25"/>
      <c r="G8" s="25"/>
    </row>
    <row r="9" spans="1:7" x14ac:dyDescent="0.25">
      <c r="C9" s="1" t="s">
        <v>8</v>
      </c>
      <c r="D9" s="1" t="s">
        <v>9</v>
      </c>
      <c r="E9" s="1" t="s">
        <v>10</v>
      </c>
    </row>
    <row r="10" spans="1:7" x14ac:dyDescent="0.25">
      <c r="C10" s="6" t="s">
        <v>11</v>
      </c>
      <c r="D10" s="7">
        <f>COUNTIF('Risk Assessment'!H5:H24,"Critical")</f>
        <v>0</v>
      </c>
      <c r="E10" s="7" t="str">
        <f>IF(D10=0,"0%",TEXT(D10/C6,"0%"))</f>
        <v>0%</v>
      </c>
    </row>
    <row r="11" spans="1:7" x14ac:dyDescent="0.25">
      <c r="C11" s="8" t="s">
        <v>12</v>
      </c>
      <c r="D11" s="7">
        <f>COUNTIF('Risk Assessment'!H5:H24,"High")</f>
        <v>15</v>
      </c>
      <c r="E11" s="7" t="str">
        <f>IF(D11=0,"0%",TEXT(D11/C6,"0%"))</f>
        <v>75%</v>
      </c>
    </row>
    <row r="12" spans="1:7" x14ac:dyDescent="0.25">
      <c r="C12" s="9" t="s">
        <v>13</v>
      </c>
      <c r="D12" s="7">
        <f>COUNTIF('Risk Assessment'!H5:H24,"Medium")</f>
        <v>5</v>
      </c>
      <c r="E12" s="7" t="str">
        <f>IF(D12=0,"0%",TEXT(D12/C6,"0%"))</f>
        <v>25%</v>
      </c>
    </row>
    <row r="13" spans="1:7" x14ac:dyDescent="0.25">
      <c r="C13" s="10" t="s">
        <v>14</v>
      </c>
      <c r="D13" s="7">
        <f>COUNTIF('Risk Assessment'!H5:H24,"Low")</f>
        <v>0</v>
      </c>
      <c r="E13" s="7" t="str">
        <f>IF(D13=0,"0%",TEXT(D13/C6,"0%"))</f>
        <v>0%</v>
      </c>
    </row>
    <row r="15" spans="1:7" ht="15.75" x14ac:dyDescent="0.25">
      <c r="B15" s="25" t="s">
        <v>15</v>
      </c>
      <c r="C15" s="25"/>
      <c r="D15" s="25"/>
      <c r="E15" s="25"/>
      <c r="F15" s="25"/>
      <c r="G15" s="25"/>
    </row>
    <row r="16" spans="1:7" x14ac:dyDescent="0.25">
      <c r="C16" s="1" t="s">
        <v>8</v>
      </c>
      <c r="D16" s="1" t="s">
        <v>9</v>
      </c>
      <c r="E16" s="1" t="s">
        <v>10</v>
      </c>
    </row>
    <row r="17" spans="2:7" x14ac:dyDescent="0.25">
      <c r="C17" s="6" t="s">
        <v>11</v>
      </c>
      <c r="D17" s="7">
        <f>COUNTIF('Risk Assessment'!M5:M24,"Critical")</f>
        <v>0</v>
      </c>
      <c r="E17" s="7" t="str">
        <f>IF(D17=0,"0%",TEXT(D17/C6,"0%"))</f>
        <v>0%</v>
      </c>
    </row>
    <row r="18" spans="2:7" x14ac:dyDescent="0.25">
      <c r="C18" s="8" t="s">
        <v>12</v>
      </c>
      <c r="D18" s="7">
        <f>COUNTIF('Risk Assessment'!M5:M24,"High")</f>
        <v>0</v>
      </c>
      <c r="E18" s="7" t="str">
        <f>IF(D18=0,"0%",TEXT(D18/C6,"0%"))</f>
        <v>0%</v>
      </c>
    </row>
    <row r="19" spans="2:7" x14ac:dyDescent="0.25">
      <c r="C19" s="9" t="s">
        <v>13</v>
      </c>
      <c r="D19" s="7">
        <f>COUNTIF('Risk Assessment'!M5:M24,"Medium")</f>
        <v>11</v>
      </c>
      <c r="E19" s="7" t="str">
        <f>IF(D19=0,"0%",TEXT(D19/C6,"0%"))</f>
        <v>55%</v>
      </c>
    </row>
    <row r="20" spans="2:7" x14ac:dyDescent="0.25">
      <c r="C20" s="10" t="s">
        <v>14</v>
      </c>
      <c r="D20" s="7">
        <f>COUNTIF('Risk Assessment'!M5:M24,"Low")</f>
        <v>9</v>
      </c>
      <c r="E20" s="7" t="str">
        <f>IF(D20=0,"0%",TEXT(D20/C6,"0%"))</f>
        <v>45%</v>
      </c>
    </row>
    <row r="22" spans="2:7" ht="15.75" x14ac:dyDescent="0.25">
      <c r="B22" s="25" t="s">
        <v>16</v>
      </c>
      <c r="C22" s="25"/>
      <c r="D22" s="25"/>
      <c r="E22" s="25"/>
      <c r="F22" s="25"/>
      <c r="G22" s="25"/>
    </row>
    <row r="23" spans="2:7" x14ac:dyDescent="0.25">
      <c r="C23" s="1" t="s">
        <v>17</v>
      </c>
      <c r="D23" s="1" t="s">
        <v>18</v>
      </c>
    </row>
    <row r="24" spans="2:7" ht="21.75" customHeight="1" x14ac:dyDescent="0.25">
      <c r="C24" s="11" t="s">
        <v>19</v>
      </c>
      <c r="D24" s="12">
        <f>ROUND(AVERAGE('Risk Assessment'!G5:G24),1)</f>
        <v>10.5</v>
      </c>
    </row>
    <row r="25" spans="2:7" ht="21.75" customHeight="1" x14ac:dyDescent="0.25">
      <c r="C25" s="13" t="s">
        <v>20</v>
      </c>
      <c r="D25" s="14">
        <f>ROUND(AVERAGE('Risk Assessment'!L5:L24),1)</f>
        <v>4.5</v>
      </c>
    </row>
    <row r="26" spans="2:7" ht="21.75" customHeight="1" x14ac:dyDescent="0.25">
      <c r="C26" s="11" t="s">
        <v>21</v>
      </c>
      <c r="D26" s="12" t="str">
        <f>TEXT(1-(AVERAGE('Risk Assessment'!L5:L24)/AVERAGE('Risk Assessment'!G5:G24)),"0%")</f>
        <v>57%</v>
      </c>
    </row>
    <row r="27" spans="2:7" ht="21.75" customHeight="1" x14ac:dyDescent="0.25">
      <c r="C27" s="13" t="s">
        <v>22</v>
      </c>
      <c r="D27" s="14">
        <f>COUNTIF('Risk Assessment'!M5:M24,"Critical")</f>
        <v>0</v>
      </c>
    </row>
    <row r="28" spans="2:7" ht="21.75" customHeight="1" x14ac:dyDescent="0.25">
      <c r="C28" s="11" t="s">
        <v>23</v>
      </c>
      <c r="D28" s="12">
        <f>COUNTIF('Risk Assessment'!M5:M24,"High")</f>
        <v>0</v>
      </c>
    </row>
    <row r="29" spans="2:7" ht="21.75" customHeight="1" x14ac:dyDescent="0.25">
      <c r="C29" s="13" t="s">
        <v>24</v>
      </c>
      <c r="D29" s="14">
        <f>COUNTIF('Risk Assessment'!N5:N24,"Open")</f>
        <v>20</v>
      </c>
    </row>
    <row r="31" spans="2:7" ht="15.75" x14ac:dyDescent="0.25">
      <c r="B31" s="4" t="s">
        <v>25</v>
      </c>
    </row>
    <row r="32" spans="2:7" ht="24" x14ac:dyDescent="0.25">
      <c r="C32" s="15" t="s">
        <v>26</v>
      </c>
      <c r="D32" s="3" t="s">
        <v>27</v>
      </c>
    </row>
    <row r="33" spans="3:4" x14ac:dyDescent="0.25">
      <c r="C33" s="15" t="s">
        <v>28</v>
      </c>
      <c r="D33" s="3" t="s">
        <v>29</v>
      </c>
    </row>
    <row r="34" spans="3:4" x14ac:dyDescent="0.25">
      <c r="C34" s="15" t="s">
        <v>30</v>
      </c>
      <c r="D34" s="3" t="s">
        <v>31</v>
      </c>
    </row>
    <row r="35" spans="3:4" x14ac:dyDescent="0.25">
      <c r="C35" s="15" t="s">
        <v>32</v>
      </c>
      <c r="D35" s="3" t="s">
        <v>33</v>
      </c>
    </row>
    <row r="36" spans="3:4" ht="24" x14ac:dyDescent="0.25">
      <c r="C36" s="15" t="s">
        <v>34</v>
      </c>
      <c r="D36" s="3" t="s">
        <v>35</v>
      </c>
    </row>
    <row r="37" spans="3:4" x14ac:dyDescent="0.25">
      <c r="C37" s="15" t="s">
        <v>36</v>
      </c>
      <c r="D37" s="3"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L35" sqref="L35"/>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30"/>
      <c r="B1" s="30"/>
      <c r="C1" s="30"/>
    </row>
    <row r="2" spans="1:8" ht="26.25" customHeight="1" x14ac:dyDescent="0.4">
      <c r="A2" s="23" t="s">
        <v>58</v>
      </c>
      <c r="B2" s="23"/>
      <c r="C2" s="23"/>
      <c r="D2" s="23"/>
      <c r="E2" s="23"/>
      <c r="F2" s="23"/>
    </row>
    <row r="4" spans="1:8" x14ac:dyDescent="0.25">
      <c r="B4" s="35" t="s">
        <v>59</v>
      </c>
      <c r="C4" s="35"/>
      <c r="D4" s="35"/>
      <c r="E4" s="35"/>
      <c r="F4" s="35"/>
    </row>
    <row r="6" spans="1:8" x14ac:dyDescent="0.25">
      <c r="B6" s="35" t="s">
        <v>60</v>
      </c>
      <c r="C6" s="35"/>
      <c r="E6" s="35" t="s">
        <v>61</v>
      </c>
      <c r="F6" s="35"/>
    </row>
    <row r="7" spans="1:8" x14ac:dyDescent="0.25">
      <c r="B7" s="17">
        <v>1</v>
      </c>
      <c r="C7" s="3" t="s">
        <v>62</v>
      </c>
      <c r="E7" s="17">
        <v>1</v>
      </c>
      <c r="F7" s="3" t="s">
        <v>63</v>
      </c>
    </row>
    <row r="8" spans="1:8" ht="24" x14ac:dyDescent="0.25">
      <c r="B8" s="17">
        <v>2</v>
      </c>
      <c r="C8" s="3" t="s">
        <v>64</v>
      </c>
      <c r="E8" s="17">
        <v>2</v>
      </c>
      <c r="F8" s="3" t="s">
        <v>65</v>
      </c>
    </row>
    <row r="9" spans="1:8" ht="24" x14ac:dyDescent="0.25">
      <c r="B9" s="17">
        <v>3</v>
      </c>
      <c r="C9" s="3" t="s">
        <v>66</v>
      </c>
      <c r="E9" s="17">
        <v>3</v>
      </c>
      <c r="F9" s="3" t="s">
        <v>67</v>
      </c>
    </row>
    <row r="10" spans="1:8" x14ac:dyDescent="0.25">
      <c r="B10" s="17">
        <v>4</v>
      </c>
      <c r="C10" s="3" t="s">
        <v>68</v>
      </c>
      <c r="E10" s="17">
        <v>4</v>
      </c>
      <c r="F10" s="3" t="s">
        <v>69</v>
      </c>
    </row>
    <row r="11" spans="1:8" x14ac:dyDescent="0.25">
      <c r="B11" s="17">
        <v>5</v>
      </c>
      <c r="C11" s="3" t="s">
        <v>70</v>
      </c>
      <c r="E11" s="17">
        <v>5</v>
      </c>
      <c r="F11" s="3" t="s">
        <v>71</v>
      </c>
    </row>
    <row r="14" spans="1:8" ht="15.75" x14ac:dyDescent="0.25">
      <c r="A14" s="4" t="s">
        <v>72</v>
      </c>
    </row>
    <row r="16" spans="1:8" ht="15" customHeight="1" x14ac:dyDescent="0.25">
      <c r="B16" s="34" t="s">
        <v>73</v>
      </c>
      <c r="C16" s="34"/>
      <c r="D16" s="18" t="s">
        <v>74</v>
      </c>
      <c r="E16" s="18" t="s">
        <v>75</v>
      </c>
      <c r="F16" s="18" t="s">
        <v>76</v>
      </c>
      <c r="G16" s="18" t="s">
        <v>77</v>
      </c>
      <c r="H16" s="18" t="s">
        <v>78</v>
      </c>
    </row>
    <row r="17" spans="1:8" ht="15" customHeight="1" x14ac:dyDescent="0.25">
      <c r="B17" s="34" t="s">
        <v>79</v>
      </c>
      <c r="C17" s="34"/>
      <c r="D17" s="9">
        <v>5</v>
      </c>
      <c r="E17" s="8">
        <v>10</v>
      </c>
      <c r="F17" s="8">
        <v>15</v>
      </c>
      <c r="G17" s="6">
        <v>20</v>
      </c>
      <c r="H17" s="6">
        <v>25</v>
      </c>
    </row>
    <row r="18" spans="1:8" ht="15" customHeight="1" x14ac:dyDescent="0.25">
      <c r="B18" s="34" t="s">
        <v>80</v>
      </c>
      <c r="C18" s="34"/>
      <c r="D18" s="10">
        <v>4</v>
      </c>
      <c r="E18" s="9">
        <v>8</v>
      </c>
      <c r="F18" s="8">
        <v>12</v>
      </c>
      <c r="G18" s="6">
        <v>16</v>
      </c>
      <c r="H18" s="6">
        <v>20</v>
      </c>
    </row>
    <row r="19" spans="1:8" ht="15" customHeight="1" x14ac:dyDescent="0.25">
      <c r="B19" s="34" t="s">
        <v>81</v>
      </c>
      <c r="C19" s="34"/>
      <c r="D19" s="10">
        <v>3</v>
      </c>
      <c r="E19" s="9">
        <v>6</v>
      </c>
      <c r="F19" s="9">
        <v>9</v>
      </c>
      <c r="G19" s="8">
        <v>12</v>
      </c>
      <c r="H19" s="8">
        <v>15</v>
      </c>
    </row>
    <row r="20" spans="1:8" ht="15" customHeight="1" x14ac:dyDescent="0.25">
      <c r="B20" s="34" t="s">
        <v>82</v>
      </c>
      <c r="C20" s="34"/>
      <c r="D20" s="10">
        <v>2</v>
      </c>
      <c r="E20" s="10">
        <v>4</v>
      </c>
      <c r="F20" s="9">
        <v>6</v>
      </c>
      <c r="G20" s="9">
        <v>8</v>
      </c>
      <c r="H20" s="8">
        <v>10</v>
      </c>
    </row>
    <row r="21" spans="1:8" ht="15" customHeight="1" x14ac:dyDescent="0.25">
      <c r="B21" s="34" t="s">
        <v>83</v>
      </c>
      <c r="C21" s="34"/>
      <c r="D21" s="10">
        <v>1</v>
      </c>
      <c r="E21" s="10">
        <v>2</v>
      </c>
      <c r="F21" s="10">
        <v>3</v>
      </c>
      <c r="G21" s="10">
        <v>4</v>
      </c>
      <c r="H21" s="9">
        <v>5</v>
      </c>
    </row>
    <row r="23" spans="1:8" x14ac:dyDescent="0.25">
      <c r="B23" s="35" t="s">
        <v>84</v>
      </c>
      <c r="C23" s="35"/>
      <c r="D23" s="35"/>
      <c r="E23" s="35"/>
      <c r="F23" s="35"/>
    </row>
    <row r="24" spans="1:8" x14ac:dyDescent="0.25">
      <c r="B24" s="35" t="s">
        <v>85</v>
      </c>
      <c r="C24" s="35"/>
      <c r="D24" s="35"/>
      <c r="E24" s="35"/>
      <c r="F24" s="35"/>
    </row>
    <row r="26" spans="1:8" ht="15.75" x14ac:dyDescent="0.25">
      <c r="A26" s="25" t="s">
        <v>86</v>
      </c>
      <c r="B26" s="25"/>
      <c r="C26" s="25"/>
      <c r="D26" s="25"/>
      <c r="E26" s="25"/>
      <c r="F26" s="25"/>
    </row>
    <row r="27" spans="1:8" ht="15" customHeight="1" x14ac:dyDescent="0.25">
      <c r="B27" s="7" t="s">
        <v>87</v>
      </c>
      <c r="C27" s="10" t="s">
        <v>14</v>
      </c>
      <c r="D27" s="32" t="s">
        <v>88</v>
      </c>
      <c r="E27" s="32"/>
      <c r="F27" s="27"/>
    </row>
    <row r="28" spans="1:8" ht="15" customHeight="1" x14ac:dyDescent="0.25">
      <c r="B28" s="7" t="s">
        <v>89</v>
      </c>
      <c r="C28" s="9" t="s">
        <v>13</v>
      </c>
      <c r="D28" s="32" t="s">
        <v>90</v>
      </c>
      <c r="E28" s="32"/>
      <c r="F28" s="27"/>
    </row>
    <row r="29" spans="1:8" ht="22.35" customHeight="1" x14ac:dyDescent="0.25">
      <c r="B29" s="7" t="s">
        <v>91</v>
      </c>
      <c r="C29" s="8" t="s">
        <v>12</v>
      </c>
      <c r="D29" s="32" t="s">
        <v>92</v>
      </c>
      <c r="E29" s="32"/>
      <c r="F29" s="27"/>
    </row>
    <row r="30" spans="1:8" ht="32.85" customHeight="1" x14ac:dyDescent="0.25">
      <c r="B30" s="7" t="s">
        <v>93</v>
      </c>
      <c r="C30" s="6" t="s">
        <v>11</v>
      </c>
      <c r="D30" s="32" t="s">
        <v>94</v>
      </c>
      <c r="E30" s="32"/>
      <c r="F30" s="27"/>
    </row>
    <row r="32" spans="1:8" ht="15.75" x14ac:dyDescent="0.25">
      <c r="A32" s="4" t="s">
        <v>95</v>
      </c>
    </row>
    <row r="33" spans="2:6" ht="15" customHeight="1" x14ac:dyDescent="0.25">
      <c r="B33" s="1" t="s">
        <v>96</v>
      </c>
      <c r="C33" s="1" t="s">
        <v>97</v>
      </c>
      <c r="D33" s="33" t="s">
        <v>98</v>
      </c>
      <c r="E33" s="33"/>
      <c r="F33" s="34"/>
    </row>
    <row r="34" spans="2:6" ht="22.35" customHeight="1" x14ac:dyDescent="0.25">
      <c r="B34" s="17" t="s">
        <v>99</v>
      </c>
      <c r="C34" s="13" t="s">
        <v>100</v>
      </c>
      <c r="D34" s="32" t="s">
        <v>101</v>
      </c>
      <c r="E34" s="32"/>
      <c r="F34" s="27"/>
    </row>
    <row r="35" spans="2:6" ht="22.35" customHeight="1" x14ac:dyDescent="0.25">
      <c r="B35" s="17" t="s">
        <v>102</v>
      </c>
      <c r="C35" s="13" t="s">
        <v>103</v>
      </c>
      <c r="D35" s="32" t="s">
        <v>104</v>
      </c>
      <c r="E35" s="32"/>
      <c r="F35" s="27"/>
    </row>
    <row r="36" spans="2:6" ht="22.35" customHeight="1" x14ac:dyDescent="0.25">
      <c r="B36" s="17" t="s">
        <v>105</v>
      </c>
      <c r="C36" s="13" t="s">
        <v>106</v>
      </c>
      <c r="D36" s="32" t="s">
        <v>107</v>
      </c>
      <c r="E36" s="32"/>
      <c r="F36" s="27"/>
    </row>
    <row r="37" spans="2:6" ht="22.35" customHeight="1" x14ac:dyDescent="0.25">
      <c r="B37" s="17" t="s">
        <v>108</v>
      </c>
      <c r="C37" s="13" t="s">
        <v>109</v>
      </c>
      <c r="D37" s="32" t="s">
        <v>110</v>
      </c>
      <c r="E37" s="32"/>
      <c r="F37" s="27"/>
    </row>
    <row r="38" spans="2:6" ht="22.35" customHeight="1" x14ac:dyDescent="0.25">
      <c r="B38" s="17" t="s">
        <v>111</v>
      </c>
      <c r="C38" s="13" t="s">
        <v>112</v>
      </c>
      <c r="D38" s="32" t="s">
        <v>113</v>
      </c>
      <c r="E38" s="32"/>
      <c r="F38" s="27"/>
    </row>
  </sheetData>
  <mergeCells count="24">
    <mergeCell ref="A1:C1"/>
    <mergeCell ref="A2:F2"/>
    <mergeCell ref="B4:F4"/>
    <mergeCell ref="B6:C6"/>
    <mergeCell ref="E6:F6"/>
    <mergeCell ref="B16:C16"/>
    <mergeCell ref="B17:C17"/>
    <mergeCell ref="B18:C18"/>
    <mergeCell ref="B19:C19"/>
    <mergeCell ref="B20:C20"/>
    <mergeCell ref="B21:C21"/>
    <mergeCell ref="B23:F23"/>
    <mergeCell ref="B24:F24"/>
    <mergeCell ref="A26:F26"/>
    <mergeCell ref="D27:F27"/>
    <mergeCell ref="D35:F35"/>
    <mergeCell ref="D36:F36"/>
    <mergeCell ref="D37:F37"/>
    <mergeCell ref="D38:F38"/>
    <mergeCell ref="D28:F28"/>
    <mergeCell ref="D29:F29"/>
    <mergeCell ref="D30:F30"/>
    <mergeCell ref="D33:F33"/>
    <mergeCell ref="D34:F3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2026-03-31T09:11:21Z</dcterms:created>
  <dcterms:modified xsi:type="dcterms:W3CDTF">2026-04-03T12:55:34Z</dcterms:modified>
  <dc:language>en-US</dc:language>
</cp:coreProperties>
</file>