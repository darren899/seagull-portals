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A Information" sheetId="1" state="visible" r:id="rId3"/>
    <sheet name="Risk Assessment" sheetId="2" state="visible" r:id="rId4"/>
    <sheet name="Dashboard" sheetId="3" state="visible" r:id="rId5"/>
    <sheet name="Methodolog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<sst xmlns="http://schemas.openxmlformats.org/spreadsheetml/2006/main" count="239" uniqueCount="192">
  <si>
    <t xml:space="preserve">SAFETY RISK ASSESSMENT – NIGHT OPERATIONS</t>
  </si>
  <si>
    <t xml:space="preserve">RISK MANAGEMENT INFORMATION</t>
  </si>
  <si>
    <t xml:space="preserve">Risk Assessment ID:</t>
  </si>
  <si>
    <t xml:space="preserve">RA-010</t>
  </si>
  <si>
    <t xml:space="preserve">Location:</t>
  </si>
  <si>
    <t xml:space="preserve">All operational regions (IOR, WAF, PG)</t>
  </si>
  <si>
    <t xml:space="preserve">Activity Description:</t>
  </si>
  <si>
    <t xml:space="preserve">All operational activities conducted during hours of darkness, including vessel security watches, deck operations, vessel transfers, weapons handling, navigation, and emergency response. This assessment addresses the additional hazard layer that night operations introduce across all Seagull Maritime activities.</t>
  </si>
  <si>
    <t xml:space="preserve">Assessed by:</t>
  </si>
  <si>
    <t xml:space="preserve">Group Compliance Director</t>
  </si>
  <si>
    <t xml:space="preserve">Contributors:</t>
  </si>
  <si>
    <t xml:space="preserve">Senior Operations Manager, Vessel Managers, Team Leaders</t>
  </si>
  <si>
    <t xml:space="preserve">Effective Date:</t>
  </si>
  <si>
    <t xml:space="preserve">1 April 2026</t>
  </si>
  <si>
    <t xml:space="preserve">Responsible Persons:</t>
  </si>
  <si>
    <t xml:space="preserve">Senior Operations Manager, Vessel Managers, Team Leaders, Team Members, Coxswains, Bridge Watchkeepers</t>
  </si>
  <si>
    <t xml:space="preserve">Management have day-to-day responsibility for health and safety and must be aware of the hazards and control measures in this assessment. They must ensure all staff are aware of the findings and that adequate training and supervision is in place.</t>
  </si>
  <si>
    <t xml:space="preserve">Team Leaders and Team Members are to ensure they have read the risk assessment, understood and acknowledged the controls, and follow any instructions given.</t>
  </si>
  <si>
    <t xml:space="preserve">This assessment is to be read in conjunction with the relevant activity-specific risk assessments (e.g. Vessel Transfer, RHIB Operations, Weapons Handling, Security Duties) which contain detailed controls for those activities. This assessment addresses the additional night-specific hazard layer.</t>
  </si>
  <si>
    <t xml:space="preserve">Review Date:</t>
  </si>
  <si>
    <t xml:space="preserve">1 October 2026</t>
  </si>
  <si>
    <t xml:space="preserve">COMMUNICATION &amp; CONSULTATION / RECORDING &amp; REPORTING / MONITORING &amp; REVIEW</t>
  </si>
  <si>
    <t xml:space="preserve">This risk assessment must be shared with all personnel engaged with night operations. All personnel must confirm they have read and understood the assessment before deployment. A record of this must be maintained.</t>
  </si>
  <si>
    <t xml:space="preserve">Monitoring and supervision: Seagull Maritime must monitor the activities of all personnel through regular checks, toolbox talks, and debrief reports. Any failure of controls must be reported immediately.</t>
  </si>
  <si>
    <t xml:space="preserve">This assessment must be formally reviewed if there is any significant change in operational circumstances, following any incident or near miss, or at the scheduled review date — whichever comes first.</t>
  </si>
  <si>
    <t xml:space="preserve">ACTIVITY DESCRIPTION</t>
  </si>
  <si>
    <t xml:space="preserve">Seagull Maritime personnel conduct operations around the clock, including during hours of darkness. Night operations encompass all activities that take place between sunset and sunrise, including security watches, vessel transfers, RHIB operations, weapons handling, navigation, deck maintenance, and emergency response. Night conditions introduce an additional layer of hazard across all operational activities due to reduced visibility, fatigue, communication limitations, thermal exposure, and reduced emergency response effectiveness. This assessment specifically addresses the night-specific risks that overlay the activity-specific risk assessments already in place across the Seagull Maritime RA library. It applies to all operational regions (Indian Ocean Region, West Africa, and Persian Gulf) and all vessel types.</t>
  </si>
  <si>
    <t xml:space="preserve">RISK ASSESSMENT</t>
  </si>
  <si>
    <t xml:space="preserve">Ref</t>
  </si>
  <si>
    <t xml:space="preserve">Hazard</t>
  </si>
  <si>
    <t xml:space="preserve">Risk Description</t>
  </si>
  <si>
    <t xml:space="preserve">Persons at Risk</t>
  </si>
  <si>
    <t xml:space="preserve">Likelihood</t>
  </si>
  <si>
    <t xml:space="preserve">Severity</t>
  </si>
  <si>
    <t xml:space="preserve">Risk Rating</t>
  </si>
  <si>
    <t xml:space="preserve">Risk Level</t>
  </si>
  <si>
    <t xml:space="preserve">Implemented Controls</t>
  </si>
  <si>
    <t xml:space="preserve">Residual Likelihood</t>
  </si>
  <si>
    <t xml:space="preserve">Residual Severity</t>
  </si>
  <si>
    <t xml:space="preserve">Residual Risk</t>
  </si>
  <si>
    <t xml:space="preserve">Status</t>
  </si>
  <si>
    <t xml:space="preserve">NO-001</t>
  </si>
  <si>
    <t xml:space="preserve">Reduced visibility</t>
  </si>
  <si>
    <t xml:space="preserve">Darkness significantly reduces the ability to identify hazards, obstacles, deck obstructions, and personnel movements, increasing the risk of collision, trips, falls, and contact injuries.</t>
  </si>
  <si>
    <t xml:space="preserve">Security Team / Crew</t>
  </si>
  <si>
    <t xml:space="preserve">All external working areas illuminated to minimum safe standard before night operations commence.
Portable LED floodlights positioned at key work areas.
Personnel issued head torches with red-light mode to preserve night vision.
Reflective tape applied to trip hazards, deck edges, and ladder access points.
Pre-operation walkthrough conducted to identify and mark hazards before darkness falls.
Bridge to confirm adequate lighting before authorising night operations.</t>
  </si>
  <si>
    <t xml:space="preserve">Open</t>
  </si>
  <si>
    <t xml:space="preserve">NO-002</t>
  </si>
  <si>
    <t xml:space="preserve">Fatigue and circadian disruption</t>
  </si>
  <si>
    <t xml:space="preserve">Night operations disrupt natural sleep patterns, impairing alertness, reaction time, coordination, and decision-making. Prolonged or repeated night duty increases the risk of errors, accidents, and health deterioration.</t>
  </si>
  <si>
    <t xml:space="preserve">Work/rest hours monitored and recorded in compliance with STCW/MLC requirements.
Minimum rest period enforced before night duty commences.
Rotation schedule in place — no individual to work consecutive night shifts without adequate rest.
Fatigued personnel excluded from safety-critical tasks.
Team Leader to assess personnel readiness at start of each night watch.
Caffeine and hydration provisions available during night operations.</t>
  </si>
  <si>
    <t xml:space="preserve">NO-003</t>
  </si>
  <si>
    <t xml:space="preserve">Trip and fall hazards on deck</t>
  </si>
  <si>
    <t xml:space="preserve">Deck clutter, mooring lines, scuppers, raised fittings, and wet surfaces are significantly harder to identify in darkness, increasing the likelihood of trips, slips, and falls resulting in fractures, head injuries, or falls overboard.</t>
  </si>
  <si>
    <t xml:space="preserve">Deck cleared and secured before nightfall — all loose equipment stowed or lashed.
Walkways and transit routes kept clear and illuminated.
Non-slip surfaces maintained on all high-traffic deck areas.
Reflective or photoluminescent markings applied to raised fittings and step-downs.
Mandatory safety footwear with non-slip soles during all night operations.
Personnel briefed on deck layout and hazard locations during pre-watch briefing.</t>
  </si>
  <si>
    <t xml:space="preserve">NO-004</t>
  </si>
  <si>
    <t xml:space="preserve">Man overboard — delayed detection</t>
  </si>
  <si>
    <t xml:space="preserve">A person falling overboard at night may not be seen or heard immediately, significantly reducing rescue time and increasing the risk of drowning, hypothermia, or fatal outcome.</t>
  </si>
  <si>
    <t xml:space="preserve">All personnel on deck during night operations to wear lifejackets with personal locator light and whistle.
Buddy system enforced — no lone working on exposed decks at night.
MOB alarm and searchlight tested before night operations commence.
Designated MOB lookout posted during high-risk night activities.
Night MOB recovery drill conducted and recorded at defined intervals.
Personal AIS beacon or strobe light issued for high-risk night tasks.</t>
  </si>
  <si>
    <t xml:space="preserve">NO-005</t>
  </si>
  <si>
    <t xml:space="preserve">Weapons handling in low light</t>
  </si>
  <si>
    <t xml:space="preserve">Handling, cleaning, loading, or unloading weapons in darkness or poor lighting increases the risk of negligent discharge, incorrect weapon identification, and handling injuries.</t>
  </si>
  <si>
    <t xml:space="preserve">Security Team</t>
  </si>
  <si>
    <t xml:space="preserve">All weapons handling conducted in illuminated areas only — no exceptions.
Weapon-mounted lights and head torches used during any night weapons handling.
Weapons made safe and verified by Team Leader before and after night operations.
Night weapons drills included in pre-deployment training.
Designated weapons handling area lit to minimum safe standard.
No weapons handling permitted by fatigued personnel.</t>
  </si>
  <si>
    <t xml:space="preserve">NO-006</t>
  </si>
  <si>
    <t xml:space="preserve">Navigation and collision risk</t>
  </si>
  <si>
    <t xml:space="preserve">Reduced visibility at night increases the risk of vessel collision, grounding, or contact with floating objects, particularly during close-quarters manoeuvring, transit, or anchorage operations.</t>
  </si>
  <si>
    <t xml:space="preserve">Security Team / Crew / Third Parties</t>
  </si>
  <si>
    <t xml:space="preserve">Navigation lights checked and confirmed operational before nightfall.
Radar and AIS monitored continuously during night operations.
Bridge manning increased during night transits in congested waters.
Lookout posted in addition to officer of the watch during night operations.
Speed reduced in areas of restricted visibility.
All vessels in vicinity identified and tracked.</t>
  </si>
  <si>
    <t xml:space="preserve">NO-007</t>
  </si>
  <si>
    <t xml:space="preserve">Communication difficulties</t>
  </si>
  <si>
    <t xml:space="preserve">Visual signals, hand gestures, and face-to-face communication are ineffective in darkness, leading to miscommunication, delayed responses, and uncoordinated actions during operations.</t>
  </si>
  <si>
    <t xml:space="preserve">Primary communication via VHF radio with backup channel agreed before night operations.
All personnel carry personal radio or communication device during night watches.
Standardised voice procedures and terminology used for all night communications.
Light signals agreed for emergency communication where radio use is restricted.
Pre-operation briefing covers night-specific communication plan.
Radio check conducted at watch changeover.</t>
  </si>
  <si>
    <t xml:space="preserve">NO-008</t>
  </si>
  <si>
    <t xml:space="preserve">Vessel transfer at night</t>
  </si>
  <si>
    <t xml:space="preserve">Pilot ladder, RHIB, and gangway transfers conducted in darkness carry significantly elevated risk of falls, crushing, misjudged footing, and failed transfers due to inability to see ladder condition, vessel movement, and sea state clearly.</t>
  </si>
  <si>
    <t xml:space="preserve">Night transfers only authorised by Master and Team Leader jointly after lighting and conditions assessment.
Transfer area illuminated by fixed and portable lighting before personnel approach.
Personnel equipped with head torches and lifejackets with personal locator light.
Additional safety observer stationed with spotlight on transfer area.
Go/No-Go criteria for night transfers established and briefed — lower thresholds than daytime.
Night transfer procedures rehearsed during training and toolbox talks.</t>
  </si>
  <si>
    <t xml:space="preserve">NO-009</t>
  </si>
  <si>
    <t xml:space="preserve">Lighting system failure</t>
  </si>
  <si>
    <t xml:space="preserve">Failure of vessel lighting systems during night operations may cause sudden darkness, disorientation, and inability to identify hazards, leading to accidents, falls, or operational breakdown.</t>
  </si>
  <si>
    <t xml:space="preserve">Emergency lighting systems tested before night operations commence.
Portable backup lighting (battery-powered floodlights, torches) pre-positioned at key locations.
All personnel carry personal torch as standard night operations kit.
Electrical systems and generators maintained on scheduled programme.
Immediate action drill for lighting failure briefed — all personnel to freeze in position until alternative lighting established.
Spare bulbs, fuses, and batteries held onboard.</t>
  </si>
  <si>
    <t xml:space="preserve">NO-010</t>
  </si>
  <si>
    <t xml:space="preserve">Thermal exposure — cold</t>
  </si>
  <si>
    <t xml:space="preserve">Nighttime temperature drops, wind chill, and sea spray exposure during night watches may cause hypothermia, cold-related illness, or impaired dexterity affecting safe task performance.</t>
  </si>
  <si>
    <t xml:space="preserve">Appropriate cold weather clothing issued for night watches in applicable regions.
Warm beverages and sheltered rest area available for personnel on night duty.
Watch rotation schedule prevents prolonged cold exposure.
Personnel briefed on hypothermia symptoms and buddy-check responsibilities.
Cold weather risk assessed as part of pre-deployment planning for IOR and WAF operations.</t>
  </si>
  <si>
    <t xml:space="preserve">NO-011</t>
  </si>
  <si>
    <t xml:space="preserve">Thermal exposure — heat (Persian Gulf)</t>
  </si>
  <si>
    <t xml:space="preserve">In the Persian Gulf, nighttime temperatures may remain dangerously high (35°C+), compounded by humidity, leading to heat exhaustion, dehydration, or heat stroke during sustained night operations.</t>
  </si>
  <si>
    <t xml:space="preserve">Hydration regime enforced with minimum water intake targets during night watches.
Cooling breaks scheduled in air-conditioned areas where available.
Heat stress monitoring conducted by Team Leader during PG night operations.
Personnel trained to recognise heat illness symptoms in themselves and colleagues.
Watch duration reduced during extreme heat periods.
Refer to SM/HSE/RA/009 (Heat Stress and Environmental Exposure) for detailed controls.</t>
  </si>
  <si>
    <t xml:space="preserve">NO-012</t>
  </si>
  <si>
    <t xml:space="preserve">Emergency response limitations</t>
  </si>
  <si>
    <t xml:space="preserve">Night operations reduce the effectiveness of emergency response — fire, medical, or security — due to poor visibility, slower mustering, difficulty locating casualties, and reduced coordination.</t>
  </si>
  <si>
    <t xml:space="preserve">Night-specific emergency response plan in place covering fire, medical, MOB, and security scenarios.
Emergency muster points illuminated and clearly marked with photoluminescent signage.
Emergency equipment (fire extinguishers, first aid kits, lifebuoys) locations marked with reflective tape.
Night emergency drills conducted and recorded at defined intervals.
Designated emergency torch kept at each muster station.
Bridge to maintain searchlight readiness throughout night operations.</t>
  </si>
  <si>
    <t xml:space="preserve">NO-013</t>
  </si>
  <si>
    <t xml:space="preserve">Psychological stress and disorientation</t>
  </si>
  <si>
    <t xml:space="preserve">Extended periods of darkness, isolation, monotony, and sensory deprivation during night watches may cause anxiety, disorientation, reduced concentration, and impaired situational awareness.</t>
  </si>
  <si>
    <t xml:space="preserve">Watch periods limited in duration with structured rotation.
Buddy system enforced — no lone watchkeeping in isolated positions.
Regular check-in schedule between watch positions and bridge.
Team Leader to monitor personnel welfare during night operations.
Pre-deployment mental health awareness briefing covers night operations stress.
Access to welfare support and reporting via the company's HSE reporting app.</t>
  </si>
  <si>
    <t xml:space="preserve">NO-014</t>
  </si>
  <si>
    <t xml:space="preserve">Floating debris and marine hazards</t>
  </si>
  <si>
    <t xml:space="preserve">Floating debris, semi-submerged containers, fishing nets, and marine wildlife are significantly harder to detect at night, posing collision, entanglement, or hull damage risks.</t>
  </si>
  <si>
    <t xml:space="preserve">Radar monitored for surface contacts during night transit.
Forward lookout posted with night vision capability where available.
Speed reduced during night transits in areas with known debris or fishing activity.
Bridge to maintain heightened awareness during night operations in coastal waters.
Incident reports from previous transits reviewed for known hazard areas.
Searchlight available for immediate use if contact suspected.</t>
  </si>
  <si>
    <t xml:space="preserve">TASK APPROVAL – THIS RISK ASSESSMENT MUST BE REVIEWED AND SIGNED OFF BEFORE OPERATIONS COMMENCE</t>
  </si>
  <si>
    <t xml:space="preserve">Reviewed by:</t>
  </si>
  <si>
    <t xml:space="preserve">Signature:</t>
  </si>
  <si>
    <t xml:space="preserve">Date:</t>
  </si>
  <si>
    <t xml:space="preserve">Approved by (Group Compliance Director):</t>
  </si>
  <si>
    <t xml:space="preserve">Briefed to Team – Confirmed:</t>
  </si>
  <si>
    <t xml:space="preserve">RISK ASSESSMENT DASHBOARD</t>
  </si>
  <si>
    <t xml:space="preserve">KEY METRICS</t>
  </si>
  <si>
    <t xml:space="preserve">Total Hazards Assessed</t>
  </si>
  <si>
    <t xml:space="preserve">Critical (Inherent)</t>
  </si>
  <si>
    <t xml:space="preserve">High (Inherent)</t>
  </si>
  <si>
    <t xml:space="preserve">Medium (Inherent)</t>
  </si>
  <si>
    <t xml:space="preserve">Low (Inherent)</t>
  </si>
  <si>
    <t xml:space="preserve">INHERENT RISK DISTRIBUTION (Before Controls)</t>
  </si>
  <si>
    <t xml:space="preserve">Count</t>
  </si>
  <si>
    <t xml:space="preserve">% of Total</t>
  </si>
  <si>
    <t xml:space="preserve">Critical</t>
  </si>
  <si>
    <t xml:space="preserve">High</t>
  </si>
  <si>
    <t xml:space="preserve">Medium</t>
  </si>
  <si>
    <t xml:space="preserve">Low</t>
  </si>
  <si>
    <t xml:space="preserve">RESIDUAL RISK DISTRIBUTION (After Controls)</t>
  </si>
  <si>
    <t xml:space="preserve">RISK REDUCTION SUMMARY</t>
  </si>
  <si>
    <t xml:space="preserve">Metric</t>
  </si>
  <si>
    <t xml:space="preserve">Value</t>
  </si>
  <si>
    <t xml:space="preserve">Average Inherent Risk Score</t>
  </si>
  <si>
    <t xml:space="preserve">Average Residual Risk Score</t>
  </si>
  <si>
    <t xml:space="preserve">Average Risk Reduction (%)</t>
  </si>
  <si>
    <t xml:space="preserve">Hazards at Critical (Residual)</t>
  </si>
  <si>
    <t xml:space="preserve">Hazards at High (Residual)</t>
  </si>
  <si>
    <t xml:space="preserve">Open Items</t>
  </si>
  <si>
    <t xml:space="preserve">DOCUMENT INFORMATION</t>
  </si>
  <si>
    <t xml:space="preserve">Document Reference:</t>
  </si>
  <si>
    <t xml:space="preserve">SM/HSE/RA/010</t>
  </si>
  <si>
    <t xml:space="preserve">Version:</t>
  </si>
  <si>
    <t xml:space="preserve">1.0</t>
  </si>
  <si>
    <t xml:space="preserve">Status:</t>
  </si>
  <si>
    <t xml:space="preserve">Active</t>
  </si>
  <si>
    <t xml:space="preserve">RISK ASSESSMENT METHODOLOGY</t>
  </si>
  <si>
    <t xml:space="preserve">Likelihood x Severity = Risk Rating</t>
  </si>
  <si>
    <t xml:space="preserve">Rare</t>
  </si>
  <si>
    <t xml:space="preserve">Minor Injury</t>
  </si>
  <si>
    <t xml:space="preserve">Unlikely</t>
  </si>
  <si>
    <t xml:space="preserve">First Aid Required</t>
  </si>
  <si>
    <t xml:space="preserve">Possible</t>
  </si>
  <si>
    <t xml:space="preserve">Medical Treatment</t>
  </si>
  <si>
    <t xml:space="preserve">Likely</t>
  </si>
  <si>
    <t xml:space="preserve">Serious Injury</t>
  </si>
  <si>
    <t xml:space="preserve">Certain</t>
  </si>
  <si>
    <t xml:space="preserve">Fatality</t>
  </si>
  <si>
    <t xml:space="preserve">5x5 RISK MATRIX</t>
  </si>
  <si>
    <t xml:space="preserve">Likelihood \ Severity</t>
  </si>
  <si>
    <t xml:space="preserve">1 - Minor</t>
  </si>
  <si>
    <t xml:space="preserve">2 - First Aid</t>
  </si>
  <si>
    <t xml:space="preserve">3 - Medical</t>
  </si>
  <si>
    <t xml:space="preserve">4 - Serious</t>
  </si>
  <si>
    <t xml:space="preserve">5 - Fatality</t>
  </si>
  <si>
    <t xml:space="preserve">5 - Certain</t>
  </si>
  <si>
    <t xml:space="preserve">4 - Likely</t>
  </si>
  <si>
    <t xml:space="preserve">3 - Possible</t>
  </si>
  <si>
    <t xml:space="preserve">2 - Unlikely</t>
  </si>
  <si>
    <t xml:space="preserve">1 - Rare</t>
  </si>
  <si>
    <t xml:space="preserve">Risk Rating = Risk before controls are applied</t>
  </si>
  <si>
    <t xml:space="preserve">Residual Risk Rating = Risk after controls have been considered and implemented</t>
  </si>
  <si>
    <t xml:space="preserve">Risk Level Key:</t>
  </si>
  <si>
    <t xml:space="preserve">1-4</t>
  </si>
  <si>
    <t xml:space="preserve">Acceptable risk. Monitor and review.</t>
  </si>
  <si>
    <t xml:space="preserve">5-9</t>
  </si>
  <si>
    <t xml:space="preserve">Tolerable with controls. Monitor closely.</t>
  </si>
  <si>
    <t xml:space="preserve">10-15</t>
  </si>
  <si>
    <t xml:space="preserve">Significant risk. Additional controls required before proceeding.</t>
  </si>
  <si>
    <t xml:space="preserve">16-25</t>
  </si>
  <si>
    <t xml:space="preserve">Unacceptable. Do not proceed without senior management approval and additional controls.</t>
  </si>
  <si>
    <t xml:space="preserve">HIERARCHY OF CONTROLS</t>
  </si>
  <si>
    <t xml:space="preserve">Priority</t>
  </si>
  <si>
    <t xml:space="preserve">Control Type</t>
  </si>
  <si>
    <t xml:space="preserve">Description</t>
  </si>
  <si>
    <t xml:space="preserve">1</t>
  </si>
  <si>
    <t xml:space="preserve">Elimination</t>
  </si>
  <si>
    <t xml:space="preserve">Remove the hazard entirely from the workplace.</t>
  </si>
  <si>
    <t xml:space="preserve">2</t>
  </si>
  <si>
    <t xml:space="preserve">Substitution</t>
  </si>
  <si>
    <t xml:space="preserve">Replace the hazard with something less dangerous.</t>
  </si>
  <si>
    <t xml:space="preserve">3</t>
  </si>
  <si>
    <t xml:space="preserve">Engineering Controls</t>
  </si>
  <si>
    <t xml:space="preserve">Isolate people from the hazard through physical means.</t>
  </si>
  <si>
    <t xml:space="preserve">4</t>
  </si>
  <si>
    <t xml:space="preserve">Administrative Controls</t>
  </si>
  <si>
    <t xml:space="preserve">Change the way people work through procedures, training, signage.</t>
  </si>
  <si>
    <t xml:space="preserve">5</t>
  </si>
  <si>
    <t xml:space="preserve">PPE</t>
  </si>
  <si>
    <t xml:space="preserve">Protect individuals with personal protective equipment.</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</si>
</sst>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20"/>
      <color rgb="FF003C72"/>
      <name val="Avenir Next LT Pro"/>
      <family val="0"/>
      <charset val="1"/>
    </font>
    <font>
      <b val="true"/>
      <sz val="12"/>
      <color rgb="FF003C72"/>
      <name val="Avenir Next LT Pro"/>
      <family val="0"/>
      <charset val="1"/>
    </font>
    <font>
      <b val="true"/>
      <sz val="9"/>
      <color rgb="FFFFFFFF"/>
      <name val="Aptos"/>
      <family val="0"/>
      <charset val="1"/>
    </font>
    <font>
      <sz val="9"/>
      <name val="Aptos"/>
      <family val="0"/>
      <charset val="1"/>
    </font>
    <font>
      <b val="true"/>
      <sz val="9"/>
      <name val="Aptos"/>
      <family val="0"/>
      <charset val="1"/>
    </font>
    <font>
      <b val="true"/>
      <sz val="9"/>
      <color rgb="FF9C0006"/>
      <name val="Aptos"/>
      <family val="0"/>
      <charset val="1"/>
    </font>
    <font>
      <b val="true"/>
      <sz val="9"/>
      <color rgb="FF9C5700"/>
      <name val="Aptos"/>
      <family val="0"/>
      <charset val="1"/>
    </font>
    <font>
      <b val="true"/>
      <sz val="9"/>
      <color rgb="FF006100"/>
      <name val="Aptos"/>
      <family val="0"/>
      <charset val="1"/>
    </font>
    <font>
      <b val="true"/>
      <sz val="11"/>
      <color rgb="FF003C72"/>
      <name val="Aptos"/>
      <family val="0"/>
      <charset val="1"/>
    </font>
    <font>
      <b val="true"/>
      <sz val="8"/>
      <color rgb="FFFFFFFF"/>
      <name val="Aptos"/>
      <family val="0"/>
      <charset val="1"/>
    </font>
  </fonts>
  <fills count="8">
    <fill>
      <patternFill patternType="none"/>
    </fill>
    <fill>
      <patternFill patternType="gray125"/>
    </fill>
    <fill>
      <patternFill patternType="solid">
        <fgColor rgb="FF003C72"/>
        <bgColor rgb="FF333399"/>
      </patternFill>
    </fill>
    <fill>
      <patternFill patternType="solid">
        <fgColor rgb="FFC00000"/>
        <bgColor rgb="FF9C0006"/>
      </patternFill>
    </fill>
    <fill>
      <patternFill patternType="solid">
        <fgColor rgb="FFFFC7CE"/>
        <bgColor rgb="FFFFEB9C"/>
      </patternFill>
    </fill>
    <fill>
      <patternFill patternType="solid">
        <fgColor rgb="FFFFEB9C"/>
        <bgColor rgb="FFFFFFCC"/>
      </patternFill>
    </fill>
    <fill>
      <patternFill patternType="solid">
        <fgColor rgb="FFC6EFCE"/>
        <bgColor rgb="FFCCFFFF"/>
      </patternFill>
    </fill>
    <fill>
      <patternFill patternType="solid">
        <fgColor rgb="FFE6EDF5"/>
        <bgColor rgb="FFFFFF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color rgb="FF00B050"/>
      </font>
    </dxf>
    <dxf>
      <font>
        <color rgb="FFFFC000"/>
      </font>
    </dxf>
    <dxf>
      <font>
        <color rgb="FFFF0000"/>
      </font>
    </dxf>
    <dxf>
      <font>
        <color rgb="FF9C0006"/>
      </font>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FFFFFF"/>
      </font>
      <fill>
        <patternFill>
          <bgColor rgb="FFC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6EDF5"/>
      <rgbColor rgb="FF660066"/>
      <rgbColor rgb="FFFF8080"/>
      <rgbColor rgb="FF0066CC"/>
      <rgbColor rgb="FFCCCCFF"/>
      <rgbColor rgb="FF000080"/>
      <rgbColor rgb="FFFF00FF"/>
      <rgbColor rgb="FFFFFF00"/>
      <rgbColor rgb="FF00FFFF"/>
      <rgbColor rgb="FF800080"/>
      <rgbColor rgb="FFC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69696"/>
      <rgbColor rgb="FF003C72"/>
      <rgbColor rgb="FF00B050"/>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414000</xdr:colOff>
      <xdr:row>0</xdr:row>
      <xdr:rowOff>646920</xdr:rowOff>
    </xdr:to>
    <xdr:pic>
      <xdr:nvPicPr>
        <xdr:cNvPr id="1" name="Image 1" descr="Picture"/>
        <xdr:cNvPicPr/>
      </xdr:nvPicPr>
      <xdr:blipFill>
        <a:blip r:embed="rId1"/>
        <a:stretch/>
      </xdr:blipFill>
      <xdr:spPr>
        <a:xfrm>
          <a:off x="0" y="0"/>
          <a:ext cx="1904400" cy="6469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1380600</xdr:colOff>
      <xdr:row>0</xdr:row>
      <xdr:rowOff>646920</xdr:rowOff>
    </xdr:to>
    <xdr:pic>
      <xdr:nvPicPr>
        <xdr:cNvPr id="2" name="Image 1" descr="Picture"/>
        <xdr:cNvPicPr/>
      </xdr:nvPicPr>
      <xdr:blipFill>
        <a:blip r:embed="rId1"/>
        <a:stretch/>
      </xdr:blipFill>
      <xdr:spPr>
        <a:xfrm>
          <a:off x="0" y="0"/>
          <a:ext cx="1903680" cy="64692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1551960</xdr:colOff>
      <xdr:row>0</xdr:row>
      <xdr:rowOff>646920</xdr:rowOff>
    </xdr:to>
    <xdr:pic>
      <xdr:nvPicPr>
        <xdr:cNvPr id="3" name="Image 1" descr="Picture"/>
        <xdr:cNvPicPr/>
      </xdr:nvPicPr>
      <xdr:blipFill>
        <a:blip r:embed="rId1"/>
        <a:stretch/>
      </xdr:blipFill>
      <xdr:spPr>
        <a:xfrm>
          <a:off x="0" y="0"/>
          <a:ext cx="1904400" cy="64692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706320</xdr:colOff>
      <xdr:row>0</xdr:row>
      <xdr:rowOff>646920</xdr:rowOff>
    </xdr:to>
    <xdr:pic>
      <xdr:nvPicPr>
        <xdr:cNvPr id="4" name="Image 1" descr="Picture"/>
        <xdr:cNvPicPr/>
      </xdr:nvPicPr>
      <xdr:blipFill>
        <a:blip r:embed="rId1"/>
        <a:stretch/>
      </xdr:blipFill>
      <xdr:spPr>
        <a:xfrm>
          <a:off x="0" y="0"/>
          <a:ext cx="1904400" cy="646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8.71484375" defaultRowHeight="15" customHeight="false" zeroHeight="false" outlineLevelRow="0" outlineLevelCol="0"/>
  <cols>
    <col collapsed="false" customWidth="true" hidden="false" outlineLevel="0" max="1" min="1" style="0" width="21.14"/>
    <col collapsed="false" customWidth="true" hidden="false" outlineLevel="0" max="2" min="2" style="0" width="30.57"/>
    <col collapsed="false" customWidth="true" hidden="false" outlineLevel="0" max="3" min="3" style="0" width="14.14"/>
    <col collapsed="false" customWidth="true" hidden="false" outlineLevel="0" max="4" min="4" style="0" width="68.29"/>
  </cols>
  <sheetData>
    <row r="1" customFormat="false" ht="75.75" hidden="false" customHeight="true" outlineLevel="0" collapsed="false">
      <c r="A1" s="1"/>
      <c r="B1" s="1"/>
      <c r="C1" s="1"/>
    </row>
    <row r="2" customFormat="false" ht="26.25" hidden="false" customHeight="true" outlineLevel="0" collapsed="false">
      <c r="A2" s="2" t="s">
        <v>0</v>
      </c>
      <c r="B2" s="2"/>
      <c r="C2" s="2"/>
      <c r="D2" s="2"/>
      <c r="E2" s="2"/>
      <c r="F2" s="2"/>
    </row>
    <row r="4" customFormat="false" ht="15.75" hidden="false" customHeight="true" outlineLevel="0" collapsed="false">
      <c r="A4" s="3" t="s">
        <v>1</v>
      </c>
    </row>
    <row r="6" customFormat="false" ht="15.75" hidden="false" customHeight="true" outlineLevel="0" collapsed="false">
      <c r="A6" s="4" t="s">
        <v>2</v>
      </c>
      <c r="B6" s="5" t="s">
        <v>3</v>
      </c>
      <c r="C6" s="6" t="s">
        <v>4</v>
      </c>
      <c r="D6" s="5" t="s">
        <v>5</v>
      </c>
    </row>
    <row r="7" customFormat="false" ht="38.25" hidden="false" customHeight="true" outlineLevel="0" collapsed="false">
      <c r="A7" s="4" t="s">
        <v>6</v>
      </c>
      <c r="B7" s="5" t="s">
        <v>7</v>
      </c>
      <c r="C7" s="5"/>
      <c r="D7" s="5"/>
    </row>
    <row r="8" customFormat="false" ht="15.75" hidden="false" customHeight="true" outlineLevel="0" collapsed="false">
      <c r="A8" s="4" t="s">
        <v>8</v>
      </c>
      <c r="B8" s="5" t="s">
        <v>9</v>
      </c>
      <c r="C8" s="5"/>
      <c r="D8" s="5"/>
    </row>
    <row r="9" customFormat="false" ht="15.75" hidden="false" customHeight="true" outlineLevel="0" collapsed="false">
      <c r="A9" s="4" t="s">
        <v>10</v>
      </c>
      <c r="B9" s="5" t="s">
        <v>11</v>
      </c>
      <c r="C9" s="5"/>
      <c r="D9" s="5"/>
    </row>
    <row r="10" customFormat="false" ht="15.75" hidden="false" customHeight="true" outlineLevel="0" collapsed="false">
      <c r="A10" s="4" t="s">
        <v>12</v>
      </c>
      <c r="B10" s="5" t="s">
        <v>13</v>
      </c>
      <c r="C10" s="5"/>
      <c r="D10" s="5"/>
    </row>
    <row r="11" customFormat="false" ht="30" hidden="false" customHeight="true" outlineLevel="0" collapsed="false">
      <c r="A11" s="7" t="s">
        <v>14</v>
      </c>
      <c r="B11" s="5" t="s">
        <v>15</v>
      </c>
      <c r="C11" s="5"/>
      <c r="D11" s="5"/>
    </row>
    <row r="12" customFormat="false" ht="30" hidden="false" customHeight="true" outlineLevel="0" collapsed="false">
      <c r="A12" s="7"/>
      <c r="B12" s="5" t="s">
        <v>16</v>
      </c>
      <c r="C12" s="5"/>
      <c r="D12" s="5"/>
    </row>
    <row r="13" customFormat="false" ht="30" hidden="false" customHeight="true" outlineLevel="0" collapsed="false">
      <c r="A13" s="7"/>
      <c r="B13" s="5" t="s">
        <v>17</v>
      </c>
      <c r="C13" s="5"/>
      <c r="D13" s="5"/>
    </row>
    <row r="14" customFormat="false" ht="30" hidden="false" customHeight="true" outlineLevel="0" collapsed="false">
      <c r="A14" s="7"/>
      <c r="B14" s="5" t="s">
        <v>18</v>
      </c>
      <c r="C14" s="5"/>
      <c r="D14" s="5"/>
    </row>
    <row r="15" customFormat="false" ht="15.75" hidden="false" customHeight="true" outlineLevel="0" collapsed="false">
      <c r="A15" s="4" t="s">
        <v>19</v>
      </c>
      <c r="B15" s="5" t="s">
        <v>20</v>
      </c>
      <c r="C15" s="5"/>
      <c r="D15" s="5"/>
    </row>
    <row r="17" customFormat="false" ht="15.75" hidden="false" customHeight="true" outlineLevel="0" collapsed="false">
      <c r="A17" s="8" t="s">
        <v>21</v>
      </c>
      <c r="B17" s="8"/>
      <c r="C17" s="8"/>
      <c r="D17" s="8"/>
    </row>
    <row r="18" customFormat="false" ht="21.75" hidden="false" customHeight="true" outlineLevel="0" collapsed="false">
      <c r="A18" s="9" t="s">
        <v>22</v>
      </c>
      <c r="B18" s="9"/>
      <c r="C18" s="9"/>
      <c r="D18" s="9"/>
    </row>
    <row r="19" customFormat="false" ht="21.75" hidden="false" customHeight="true" outlineLevel="0" collapsed="false">
      <c r="A19" s="9" t="s">
        <v>23</v>
      </c>
      <c r="B19" s="9"/>
      <c r="C19" s="9"/>
      <c r="D19" s="9"/>
    </row>
    <row r="20" customFormat="false" ht="21.75" hidden="false" customHeight="true" outlineLevel="0" collapsed="false">
      <c r="A20" s="9" t="s">
        <v>24</v>
      </c>
      <c r="B20" s="9"/>
      <c r="C20" s="9"/>
      <c r="D20" s="9"/>
    </row>
    <row r="22" customFormat="false" ht="15.75" hidden="false" customHeight="true" outlineLevel="0" collapsed="false">
      <c r="A22" s="10" t="s">
        <v>25</v>
      </c>
      <c r="B22" s="10"/>
      <c r="C22" s="10"/>
      <c r="D22" s="10"/>
    </row>
    <row r="23" customFormat="false" ht="60" hidden="false" customHeight="true" outlineLevel="0" collapsed="false">
      <c r="A23" s="9" t="s">
        <v>26</v>
      </c>
      <c r="B23" s="9"/>
      <c r="C23" s="9"/>
      <c r="D23" s="9"/>
    </row>
  </sheetData>
  <mergeCells count="18">
    <mergeCell ref="A1:C1"/>
    <mergeCell ref="A2:F2"/>
    <mergeCell ref="B7:D7"/>
    <mergeCell ref="B8:D8"/>
    <mergeCell ref="B9:D9"/>
    <mergeCell ref="B10:D10"/>
    <mergeCell ref="A11:A14"/>
    <mergeCell ref="B11:D11"/>
    <mergeCell ref="B12:D12"/>
    <mergeCell ref="B13:D13"/>
    <mergeCell ref="B14:D14"/>
    <mergeCell ref="B15:D15"/>
    <mergeCell ref="A17:D17"/>
    <mergeCell ref="A18:D18"/>
    <mergeCell ref="A19:D19"/>
    <mergeCell ref="A20:D20"/>
    <mergeCell ref="A22:D22"/>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false" showRowColHeaders="true" showZeros="true" rightToLeft="false" tabSelected="true" showOutlineSymbols="true" defaultGridColor="true" view="normal" topLeftCell="A4" colorId="64" zoomScale="100" zoomScaleNormal="100" zoomScalePageLayoutView="100" workbookViewId="0">
      <selection pane="topLeft" activeCell="E5" activeCellId="0" sqref="E5"/>
    </sheetView>
  </sheetViews>
  <sheetFormatPr defaultColWidth="8.71484375" defaultRowHeight="15" customHeight="false" zeroHeight="false" outlineLevelRow="0" outlineLevelCol="0"/>
  <cols>
    <col collapsed="false" customWidth="true" hidden="false" outlineLevel="0" max="1" min="1" style="0" width="7.42"/>
    <col collapsed="false" customWidth="true" hidden="false" outlineLevel="0" max="2" min="2" style="0" width="31.15"/>
    <col collapsed="false" customWidth="true" hidden="false" outlineLevel="0" max="3" min="3" style="0" width="55.86"/>
    <col collapsed="false" customWidth="true" hidden="false" outlineLevel="0" max="4" min="4" style="0" width="16.43"/>
    <col collapsed="false" customWidth="true" hidden="false" outlineLevel="0" max="5" min="5" style="0" width="10"/>
    <col collapsed="false" customWidth="true" hidden="false" outlineLevel="0" max="6" min="6" style="0" width="13"/>
    <col collapsed="false" customWidth="true" hidden="false" outlineLevel="0" max="7" min="7" style="0" width="13.29"/>
    <col collapsed="false" customWidth="true" hidden="false" outlineLevel="0" max="8" min="8" style="0" width="13"/>
    <col collapsed="false" customWidth="true" hidden="false" outlineLevel="0" max="9" min="9" style="0" width="51.15"/>
    <col collapsed="false" customWidth="true" hidden="false" outlineLevel="0" max="10" min="10" style="0" width="13.42"/>
    <col collapsed="false" customWidth="true" hidden="false" outlineLevel="0" max="11" min="11" style="0" width="11.71"/>
    <col collapsed="false" customWidth="true" hidden="false" outlineLevel="0" max="13" min="12" style="0" width="13"/>
    <col collapsed="false" customWidth="true" hidden="false" outlineLevel="0" max="14" min="14" style="0" width="9.14"/>
  </cols>
  <sheetData>
    <row r="1" customFormat="false" ht="75.75" hidden="false" customHeight="true" outlineLevel="0" collapsed="false"/>
    <row r="2" customFormat="false" ht="26.25" hidden="false" customHeight="true" outlineLevel="0" collapsed="false">
      <c r="A2" s="11" t="s">
        <v>27</v>
      </c>
      <c r="B2" s="11"/>
      <c r="C2" s="11"/>
      <c r="D2" s="11"/>
      <c r="E2" s="11"/>
      <c r="F2" s="11"/>
      <c r="G2" s="11"/>
      <c r="H2" s="11"/>
      <c r="I2" s="11"/>
      <c r="J2" s="11"/>
      <c r="K2" s="11"/>
      <c r="L2" s="11"/>
      <c r="M2" s="11"/>
      <c r="N2" s="11"/>
    </row>
    <row r="4" customFormat="false" ht="24" hidden="false" customHeight="true" outlineLevel="0" collapsed="false">
      <c r="A4" s="12" t="s">
        <v>28</v>
      </c>
      <c r="B4" s="12" t="s">
        <v>29</v>
      </c>
      <c r="C4" s="12" t="s">
        <v>30</v>
      </c>
      <c r="D4" s="12" t="s">
        <v>31</v>
      </c>
      <c r="E4" s="12" t="s">
        <v>32</v>
      </c>
      <c r="F4" s="12" t="s">
        <v>33</v>
      </c>
      <c r="G4" s="12" t="s">
        <v>34</v>
      </c>
      <c r="H4" s="12" t="s">
        <v>35</v>
      </c>
      <c r="I4" s="12" t="s">
        <v>36</v>
      </c>
      <c r="J4" s="12" t="s">
        <v>37</v>
      </c>
      <c r="K4" s="12" t="s">
        <v>38</v>
      </c>
      <c r="L4" s="12" t="s">
        <v>39</v>
      </c>
      <c r="M4" s="12" t="s">
        <v>35</v>
      </c>
      <c r="N4" s="12" t="s">
        <v>40</v>
      </c>
    </row>
    <row r="5" customFormat="false" ht="93.75" hidden="false" customHeight="true" outlineLevel="0" collapsed="false">
      <c r="A5" s="13" t="s">
        <v>41</v>
      </c>
      <c r="B5" s="14" t="s">
        <v>42</v>
      </c>
      <c r="C5" s="5" t="s">
        <v>43</v>
      </c>
      <c r="D5" s="15" t="s">
        <v>44</v>
      </c>
      <c r="E5" s="13" t="n">
        <v>4</v>
      </c>
      <c r="F5" s="13" t="n">
        <v>4</v>
      </c>
      <c r="G5" s="13" t="n">
        <f aca="false">E5*F5</f>
        <v>16</v>
      </c>
      <c r="H5" s="13" t="str">
        <f aca="false">IF(G5&lt;=4,"Low",IF(G5&lt;=9,"Medium",IF(G5&lt;=15,"High","Critical")))</f>
        <v>Critical</v>
      </c>
      <c r="I5" s="5" t="s">
        <v>45</v>
      </c>
      <c r="J5" s="13" t="n">
        <v>2</v>
      </c>
      <c r="K5" s="13" t="n">
        <v>4</v>
      </c>
      <c r="L5" s="13" t="n">
        <f aca="false">J5*K5</f>
        <v>8</v>
      </c>
      <c r="M5" s="13" t="str">
        <f aca="false">IF(L5="","",IF(L5&lt;=4,"Low",IF(L5&lt;=9,"Medium",IF(L5&lt;=15,"High","Critical"))))</f>
        <v>Medium</v>
      </c>
      <c r="N5" s="15" t="s">
        <v>46</v>
      </c>
    </row>
    <row r="6" customFormat="false" ht="81" hidden="false" customHeight="true" outlineLevel="0" collapsed="false">
      <c r="A6" s="13" t="s">
        <v>47</v>
      </c>
      <c r="B6" s="14" t="s">
        <v>48</v>
      </c>
      <c r="C6" s="5" t="s">
        <v>49</v>
      </c>
      <c r="D6" s="15" t="s">
        <v>44</v>
      </c>
      <c r="E6" s="13" t="n">
        <v>4</v>
      </c>
      <c r="F6" s="13" t="n">
        <v>4</v>
      </c>
      <c r="G6" s="13" t="n">
        <f aca="false">E6*F6</f>
        <v>16</v>
      </c>
      <c r="H6" s="13" t="str">
        <f aca="false">IF(G6&lt;=4,"Low",IF(G6&lt;=9,"Medium",IF(G6&lt;=15,"High","Critical")))</f>
        <v>Critical</v>
      </c>
      <c r="I6" s="5" t="s">
        <v>50</v>
      </c>
      <c r="J6" s="13" t="n">
        <v>2</v>
      </c>
      <c r="K6" s="13" t="n">
        <v>4</v>
      </c>
      <c r="L6" s="13" t="n">
        <f aca="false">J6*K6</f>
        <v>8</v>
      </c>
      <c r="M6" s="13" t="str">
        <f aca="false">IF(L6="","",IF(L6&lt;=4,"Low",IF(L6&lt;=9,"Medium",IF(L6&lt;=15,"High","Critical"))))</f>
        <v>Medium</v>
      </c>
      <c r="N6" s="15" t="s">
        <v>46</v>
      </c>
    </row>
    <row r="7" customFormat="false" ht="81" hidden="false" customHeight="true" outlineLevel="0" collapsed="false">
      <c r="A7" s="13" t="s">
        <v>51</v>
      </c>
      <c r="B7" s="14" t="s">
        <v>52</v>
      </c>
      <c r="C7" s="5" t="s">
        <v>53</v>
      </c>
      <c r="D7" s="15" t="s">
        <v>44</v>
      </c>
      <c r="E7" s="13" t="n">
        <v>4</v>
      </c>
      <c r="F7" s="13" t="n">
        <v>5</v>
      </c>
      <c r="G7" s="13" t="n">
        <f aca="false">E7*F7</f>
        <v>20</v>
      </c>
      <c r="H7" s="13" t="str">
        <f aca="false">IF(G7&lt;=4,"Low",IF(G7&lt;=9,"Medium",IF(G7&lt;=15,"High","Critical")))</f>
        <v>Critical</v>
      </c>
      <c r="I7" s="5" t="s">
        <v>54</v>
      </c>
      <c r="J7" s="13" t="n">
        <v>1</v>
      </c>
      <c r="K7" s="13" t="n">
        <v>5</v>
      </c>
      <c r="L7" s="13" t="n">
        <f aca="false">J7*K7</f>
        <v>5</v>
      </c>
      <c r="M7" s="13" t="str">
        <f aca="false">IF(L7="","",IF(L7&lt;=4,"Low",IF(L7&lt;=9,"Medium",IF(L7&lt;=15,"High","Critical"))))</f>
        <v>Medium</v>
      </c>
      <c r="N7" s="15" t="s">
        <v>46</v>
      </c>
    </row>
    <row r="8" customFormat="false" ht="81" hidden="false" customHeight="true" outlineLevel="0" collapsed="false">
      <c r="A8" s="13" t="s">
        <v>55</v>
      </c>
      <c r="B8" s="14" t="s">
        <v>56</v>
      </c>
      <c r="C8" s="5" t="s">
        <v>57</v>
      </c>
      <c r="D8" s="15" t="s">
        <v>44</v>
      </c>
      <c r="E8" s="13" t="n">
        <v>3</v>
      </c>
      <c r="F8" s="13" t="n">
        <v>5</v>
      </c>
      <c r="G8" s="13" t="n">
        <f aca="false">E8*F8</f>
        <v>15</v>
      </c>
      <c r="H8" s="13" t="str">
        <f aca="false">IF(G8&lt;=4,"Low",IF(G8&lt;=9,"Medium",IF(G8&lt;=15,"High","Critical")))</f>
        <v>High</v>
      </c>
      <c r="I8" s="5" t="s">
        <v>58</v>
      </c>
      <c r="J8" s="13" t="n">
        <v>1</v>
      </c>
      <c r="K8" s="13" t="n">
        <v>5</v>
      </c>
      <c r="L8" s="13" t="n">
        <f aca="false">J8*K8</f>
        <v>5</v>
      </c>
      <c r="M8" s="13" t="str">
        <f aca="false">IF(L8="","",IF(L8&lt;=4,"Low",IF(L8&lt;=9,"Medium",IF(L8&lt;=15,"High","Critical"))))</f>
        <v>Medium</v>
      </c>
      <c r="N8" s="15" t="s">
        <v>46</v>
      </c>
    </row>
    <row r="9" customFormat="false" ht="81" hidden="false" customHeight="true" outlineLevel="0" collapsed="false">
      <c r="A9" s="13" t="s">
        <v>59</v>
      </c>
      <c r="B9" s="14" t="s">
        <v>60</v>
      </c>
      <c r="C9" s="5" t="s">
        <v>61</v>
      </c>
      <c r="D9" s="15" t="s">
        <v>62</v>
      </c>
      <c r="E9" s="13" t="n">
        <v>3</v>
      </c>
      <c r="F9" s="13" t="n">
        <v>5</v>
      </c>
      <c r="G9" s="13" t="n">
        <f aca="false">E9*F9</f>
        <v>15</v>
      </c>
      <c r="H9" s="13" t="str">
        <f aca="false">IF(G9&lt;=4,"Low",IF(G9&lt;=9,"Medium",IF(G9&lt;=15,"High","Critical")))</f>
        <v>High</v>
      </c>
      <c r="I9" s="5" t="s">
        <v>63</v>
      </c>
      <c r="J9" s="13" t="n">
        <v>1</v>
      </c>
      <c r="K9" s="13" t="n">
        <v>5</v>
      </c>
      <c r="L9" s="13" t="n">
        <f aca="false">J9*K9</f>
        <v>5</v>
      </c>
      <c r="M9" s="13" t="str">
        <f aca="false">IF(L9="","",IF(L9&lt;=4,"Low",IF(L9&lt;=9,"Medium",IF(L9&lt;=15,"High","Critical"))))</f>
        <v>Medium</v>
      </c>
      <c r="N9" s="15" t="s">
        <v>46</v>
      </c>
    </row>
    <row r="10" customFormat="false" ht="81" hidden="false" customHeight="true" outlineLevel="0" collapsed="false">
      <c r="A10" s="13" t="s">
        <v>64</v>
      </c>
      <c r="B10" s="14" t="s">
        <v>65</v>
      </c>
      <c r="C10" s="5" t="s">
        <v>66</v>
      </c>
      <c r="D10" s="15" t="s">
        <v>67</v>
      </c>
      <c r="E10" s="13" t="n">
        <v>3</v>
      </c>
      <c r="F10" s="13" t="n">
        <v>5</v>
      </c>
      <c r="G10" s="13" t="n">
        <f aca="false">E10*F10</f>
        <v>15</v>
      </c>
      <c r="H10" s="13" t="str">
        <f aca="false">IF(G10&lt;=4,"Low",IF(G10&lt;=9,"Medium",IF(G10&lt;=15,"High","Critical")))</f>
        <v>High</v>
      </c>
      <c r="I10" s="5" t="s">
        <v>68</v>
      </c>
      <c r="J10" s="13" t="n">
        <v>1</v>
      </c>
      <c r="K10" s="13" t="n">
        <v>5</v>
      </c>
      <c r="L10" s="13" t="n">
        <f aca="false">J10*K10</f>
        <v>5</v>
      </c>
      <c r="M10" s="13" t="str">
        <f aca="false">IF(L10="","",IF(L10&lt;=4,"Low",IF(L10&lt;=9,"Medium",IF(L10&lt;=15,"High","Critical"))))</f>
        <v>Medium</v>
      </c>
      <c r="N10" s="15" t="s">
        <v>46</v>
      </c>
    </row>
    <row r="11" customFormat="false" ht="81" hidden="false" customHeight="true" outlineLevel="0" collapsed="false">
      <c r="A11" s="13" t="s">
        <v>69</v>
      </c>
      <c r="B11" s="14" t="s">
        <v>70</v>
      </c>
      <c r="C11" s="5" t="s">
        <v>71</v>
      </c>
      <c r="D11" s="15" t="s">
        <v>44</v>
      </c>
      <c r="E11" s="13" t="n">
        <v>3</v>
      </c>
      <c r="F11" s="13" t="n">
        <v>4</v>
      </c>
      <c r="G11" s="13" t="n">
        <f aca="false">E11*F11</f>
        <v>12</v>
      </c>
      <c r="H11" s="13" t="str">
        <f aca="false">IF(G11&lt;=4,"Low",IF(G11&lt;=9,"Medium",IF(G11&lt;=15,"High","Critical")))</f>
        <v>High</v>
      </c>
      <c r="I11" s="5" t="s">
        <v>72</v>
      </c>
      <c r="J11" s="13" t="n">
        <v>1</v>
      </c>
      <c r="K11" s="13" t="n">
        <v>4</v>
      </c>
      <c r="L11" s="13" t="n">
        <f aca="false">J11*K11</f>
        <v>4</v>
      </c>
      <c r="M11" s="13" t="str">
        <f aca="false">IF(L11="","",IF(L11&lt;=4,"Low",IF(L11&lt;=9,"Medium",IF(L11&lt;=15,"High","Critical"))))</f>
        <v>Low</v>
      </c>
      <c r="N11" s="15" t="s">
        <v>46</v>
      </c>
    </row>
    <row r="12" customFormat="false" ht="81" hidden="false" customHeight="true" outlineLevel="0" collapsed="false">
      <c r="A12" s="13" t="s">
        <v>73</v>
      </c>
      <c r="B12" s="14" t="s">
        <v>74</v>
      </c>
      <c r="C12" s="5" t="s">
        <v>75</v>
      </c>
      <c r="D12" s="15" t="s">
        <v>44</v>
      </c>
      <c r="E12" s="13" t="n">
        <v>4</v>
      </c>
      <c r="F12" s="13" t="n">
        <v>5</v>
      </c>
      <c r="G12" s="13" t="n">
        <f aca="false">E12*F12</f>
        <v>20</v>
      </c>
      <c r="H12" s="13" t="str">
        <f aca="false">IF(G12&lt;=4,"Low",IF(G12&lt;=9,"Medium",IF(G12&lt;=15,"High","Critical")))</f>
        <v>Critical</v>
      </c>
      <c r="I12" s="5" t="s">
        <v>76</v>
      </c>
      <c r="J12" s="13" t="n">
        <v>1</v>
      </c>
      <c r="K12" s="13" t="n">
        <v>5</v>
      </c>
      <c r="L12" s="13" t="n">
        <f aca="false">J12*K12</f>
        <v>5</v>
      </c>
      <c r="M12" s="13" t="str">
        <f aca="false">IF(L12="","",IF(L12&lt;=4,"Low",IF(L12&lt;=9,"Medium",IF(L12&lt;=15,"High","Critical"))))</f>
        <v>Medium</v>
      </c>
      <c r="N12" s="15" t="s">
        <v>46</v>
      </c>
    </row>
    <row r="13" customFormat="false" ht="81" hidden="false" customHeight="true" outlineLevel="0" collapsed="false">
      <c r="A13" s="13" t="s">
        <v>77</v>
      </c>
      <c r="B13" s="14" t="s">
        <v>78</v>
      </c>
      <c r="C13" s="5" t="s">
        <v>79</v>
      </c>
      <c r="D13" s="15" t="s">
        <v>44</v>
      </c>
      <c r="E13" s="13" t="n">
        <v>3</v>
      </c>
      <c r="F13" s="13" t="n">
        <v>4</v>
      </c>
      <c r="G13" s="13" t="n">
        <f aca="false">E13*F13</f>
        <v>12</v>
      </c>
      <c r="H13" s="13" t="str">
        <f aca="false">IF(G13&lt;=4,"Low",IF(G13&lt;=9,"Medium",IF(G13&lt;=15,"High","Critical")))</f>
        <v>High</v>
      </c>
      <c r="I13" s="5" t="s">
        <v>80</v>
      </c>
      <c r="J13" s="13" t="n">
        <v>1</v>
      </c>
      <c r="K13" s="13" t="n">
        <v>4</v>
      </c>
      <c r="L13" s="13" t="n">
        <f aca="false">J13*K13</f>
        <v>4</v>
      </c>
      <c r="M13" s="13" t="str">
        <f aca="false">IF(L13="","",IF(L13&lt;=4,"Low",IF(L13&lt;=9,"Medium",IF(L13&lt;=15,"High","Critical"))))</f>
        <v>Low</v>
      </c>
      <c r="N13" s="15" t="s">
        <v>46</v>
      </c>
    </row>
    <row r="14" customFormat="false" ht="81" hidden="false" customHeight="true" outlineLevel="0" collapsed="false">
      <c r="A14" s="13" t="s">
        <v>81</v>
      </c>
      <c r="B14" s="14" t="s">
        <v>82</v>
      </c>
      <c r="C14" s="5" t="s">
        <v>83</v>
      </c>
      <c r="D14" s="15" t="s">
        <v>44</v>
      </c>
      <c r="E14" s="13" t="n">
        <v>3</v>
      </c>
      <c r="F14" s="13" t="n">
        <v>3</v>
      </c>
      <c r="G14" s="13" t="n">
        <f aca="false">E14*F14</f>
        <v>9</v>
      </c>
      <c r="H14" s="13" t="str">
        <f aca="false">IF(G14&lt;=4,"Low",IF(G14&lt;=9,"Medium",IF(G14&lt;=15,"High","Critical")))</f>
        <v>Medium</v>
      </c>
      <c r="I14" s="5" t="s">
        <v>84</v>
      </c>
      <c r="J14" s="13" t="n">
        <v>1</v>
      </c>
      <c r="K14" s="13" t="n">
        <v>3</v>
      </c>
      <c r="L14" s="13" t="n">
        <f aca="false">J14*K14</f>
        <v>3</v>
      </c>
      <c r="M14" s="13" t="str">
        <f aca="false">IF(L14="","",IF(L14&lt;=4,"Low",IF(L14&lt;=9,"Medium",IF(L14&lt;=15,"High","Critical"))))</f>
        <v>Low</v>
      </c>
      <c r="N14" s="15" t="s">
        <v>46</v>
      </c>
    </row>
    <row r="15" customFormat="false" ht="81" hidden="false" customHeight="true" outlineLevel="0" collapsed="false">
      <c r="A15" s="13" t="s">
        <v>85</v>
      </c>
      <c r="B15" s="14" t="s">
        <v>86</v>
      </c>
      <c r="C15" s="5" t="s">
        <v>87</v>
      </c>
      <c r="D15" s="15" t="s">
        <v>44</v>
      </c>
      <c r="E15" s="13" t="n">
        <v>4</v>
      </c>
      <c r="F15" s="13" t="n">
        <v>4</v>
      </c>
      <c r="G15" s="13" t="n">
        <f aca="false">E15*F15</f>
        <v>16</v>
      </c>
      <c r="H15" s="13" t="str">
        <f aca="false">IF(G15&lt;=4,"Low",IF(G15&lt;=9,"Medium",IF(G15&lt;=15,"High","Critical")))</f>
        <v>Critical</v>
      </c>
      <c r="I15" s="5" t="s">
        <v>88</v>
      </c>
      <c r="J15" s="13" t="n">
        <v>2</v>
      </c>
      <c r="K15" s="13" t="n">
        <v>4</v>
      </c>
      <c r="L15" s="13" t="n">
        <f aca="false">J15*K15</f>
        <v>8</v>
      </c>
      <c r="M15" s="13" t="str">
        <f aca="false">IF(L15="","",IF(L15&lt;=4,"Low",IF(L15&lt;=9,"Medium",IF(L15&lt;=15,"High","Critical"))))</f>
        <v>Medium</v>
      </c>
      <c r="N15" s="15" t="s">
        <v>46</v>
      </c>
    </row>
    <row r="16" customFormat="false" ht="81" hidden="false" customHeight="true" outlineLevel="0" collapsed="false">
      <c r="A16" s="13" t="s">
        <v>89</v>
      </c>
      <c r="B16" s="14" t="s">
        <v>90</v>
      </c>
      <c r="C16" s="5" t="s">
        <v>91</v>
      </c>
      <c r="D16" s="15" t="s">
        <v>44</v>
      </c>
      <c r="E16" s="13" t="n">
        <v>3</v>
      </c>
      <c r="F16" s="13" t="n">
        <v>5</v>
      </c>
      <c r="G16" s="13" t="n">
        <f aca="false">E16*F16</f>
        <v>15</v>
      </c>
      <c r="H16" s="13" t="str">
        <f aca="false">IF(G16&lt;=4,"Low",IF(G16&lt;=9,"Medium",IF(G16&lt;=15,"High","Critical")))</f>
        <v>High</v>
      </c>
      <c r="I16" s="5" t="s">
        <v>92</v>
      </c>
      <c r="J16" s="13" t="n">
        <v>1</v>
      </c>
      <c r="K16" s="13" t="n">
        <v>5</v>
      </c>
      <c r="L16" s="13" t="n">
        <f aca="false">J16*K16</f>
        <v>5</v>
      </c>
      <c r="M16" s="13" t="str">
        <f aca="false">IF(L16="","",IF(L16&lt;=4,"Low",IF(L16&lt;=9,"Medium",IF(L16&lt;=15,"High","Critical"))))</f>
        <v>Medium</v>
      </c>
      <c r="N16" s="15" t="s">
        <v>46</v>
      </c>
    </row>
    <row r="17" customFormat="false" ht="67.5" hidden="false" customHeight="true" outlineLevel="0" collapsed="false">
      <c r="A17" s="13" t="s">
        <v>93</v>
      </c>
      <c r="B17" s="14" t="s">
        <v>94</v>
      </c>
      <c r="C17" s="5" t="s">
        <v>95</v>
      </c>
      <c r="D17" s="15" t="s">
        <v>62</v>
      </c>
      <c r="E17" s="13" t="n">
        <v>3</v>
      </c>
      <c r="F17" s="13" t="n">
        <v>3</v>
      </c>
      <c r="G17" s="13" t="n">
        <f aca="false">E17*F17</f>
        <v>9</v>
      </c>
      <c r="H17" s="13" t="str">
        <f aca="false">IF(G17&lt;=4,"Low",IF(G17&lt;=9,"Medium",IF(G17&lt;=15,"High","Critical")))</f>
        <v>Medium</v>
      </c>
      <c r="I17" s="5" t="s">
        <v>96</v>
      </c>
      <c r="J17" s="13" t="n">
        <v>1</v>
      </c>
      <c r="K17" s="13" t="n">
        <v>3</v>
      </c>
      <c r="L17" s="13" t="n">
        <f aca="false">J17*K17</f>
        <v>3</v>
      </c>
      <c r="M17" s="13" t="str">
        <f aca="false">IF(L17="","",IF(L17&lt;=4,"Low",IF(L17&lt;=9,"Medium",IF(L17&lt;=15,"High","Critical"))))</f>
        <v>Low</v>
      </c>
      <c r="N17" s="15" t="s">
        <v>46</v>
      </c>
    </row>
    <row r="18" customFormat="false" ht="81" hidden="false" customHeight="true" outlineLevel="0" collapsed="false">
      <c r="A18" s="13" t="s">
        <v>97</v>
      </c>
      <c r="B18" s="14" t="s">
        <v>98</v>
      </c>
      <c r="C18" s="5" t="s">
        <v>99</v>
      </c>
      <c r="D18" s="15" t="s">
        <v>44</v>
      </c>
      <c r="E18" s="13" t="n">
        <v>3</v>
      </c>
      <c r="F18" s="13" t="n">
        <v>4</v>
      </c>
      <c r="G18" s="13" t="n">
        <f aca="false">E18*F18</f>
        <v>12</v>
      </c>
      <c r="H18" s="13" t="str">
        <f aca="false">IF(G18&lt;=4,"Low",IF(G18&lt;=9,"Medium",IF(G18&lt;=15,"High","Critical")))</f>
        <v>High</v>
      </c>
      <c r="I18" s="5" t="s">
        <v>100</v>
      </c>
      <c r="J18" s="13" t="n">
        <v>1</v>
      </c>
      <c r="K18" s="13" t="n">
        <v>4</v>
      </c>
      <c r="L18" s="13" t="n">
        <f aca="false">J18*K18</f>
        <v>4</v>
      </c>
      <c r="M18" s="13" t="str">
        <f aca="false">IF(L18="","",IF(L18&lt;=4,"Low",IF(L18&lt;=9,"Medium",IF(L18&lt;=15,"High","Critical"))))</f>
        <v>Low</v>
      </c>
      <c r="N18" s="15" t="s">
        <v>46</v>
      </c>
    </row>
    <row r="19" customFormat="false" ht="81" hidden="false" customHeight="true" outlineLevel="0" collapsed="false">
      <c r="A19" s="13"/>
      <c r="B19" s="14"/>
      <c r="C19" s="5"/>
      <c r="D19" s="15"/>
      <c r="E19" s="13"/>
      <c r="F19" s="13"/>
      <c r="G19" s="13"/>
      <c r="H19" s="13"/>
      <c r="I19" s="5"/>
      <c r="J19" s="13"/>
      <c r="K19" s="13"/>
      <c r="L19" s="13"/>
      <c r="M19" s="13"/>
      <c r="N19" s="15"/>
    </row>
    <row r="20" customFormat="false" ht="81" hidden="false" customHeight="true" outlineLevel="0" collapsed="false">
      <c r="A20" s="13"/>
      <c r="B20" s="14"/>
      <c r="C20" s="5"/>
      <c r="D20" s="15"/>
      <c r="E20" s="13"/>
      <c r="F20" s="13"/>
      <c r="G20" s="13"/>
      <c r="H20" s="13"/>
      <c r="I20" s="5"/>
      <c r="J20" s="13"/>
      <c r="K20" s="13"/>
      <c r="L20" s="13"/>
      <c r="M20" s="13"/>
      <c r="N20" s="15"/>
    </row>
    <row r="21" customFormat="false" ht="81" hidden="false" customHeight="true" outlineLevel="0" collapsed="false">
      <c r="A21" s="13"/>
      <c r="B21" s="14"/>
      <c r="C21" s="5"/>
      <c r="D21" s="15"/>
      <c r="E21" s="13"/>
      <c r="F21" s="13"/>
      <c r="G21" s="13"/>
      <c r="H21" s="13"/>
      <c r="I21" s="5"/>
      <c r="J21" s="13"/>
      <c r="K21" s="13"/>
      <c r="L21" s="13"/>
      <c r="M21" s="13"/>
      <c r="N21" s="15"/>
    </row>
    <row r="22" customFormat="false" ht="81" hidden="false" customHeight="true" outlineLevel="0" collapsed="false">
      <c r="A22" s="13"/>
      <c r="B22" s="14"/>
      <c r="C22" s="5"/>
      <c r="D22" s="15"/>
      <c r="E22" s="13"/>
      <c r="F22" s="13"/>
      <c r="G22" s="13"/>
      <c r="H22" s="13"/>
      <c r="I22" s="5"/>
      <c r="J22" s="13"/>
      <c r="K22" s="13"/>
      <c r="L22" s="13"/>
      <c r="M22" s="13"/>
      <c r="N22" s="15"/>
    </row>
    <row r="23" customFormat="false" ht="81" hidden="false" customHeight="true" outlineLevel="0" collapsed="false">
      <c r="A23" s="13"/>
      <c r="B23" s="14"/>
      <c r="C23" s="5"/>
      <c r="D23" s="15"/>
      <c r="E23" s="13"/>
      <c r="F23" s="13"/>
      <c r="G23" s="13"/>
      <c r="H23" s="13"/>
      <c r="I23" s="5"/>
      <c r="J23" s="13"/>
      <c r="K23" s="13"/>
      <c r="L23" s="13"/>
      <c r="M23" s="13"/>
      <c r="N23" s="15"/>
    </row>
    <row r="24" customFormat="false" ht="81" hidden="false" customHeight="true" outlineLevel="0" collapsed="false">
      <c r="A24" s="13"/>
      <c r="B24" s="14"/>
      <c r="C24" s="5"/>
      <c r="D24" s="15"/>
      <c r="E24" s="13"/>
      <c r="F24" s="13"/>
      <c r="G24" s="13"/>
      <c r="H24" s="13"/>
      <c r="I24" s="5"/>
      <c r="J24" s="13"/>
      <c r="K24" s="13"/>
      <c r="L24" s="13"/>
      <c r="M24" s="13"/>
      <c r="N24" s="15"/>
    </row>
    <row r="25" customFormat="false" ht="81" hidden="false" customHeight="true" outlineLevel="0" collapsed="false">
      <c r="A25" s="13"/>
      <c r="B25" s="14"/>
      <c r="C25" s="5"/>
      <c r="D25" s="15"/>
      <c r="E25" s="13"/>
      <c r="F25" s="13"/>
      <c r="G25" s="13"/>
      <c r="H25" s="13"/>
      <c r="I25" s="5"/>
      <c r="J25" s="13"/>
      <c r="K25" s="13"/>
      <c r="L25" s="13"/>
      <c r="M25" s="13"/>
      <c r="N25" s="15"/>
    </row>
    <row r="26" customFormat="false" ht="81" hidden="false" customHeight="true" outlineLevel="0" collapsed="false">
      <c r="A26" s="13"/>
      <c r="B26" s="14"/>
      <c r="C26" s="5"/>
      <c r="D26" s="15"/>
      <c r="E26" s="13"/>
      <c r="F26" s="13"/>
      <c r="G26" s="13"/>
      <c r="H26" s="13"/>
      <c r="I26" s="5"/>
      <c r="J26" s="13"/>
      <c r="K26" s="13"/>
      <c r="L26" s="13"/>
      <c r="M26" s="13"/>
      <c r="N26" s="15"/>
    </row>
    <row r="27" customFormat="false" ht="81" hidden="false" customHeight="true" outlineLevel="0" collapsed="false">
      <c r="A27" s="13"/>
      <c r="B27" s="14"/>
      <c r="C27" s="5"/>
      <c r="D27" s="15"/>
      <c r="E27" s="13"/>
      <c r="F27" s="13"/>
      <c r="G27" s="13"/>
      <c r="H27" s="13"/>
      <c r="I27" s="5"/>
      <c r="J27" s="13"/>
      <c r="K27" s="13"/>
      <c r="L27" s="13"/>
      <c r="M27" s="13"/>
      <c r="N27" s="15"/>
    </row>
    <row r="28" customFormat="false" ht="81" hidden="false" customHeight="true" outlineLevel="0" collapsed="false">
      <c r="A28" s="13"/>
      <c r="B28" s="14"/>
      <c r="C28" s="5"/>
      <c r="D28" s="15"/>
      <c r="E28" s="13"/>
      <c r="F28" s="13"/>
      <c r="G28" s="13"/>
      <c r="H28" s="13"/>
      <c r="I28" s="5"/>
      <c r="J28" s="13"/>
      <c r="K28" s="13"/>
      <c r="L28" s="13"/>
      <c r="M28" s="13"/>
      <c r="N28" s="15"/>
    </row>
    <row r="31" customFormat="false" ht="15" hidden="false" customHeight="true" outlineLevel="0" collapsed="false">
      <c r="A31" s="16" t="s">
        <v>101</v>
      </c>
      <c r="B31" s="16"/>
      <c r="C31" s="16"/>
      <c r="D31" s="16"/>
      <c r="E31" s="16"/>
      <c r="F31" s="16"/>
      <c r="G31" s="16"/>
      <c r="H31" s="16"/>
      <c r="I31" s="16"/>
      <c r="J31" s="16"/>
      <c r="K31" s="16"/>
      <c r="L31" s="16"/>
      <c r="M31" s="16"/>
      <c r="N31" s="16"/>
    </row>
    <row r="33" customFormat="false" ht="15" hidden="false" customHeight="false" outlineLevel="0" collapsed="false">
      <c r="A33" s="17" t="s">
        <v>102</v>
      </c>
      <c r="B33" s="17"/>
      <c r="C33" s="17"/>
      <c r="D33" s="18"/>
      <c r="E33" s="18"/>
      <c r="F33" s="18"/>
      <c r="G33" s="18"/>
      <c r="H33" s="18"/>
    </row>
    <row r="34" customFormat="false" ht="15" hidden="false" customHeight="false" outlineLevel="0" collapsed="false">
      <c r="A34" s="17" t="s">
        <v>103</v>
      </c>
      <c r="B34" s="17"/>
      <c r="C34" s="17"/>
      <c r="D34" s="18"/>
      <c r="E34" s="18"/>
      <c r="F34" s="18"/>
      <c r="G34" s="18"/>
      <c r="H34" s="18"/>
    </row>
    <row r="35" customFormat="false" ht="15" hidden="false" customHeight="false" outlineLevel="0" collapsed="false">
      <c r="A35" s="17" t="s">
        <v>104</v>
      </c>
      <c r="B35" s="17"/>
      <c r="C35" s="17"/>
      <c r="D35" s="18"/>
      <c r="E35" s="18"/>
      <c r="F35" s="18"/>
      <c r="G35" s="18"/>
      <c r="H35" s="18"/>
    </row>
    <row r="36" customFormat="false" ht="15" hidden="false" customHeight="false" outlineLevel="0" collapsed="false">
      <c r="A36" s="17" t="s">
        <v>105</v>
      </c>
      <c r="B36" s="17"/>
      <c r="C36" s="17"/>
      <c r="D36" s="18"/>
      <c r="E36" s="18"/>
      <c r="F36" s="18"/>
      <c r="G36" s="18"/>
      <c r="H36" s="18"/>
    </row>
    <row r="37" customFormat="false" ht="15" hidden="false" customHeight="false" outlineLevel="0" collapsed="false">
      <c r="A37" s="17" t="s">
        <v>103</v>
      </c>
      <c r="B37" s="17"/>
      <c r="C37" s="17"/>
      <c r="D37" s="18"/>
      <c r="E37" s="18"/>
      <c r="F37" s="18"/>
      <c r="G37" s="18"/>
      <c r="H37" s="18"/>
    </row>
    <row r="38" customFormat="false" ht="15" hidden="false" customHeight="false" outlineLevel="0" collapsed="false">
      <c r="A38" s="17" t="s">
        <v>104</v>
      </c>
      <c r="B38" s="17"/>
      <c r="C38" s="17"/>
      <c r="D38" s="18"/>
      <c r="E38" s="18"/>
      <c r="F38" s="18"/>
      <c r="G38" s="18"/>
      <c r="H38" s="18"/>
    </row>
    <row r="39" customFormat="false" ht="15" hidden="false" customHeight="false" outlineLevel="0" collapsed="false">
      <c r="A39" s="17" t="s">
        <v>106</v>
      </c>
      <c r="B39" s="17"/>
      <c r="C39" s="17"/>
      <c r="D39" s="18"/>
      <c r="E39" s="18"/>
      <c r="F39" s="18"/>
      <c r="G39" s="18"/>
      <c r="H39" s="18"/>
    </row>
  </sheetData>
  <mergeCells count="16">
    <mergeCell ref="A2:N2"/>
    <mergeCell ref="A31:N31"/>
    <mergeCell ref="A33:C33"/>
    <mergeCell ref="D33:H33"/>
    <mergeCell ref="A34:C34"/>
    <mergeCell ref="D34:H34"/>
    <mergeCell ref="A35:C35"/>
    <mergeCell ref="D35:H35"/>
    <mergeCell ref="A36:C36"/>
    <mergeCell ref="D36:H36"/>
    <mergeCell ref="A37:C37"/>
    <mergeCell ref="D37:H37"/>
    <mergeCell ref="A38:C38"/>
    <mergeCell ref="D38:H38"/>
    <mergeCell ref="A39:C39"/>
    <mergeCell ref="D39:H39"/>
  </mergeCells>
  <conditionalFormatting sqref="E5:F28">
    <cfRule type="cellIs" priority="2" operator="equal" aboveAverage="0" equalAverage="0" bottom="0" percent="0" rank="0" text="" dxfId="0">
      <formula>1</formula>
    </cfRule>
    <cfRule type="cellIs" priority="3" operator="equal" aboveAverage="0" equalAverage="0" bottom="0" percent="0" rank="0" text="" dxfId="0">
      <formula>2</formula>
    </cfRule>
    <cfRule type="cellIs" priority="4" operator="equal" aboveAverage="0" equalAverage="0" bottom="0" percent="0" rank="0" text="" dxfId="1">
      <formula>3</formula>
    </cfRule>
    <cfRule type="cellIs" priority="5" operator="equal" aboveAverage="0" equalAverage="0" bottom="0" percent="0" rank="0" text="" dxfId="2">
      <formula>4</formula>
    </cfRule>
    <cfRule type="cellIs" priority="6" operator="equal" aboveAverage="0" equalAverage="0" bottom="0" percent="0" rank="0" text="" dxfId="2">
      <formula>5</formula>
    </cfRule>
  </conditionalFormatting>
  <conditionalFormatting sqref="J5:K28">
    <cfRule type="cellIs" priority="7" operator="equal" aboveAverage="0" equalAverage="0" bottom="0" percent="0" rank="0" text="" dxfId="0">
      <formula>1</formula>
    </cfRule>
    <cfRule type="cellIs" priority="8" operator="equal" aboveAverage="0" equalAverage="0" bottom="0" percent="0" rank="0" text="" dxfId="0">
      <formula>2</formula>
    </cfRule>
    <cfRule type="cellIs" priority="9" operator="equal" aboveAverage="0" equalAverage="0" bottom="0" percent="0" rank="0" text="" dxfId="1">
      <formula>3</formula>
    </cfRule>
    <cfRule type="cellIs" priority="10" operator="equal" aboveAverage="0" equalAverage="0" bottom="0" percent="0" rank="0" text="" dxfId="2">
      <formula>4</formula>
    </cfRule>
    <cfRule type="cellIs" priority="11" operator="equal" aboveAverage="0" equalAverage="0" bottom="0" percent="0" rank="0" text="" dxfId="2">
      <formula>5</formula>
    </cfRule>
  </conditionalFormatting>
  <conditionalFormatting sqref="G5:G28">
    <cfRule type="cellIs" priority="12" operator="lessThanOrEqual" aboveAverage="0" equalAverage="0" bottom="0" percent="0" rank="0" text="" dxfId="0">
      <formula>4</formula>
    </cfRule>
    <cfRule type="cellIs" priority="13" operator="between" aboveAverage="0" equalAverage="0" bottom="0" percent="0" rank="0" text="" dxfId="1">
      <formula>5</formula>
      <formula>9</formula>
    </cfRule>
    <cfRule type="cellIs" priority="14" operator="greaterThanOrEqual" aboveAverage="0" equalAverage="0" bottom="0" percent="0" rank="0" text="" dxfId="3">
      <formula>10</formula>
    </cfRule>
  </conditionalFormatting>
  <conditionalFormatting sqref="L5:L28">
    <cfRule type="cellIs" priority="15" operator="lessThanOrEqual" aboveAverage="0" equalAverage="0" bottom="0" percent="0" rank="0" text="" dxfId="0">
      <formula>4</formula>
    </cfRule>
    <cfRule type="cellIs" priority="16" operator="between" aboveAverage="0" equalAverage="0" bottom="0" percent="0" rank="0" text="" dxfId="1">
      <formula>5</formula>
      <formula>9</formula>
    </cfRule>
    <cfRule type="cellIs" priority="17" operator="greaterThanOrEqual" aboveAverage="0" equalAverage="0" bottom="0" percent="0" rank="0" text="" dxfId="3">
      <formula>10</formula>
    </cfRule>
  </conditionalFormatting>
  <conditionalFormatting sqref="H5:H28">
    <cfRule type="cellIs" priority="18" operator="equal" aboveAverage="0" equalAverage="0" bottom="0" percent="0" rank="0" text="" dxfId="4">
      <formula>"Low"</formula>
    </cfRule>
    <cfRule type="cellIs" priority="19" operator="equal" aboveAverage="0" equalAverage="0" bottom="0" percent="0" rank="0" text="" dxfId="5">
      <formula>"Medium"</formula>
    </cfRule>
    <cfRule type="cellIs" priority="20" operator="equal" aboveAverage="0" equalAverage="0" bottom="0" percent="0" rank="0" text="" dxfId="6">
      <formula>"High"</formula>
    </cfRule>
    <cfRule type="cellIs" priority="21" operator="equal" aboveAverage="0" equalAverage="0" bottom="0" percent="0" rank="0" text="" dxfId="7">
      <formula>"Critical"</formula>
    </cfRule>
  </conditionalFormatting>
  <conditionalFormatting sqref="M5:M28">
    <cfRule type="cellIs" priority="22" operator="equal" aboveAverage="0" equalAverage="0" bottom="0" percent="0" rank="0" text="" dxfId="4">
      <formula>"Low"</formula>
    </cfRule>
    <cfRule type="cellIs" priority="23" operator="equal" aboveAverage="0" equalAverage="0" bottom="0" percent="0" rank="0" text="" dxfId="5">
      <formula>"Medium"</formula>
    </cfRule>
    <cfRule type="cellIs" priority="24" operator="equal" aboveAverage="0" equalAverage="0" bottom="0" percent="0" rank="0" text="" dxfId="6">
      <formula>"High"</formula>
    </cfRule>
    <cfRule type="cellIs" priority="25" operator="equal" aboveAverage="0" equalAverage="0" bottom="0" percent="0" rank="0" text="" dxfId="7">
      <formula>"Critical"</formula>
    </cfRule>
  </conditionalFormatting>
  <dataValidations count="2">
    <dataValidation allowBlank="true" error="Please select a value between 1 and 5" errorStyle="stop" errorTitle="Invalid Score" operator="between" prompt="Select 1-5" promptTitle="Score" showDropDown="false" showErrorMessage="false" showInputMessage="false" sqref="E5:F28 J5:K28" type="list">
      <formula1>"1,2,3,4,5"</formula1>
      <formula2>0</formula2>
    </dataValidation>
    <dataValidation allowBlank="true" error="Please select Open, Closed, or In Progress" errorStyle="stop" errorTitle="Invalid Status" operator="between" showDropDown="false" showErrorMessage="false" showInputMessage="false" sqref="N5:N28" type="list">
      <formula1>"Open,Closed,In Progress"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27" activeCellId="0" sqref="K27"/>
    </sheetView>
  </sheetViews>
  <sheetFormatPr defaultColWidth="8.714843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7" min="3" style="0" width="16"/>
  </cols>
  <sheetData>
    <row r="1" customFormat="false" ht="75.75" hidden="false" customHeight="true" outlineLevel="0" collapsed="false"/>
    <row r="2" customFormat="false" ht="26.25" hidden="false" customHeight="true" outlineLevel="0" collapsed="false">
      <c r="A2" s="11" t="s">
        <v>107</v>
      </c>
      <c r="B2" s="11"/>
      <c r="C2" s="11"/>
      <c r="D2" s="11"/>
      <c r="E2" s="11"/>
      <c r="F2" s="11"/>
      <c r="G2" s="11"/>
    </row>
    <row r="4" customFormat="false" ht="15.75" hidden="false" customHeight="true" outlineLevel="0" collapsed="false">
      <c r="B4" s="19" t="s">
        <v>108</v>
      </c>
    </row>
    <row r="5" customFormat="false" ht="24" hidden="false" customHeight="true" outlineLevel="0" collapsed="false">
      <c r="C5" s="12" t="s">
        <v>109</v>
      </c>
      <c r="D5" s="12" t="s">
        <v>110</v>
      </c>
      <c r="E5" s="12" t="s">
        <v>111</v>
      </c>
      <c r="F5" s="12" t="s">
        <v>112</v>
      </c>
      <c r="G5" s="12" t="s">
        <v>113</v>
      </c>
    </row>
    <row r="6" customFormat="false" ht="36" hidden="false" customHeight="true" outlineLevel="0" collapsed="false">
      <c r="C6" s="20" t="n">
        <f aca="false">COUNTA('Risk Assessment'!A5:A28)</f>
        <v>14</v>
      </c>
      <c r="D6" s="20" t="n">
        <f aca="false">COUNTIF('Risk Assessment'!H5:H28,"Critical")</f>
        <v>5</v>
      </c>
      <c r="E6" s="20" t="n">
        <f aca="false">COUNTIF('Risk Assessment'!H5:H28,"High")</f>
        <v>7</v>
      </c>
      <c r="F6" s="20" t="n">
        <f aca="false">COUNTIF('Risk Assessment'!H5:H28,"Medium")</f>
        <v>2</v>
      </c>
      <c r="G6" s="20" t="n">
        <f aca="false">COUNTIF('Risk Assessment'!H5:H28,"Low")</f>
        <v>0</v>
      </c>
    </row>
    <row r="8" customFormat="false" ht="15.75" hidden="false" customHeight="true" outlineLevel="0" collapsed="false">
      <c r="B8" s="10" t="s">
        <v>114</v>
      </c>
      <c r="C8" s="10"/>
      <c r="D8" s="10"/>
      <c r="E8" s="10"/>
      <c r="F8" s="10"/>
      <c r="G8" s="10"/>
    </row>
    <row r="9" customFormat="false" ht="15" hidden="false" customHeight="false" outlineLevel="0" collapsed="false">
      <c r="C9" s="12" t="s">
        <v>35</v>
      </c>
      <c r="D9" s="12" t="s">
        <v>115</v>
      </c>
      <c r="E9" s="12" t="s">
        <v>116</v>
      </c>
    </row>
    <row r="10" customFormat="false" ht="15" hidden="false" customHeight="false" outlineLevel="0" collapsed="false">
      <c r="C10" s="21" t="s">
        <v>117</v>
      </c>
      <c r="D10" s="13" t="n">
        <f aca="false">COUNTIF('Risk Assessment'!H5:H28,"Critical")</f>
        <v>5</v>
      </c>
      <c r="E10" s="13" t="str">
        <f aca="false">IF(D10=0,"0%",TEXT(D10/C6,"0%"))</f>
        <v>36%</v>
      </c>
    </row>
    <row r="11" customFormat="false" ht="15" hidden="false" customHeight="false" outlineLevel="0" collapsed="false">
      <c r="C11" s="22" t="s">
        <v>118</v>
      </c>
      <c r="D11" s="13" t="n">
        <f aca="false">COUNTIF('Risk Assessment'!H5:H28,"High")</f>
        <v>7</v>
      </c>
      <c r="E11" s="13" t="str">
        <f aca="false">IF(D11=0,"0%",TEXT(D11/C6,"0%"))</f>
        <v>50%</v>
      </c>
    </row>
    <row r="12" customFormat="false" ht="15" hidden="false" customHeight="false" outlineLevel="0" collapsed="false">
      <c r="C12" s="23" t="s">
        <v>119</v>
      </c>
      <c r="D12" s="13" t="n">
        <f aca="false">COUNTIF('Risk Assessment'!H5:H28,"Medium")</f>
        <v>2</v>
      </c>
      <c r="E12" s="13" t="str">
        <f aca="false">IF(D12=0,"0%",TEXT(D12/C6,"0%"))</f>
        <v>14%</v>
      </c>
    </row>
    <row r="13" customFormat="false" ht="15" hidden="false" customHeight="false" outlineLevel="0" collapsed="false">
      <c r="C13" s="24" t="s">
        <v>120</v>
      </c>
      <c r="D13" s="13" t="n">
        <f aca="false">COUNTIF('Risk Assessment'!H5:H28,"Low")</f>
        <v>0</v>
      </c>
      <c r="E13" s="13" t="str">
        <f aca="false">IF(D13=0,"0%",TEXT(D13/C6,"0%"))</f>
        <v>0%</v>
      </c>
    </row>
    <row r="15" customFormat="false" ht="15.75" hidden="false" customHeight="true" outlineLevel="0" collapsed="false">
      <c r="B15" s="10" t="s">
        <v>121</v>
      </c>
      <c r="C15" s="10"/>
      <c r="D15" s="10"/>
      <c r="E15" s="10"/>
      <c r="F15" s="10"/>
      <c r="G15" s="10"/>
    </row>
    <row r="16" customFormat="false" ht="15" hidden="false" customHeight="false" outlineLevel="0" collapsed="false">
      <c r="C16" s="12" t="s">
        <v>35</v>
      </c>
      <c r="D16" s="12" t="s">
        <v>115</v>
      </c>
      <c r="E16" s="12" t="s">
        <v>116</v>
      </c>
    </row>
    <row r="17" customFormat="false" ht="15" hidden="false" customHeight="false" outlineLevel="0" collapsed="false">
      <c r="C17" s="21" t="s">
        <v>117</v>
      </c>
      <c r="D17" s="13" t="n">
        <f aca="false">COUNTIF('Risk Assessment'!M5:M28,"Critical")</f>
        <v>0</v>
      </c>
      <c r="E17" s="13" t="str">
        <f aca="false">IF(D17=0,"0%",TEXT(D17/C6,"0%"))</f>
        <v>0%</v>
      </c>
    </row>
    <row r="18" customFormat="false" ht="15" hidden="false" customHeight="false" outlineLevel="0" collapsed="false">
      <c r="C18" s="22" t="s">
        <v>118</v>
      </c>
      <c r="D18" s="13" t="n">
        <f aca="false">COUNTIF('Risk Assessment'!M5:M28,"High")</f>
        <v>0</v>
      </c>
      <c r="E18" s="13" t="str">
        <f aca="false">IF(D18=0,"0%",TEXT(D18/C6,"0%"))</f>
        <v>0%</v>
      </c>
    </row>
    <row r="19" customFormat="false" ht="15" hidden="false" customHeight="false" outlineLevel="0" collapsed="false">
      <c r="C19" s="23" t="s">
        <v>119</v>
      </c>
      <c r="D19" s="13" t="n">
        <f aca="false">COUNTIF('Risk Assessment'!M5:M28,"Medium")</f>
        <v>9</v>
      </c>
      <c r="E19" s="13" t="str">
        <f aca="false">IF(D19=0,"0%",TEXT(D19/C6,"0%"))</f>
        <v>64%</v>
      </c>
    </row>
    <row r="20" customFormat="false" ht="15" hidden="false" customHeight="false" outlineLevel="0" collapsed="false">
      <c r="C20" s="24" t="s">
        <v>120</v>
      </c>
      <c r="D20" s="13" t="n">
        <f aca="false">COUNTIF('Risk Assessment'!M5:M28,"Low")</f>
        <v>5</v>
      </c>
      <c r="E20" s="13" t="str">
        <f aca="false">IF(D20=0,"0%",TEXT(D20/C6,"0%"))</f>
        <v>36%</v>
      </c>
    </row>
    <row r="22" customFormat="false" ht="15.75" hidden="false" customHeight="true" outlineLevel="0" collapsed="false">
      <c r="B22" s="10" t="s">
        <v>122</v>
      </c>
      <c r="C22" s="10"/>
      <c r="D22" s="10"/>
      <c r="E22" s="10"/>
      <c r="F22" s="10"/>
      <c r="G22" s="10"/>
    </row>
    <row r="23" customFormat="false" ht="15" hidden="false" customHeight="false" outlineLevel="0" collapsed="false">
      <c r="C23" s="12" t="s">
        <v>123</v>
      </c>
      <c r="D23" s="12" t="s">
        <v>124</v>
      </c>
    </row>
    <row r="24" customFormat="false" ht="21.75" hidden="false" customHeight="true" outlineLevel="0" collapsed="false">
      <c r="C24" s="25" t="s">
        <v>125</v>
      </c>
      <c r="D24" s="26" t="n">
        <f aca="false">ROUND(AVERAGE('Risk Assessment'!G5:G28),1)</f>
        <v>14.4</v>
      </c>
    </row>
    <row r="25" customFormat="false" ht="21.75" hidden="false" customHeight="true" outlineLevel="0" collapsed="false">
      <c r="C25" s="14" t="s">
        <v>126</v>
      </c>
      <c r="D25" s="27" t="n">
        <f aca="false">ROUND(AVERAGE('Risk Assessment'!L5:L28),1)</f>
        <v>5.1</v>
      </c>
    </row>
    <row r="26" customFormat="false" ht="21.75" hidden="false" customHeight="true" outlineLevel="0" collapsed="false">
      <c r="C26" s="25" t="s">
        <v>127</v>
      </c>
      <c r="D26" s="26" t="str">
        <f aca="false">TEXT(1-(AVERAGE('Risk Assessment'!L5:L28)/AVERAGE('Risk Assessment'!G5:G28)),"0%")</f>
        <v>64%</v>
      </c>
    </row>
    <row r="27" customFormat="false" ht="21.75" hidden="false" customHeight="true" outlineLevel="0" collapsed="false">
      <c r="C27" s="14" t="s">
        <v>128</v>
      </c>
      <c r="D27" s="27" t="n">
        <f aca="false">COUNTIF('Risk Assessment'!M5:M28,"Critical")</f>
        <v>0</v>
      </c>
    </row>
    <row r="28" customFormat="false" ht="21.75" hidden="false" customHeight="true" outlineLevel="0" collapsed="false">
      <c r="C28" s="25" t="s">
        <v>129</v>
      </c>
      <c r="D28" s="26" t="n">
        <f aca="false">COUNTIF('Risk Assessment'!M5:M28,"High")</f>
        <v>0</v>
      </c>
    </row>
    <row r="29" customFormat="false" ht="21.75" hidden="false" customHeight="true" outlineLevel="0" collapsed="false">
      <c r="C29" s="14" t="s">
        <v>130</v>
      </c>
      <c r="D29" s="27" t="n">
        <f aca="false">COUNTIF('Risk Assessment'!N5:N28,"Open")</f>
        <v>14</v>
      </c>
    </row>
    <row r="31" customFormat="false" ht="15.75" hidden="false" customHeight="true" outlineLevel="0" collapsed="false">
      <c r="B31" s="19" t="s">
        <v>131</v>
      </c>
    </row>
    <row r="32" customFormat="false" ht="24" hidden="false" customHeight="true" outlineLevel="0" collapsed="false">
      <c r="C32" s="4" t="s">
        <v>132</v>
      </c>
      <c r="D32" s="5" t="s">
        <v>133</v>
      </c>
    </row>
    <row r="33" customFormat="false" ht="15" hidden="false" customHeight="false" outlineLevel="0" collapsed="false">
      <c r="C33" s="4" t="s">
        <v>134</v>
      </c>
      <c r="D33" s="5" t="s">
        <v>135</v>
      </c>
    </row>
    <row r="34" customFormat="false" ht="15" hidden="false" customHeight="false" outlineLevel="0" collapsed="false">
      <c r="C34" s="4" t="s">
        <v>12</v>
      </c>
      <c r="D34" s="5" t="s">
        <v>13</v>
      </c>
    </row>
    <row r="35" customFormat="false" ht="15" hidden="false" customHeight="false" outlineLevel="0" collapsed="false">
      <c r="C35" s="4" t="s">
        <v>19</v>
      </c>
      <c r="D35" s="5" t="s">
        <v>20</v>
      </c>
    </row>
    <row r="36" customFormat="false" ht="24" hidden="false" customHeight="true" outlineLevel="0" collapsed="false">
      <c r="C36" s="4" t="s">
        <v>8</v>
      </c>
      <c r="D36" s="5" t="s">
        <v>9</v>
      </c>
    </row>
    <row r="37" customFormat="false" ht="15" hidden="false" customHeight="false" outlineLevel="0" collapsed="false">
      <c r="C37" s="4" t="s">
        <v>136</v>
      </c>
      <c r="D37" s="5" t="s">
        <v>137</v>
      </c>
    </row>
  </sheetData>
  <mergeCells count="4">
    <mergeCell ref="A2:G2"/>
    <mergeCell ref="B8:G8"/>
    <mergeCell ref="B15:G15"/>
    <mergeCell ref="B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M36" activeCellId="0" sqref="M36"/>
    </sheetView>
  </sheetViews>
  <sheetFormatPr defaultColWidth="8.714843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5"/>
    <col collapsed="false" customWidth="true" hidden="false" outlineLevel="0" max="8" min="4" style="0" width="12"/>
  </cols>
  <sheetData>
    <row r="1" customFormat="false" ht="75.75" hidden="false" customHeight="true" outlineLevel="0" collapsed="false">
      <c r="A1" s="1"/>
      <c r="B1" s="1"/>
      <c r="C1" s="1"/>
    </row>
    <row r="2" customFormat="false" ht="26.25" hidden="false" customHeight="true" outlineLevel="0" collapsed="false">
      <c r="A2" s="11" t="s">
        <v>138</v>
      </c>
      <c r="B2" s="11"/>
      <c r="C2" s="11"/>
      <c r="D2" s="11"/>
      <c r="E2" s="11"/>
      <c r="F2" s="11"/>
    </row>
    <row r="4" customFormat="false" ht="15" hidden="false" customHeight="false" outlineLevel="0" collapsed="false">
      <c r="B4" s="28" t="s">
        <v>139</v>
      </c>
      <c r="C4" s="28"/>
      <c r="D4" s="28"/>
      <c r="E4" s="28"/>
      <c r="F4" s="28"/>
    </row>
    <row r="6" customFormat="false" ht="15" hidden="false" customHeight="false" outlineLevel="0" collapsed="false">
      <c r="B6" s="28" t="s">
        <v>32</v>
      </c>
      <c r="C6" s="28"/>
      <c r="E6" s="28" t="s">
        <v>33</v>
      </c>
      <c r="F6" s="28"/>
    </row>
    <row r="7" customFormat="false" ht="15" hidden="false" customHeight="false" outlineLevel="0" collapsed="false">
      <c r="B7" s="15" t="n">
        <v>1</v>
      </c>
      <c r="C7" s="5" t="s">
        <v>140</v>
      </c>
      <c r="E7" s="15" t="n">
        <v>1</v>
      </c>
      <c r="F7" s="5" t="s">
        <v>141</v>
      </c>
    </row>
    <row r="8" customFormat="false" ht="24" hidden="false" customHeight="true" outlineLevel="0" collapsed="false">
      <c r="B8" s="15" t="n">
        <v>2</v>
      </c>
      <c r="C8" s="5" t="s">
        <v>142</v>
      </c>
      <c r="E8" s="15" t="n">
        <v>2</v>
      </c>
      <c r="F8" s="5" t="s">
        <v>143</v>
      </c>
    </row>
    <row r="9" customFormat="false" ht="24" hidden="false" customHeight="true" outlineLevel="0" collapsed="false">
      <c r="B9" s="15" t="n">
        <v>3</v>
      </c>
      <c r="C9" s="5" t="s">
        <v>144</v>
      </c>
      <c r="E9" s="15" t="n">
        <v>3</v>
      </c>
      <c r="F9" s="5" t="s">
        <v>145</v>
      </c>
    </row>
    <row r="10" customFormat="false" ht="15" hidden="false" customHeight="false" outlineLevel="0" collapsed="false">
      <c r="B10" s="15" t="n">
        <v>4</v>
      </c>
      <c r="C10" s="5" t="s">
        <v>146</v>
      </c>
      <c r="E10" s="15" t="n">
        <v>4</v>
      </c>
      <c r="F10" s="5" t="s">
        <v>147</v>
      </c>
    </row>
    <row r="11" customFormat="false" ht="15" hidden="false" customHeight="false" outlineLevel="0" collapsed="false">
      <c r="B11" s="15" t="n">
        <v>5</v>
      </c>
      <c r="C11" s="5" t="s">
        <v>148</v>
      </c>
      <c r="E11" s="15" t="n">
        <v>5</v>
      </c>
      <c r="F11" s="5" t="s">
        <v>149</v>
      </c>
    </row>
    <row r="14" customFormat="false" ht="15.75" hidden="false" customHeight="true" outlineLevel="0" collapsed="false">
      <c r="A14" s="19" t="s">
        <v>150</v>
      </c>
    </row>
    <row r="16" customFormat="false" ht="15" hidden="false" customHeight="true" outlineLevel="0" collapsed="false">
      <c r="B16" s="12" t="s">
        <v>151</v>
      </c>
      <c r="C16" s="12"/>
      <c r="D16" s="29" t="s">
        <v>152</v>
      </c>
      <c r="E16" s="29" t="s">
        <v>153</v>
      </c>
      <c r="F16" s="29" t="s">
        <v>154</v>
      </c>
      <c r="G16" s="29" t="s">
        <v>155</v>
      </c>
      <c r="H16" s="29" t="s">
        <v>156</v>
      </c>
    </row>
    <row r="17" customFormat="false" ht="15" hidden="false" customHeight="true" outlineLevel="0" collapsed="false">
      <c r="B17" s="12" t="s">
        <v>157</v>
      </c>
      <c r="C17" s="12"/>
      <c r="D17" s="23" t="n">
        <v>5</v>
      </c>
      <c r="E17" s="22" t="n">
        <v>10</v>
      </c>
      <c r="F17" s="22" t="n">
        <v>15</v>
      </c>
      <c r="G17" s="21" t="n">
        <v>20</v>
      </c>
      <c r="H17" s="21" t="n">
        <v>25</v>
      </c>
    </row>
    <row r="18" customFormat="false" ht="15" hidden="false" customHeight="true" outlineLevel="0" collapsed="false">
      <c r="B18" s="12" t="s">
        <v>158</v>
      </c>
      <c r="C18" s="12"/>
      <c r="D18" s="24" t="n">
        <v>4</v>
      </c>
      <c r="E18" s="23" t="n">
        <v>8</v>
      </c>
      <c r="F18" s="22" t="n">
        <v>12</v>
      </c>
      <c r="G18" s="21" t="n">
        <v>16</v>
      </c>
      <c r="H18" s="21" t="n">
        <v>20</v>
      </c>
    </row>
    <row r="19" customFormat="false" ht="15" hidden="false" customHeight="true" outlineLevel="0" collapsed="false">
      <c r="B19" s="12" t="s">
        <v>159</v>
      </c>
      <c r="C19" s="12"/>
      <c r="D19" s="24" t="n">
        <v>3</v>
      </c>
      <c r="E19" s="23" t="n">
        <v>6</v>
      </c>
      <c r="F19" s="23" t="n">
        <v>9</v>
      </c>
      <c r="G19" s="22" t="n">
        <v>12</v>
      </c>
      <c r="H19" s="22" t="n">
        <v>15</v>
      </c>
    </row>
    <row r="20" customFormat="false" ht="15" hidden="false" customHeight="true" outlineLevel="0" collapsed="false">
      <c r="B20" s="12" t="s">
        <v>160</v>
      </c>
      <c r="C20" s="12"/>
      <c r="D20" s="24" t="n">
        <v>2</v>
      </c>
      <c r="E20" s="24" t="n">
        <v>4</v>
      </c>
      <c r="F20" s="23" t="n">
        <v>6</v>
      </c>
      <c r="G20" s="23" t="n">
        <v>8</v>
      </c>
      <c r="H20" s="22" t="n">
        <v>10</v>
      </c>
    </row>
    <row r="21" customFormat="false" ht="15" hidden="false" customHeight="true" outlineLevel="0" collapsed="false">
      <c r="B21" s="12" t="s">
        <v>161</v>
      </c>
      <c r="C21" s="12"/>
      <c r="D21" s="24" t="n">
        <v>1</v>
      </c>
      <c r="E21" s="24" t="n">
        <v>2</v>
      </c>
      <c r="F21" s="24" t="n">
        <v>3</v>
      </c>
      <c r="G21" s="24" t="n">
        <v>4</v>
      </c>
      <c r="H21" s="23" t="n">
        <v>5</v>
      </c>
    </row>
    <row r="23" customFormat="false" ht="15" hidden="false" customHeight="false" outlineLevel="0" collapsed="false">
      <c r="B23" s="28" t="s">
        <v>162</v>
      </c>
      <c r="C23" s="28"/>
      <c r="D23" s="28"/>
      <c r="E23" s="28"/>
      <c r="F23" s="28"/>
    </row>
    <row r="24" customFormat="false" ht="15" hidden="false" customHeight="false" outlineLevel="0" collapsed="false">
      <c r="B24" s="28" t="s">
        <v>163</v>
      </c>
      <c r="C24" s="28"/>
      <c r="D24" s="28"/>
      <c r="E24" s="28"/>
      <c r="F24" s="28"/>
    </row>
    <row r="26" customFormat="false" ht="15.75" hidden="false" customHeight="true" outlineLevel="0" collapsed="false">
      <c r="A26" s="10" t="s">
        <v>164</v>
      </c>
      <c r="B26" s="10"/>
      <c r="C26" s="10"/>
      <c r="D26" s="10"/>
      <c r="E26" s="10"/>
      <c r="F26" s="10"/>
    </row>
    <row r="27" customFormat="false" ht="15" hidden="false" customHeight="true" outlineLevel="0" collapsed="false">
      <c r="B27" s="13" t="s">
        <v>165</v>
      </c>
      <c r="C27" s="24" t="s">
        <v>120</v>
      </c>
      <c r="D27" s="5" t="s">
        <v>166</v>
      </c>
      <c r="E27" s="5"/>
      <c r="F27" s="5"/>
    </row>
    <row r="28" customFormat="false" ht="15" hidden="false" customHeight="true" outlineLevel="0" collapsed="false">
      <c r="B28" s="13" t="s">
        <v>167</v>
      </c>
      <c r="C28" s="23" t="s">
        <v>119</v>
      </c>
      <c r="D28" s="5" t="s">
        <v>168</v>
      </c>
      <c r="E28" s="5"/>
      <c r="F28" s="5"/>
    </row>
    <row r="29" customFormat="false" ht="21.75" hidden="false" customHeight="true" outlineLevel="0" collapsed="false">
      <c r="B29" s="13" t="s">
        <v>169</v>
      </c>
      <c r="C29" s="22" t="s">
        <v>118</v>
      </c>
      <c r="D29" s="5" t="s">
        <v>170</v>
      </c>
      <c r="E29" s="5"/>
      <c r="F29" s="5"/>
    </row>
    <row r="30" customFormat="false" ht="32.25" hidden="false" customHeight="true" outlineLevel="0" collapsed="false">
      <c r="B30" s="13" t="s">
        <v>171</v>
      </c>
      <c r="C30" s="21" t="s">
        <v>117</v>
      </c>
      <c r="D30" s="5" t="s">
        <v>172</v>
      </c>
      <c r="E30" s="5"/>
      <c r="F30" s="5"/>
    </row>
    <row r="32" customFormat="false" ht="15.75" hidden="false" customHeight="true" outlineLevel="0" collapsed="false">
      <c r="A32" s="19" t="s">
        <v>173</v>
      </c>
    </row>
    <row r="33" customFormat="false" ht="15" hidden="false" customHeight="true" outlineLevel="0" collapsed="false">
      <c r="B33" s="12" t="s">
        <v>174</v>
      </c>
      <c r="C33" s="12" t="s">
        <v>175</v>
      </c>
      <c r="D33" s="12" t="s">
        <v>176</v>
      </c>
      <c r="E33" s="12"/>
      <c r="F33" s="12"/>
    </row>
    <row r="34" customFormat="false" ht="21.75" hidden="false" customHeight="true" outlineLevel="0" collapsed="false">
      <c r="B34" s="15" t="s">
        <v>177</v>
      </c>
      <c r="C34" s="14" t="s">
        <v>178</v>
      </c>
      <c r="D34" s="5" t="s">
        <v>179</v>
      </c>
      <c r="E34" s="5"/>
      <c r="F34" s="5"/>
    </row>
    <row r="35" customFormat="false" ht="21.75" hidden="false" customHeight="true" outlineLevel="0" collapsed="false">
      <c r="B35" s="15" t="s">
        <v>180</v>
      </c>
      <c r="C35" s="14" t="s">
        <v>181</v>
      </c>
      <c r="D35" s="5" t="s">
        <v>182</v>
      </c>
      <c r="E35" s="5"/>
      <c r="F35" s="5"/>
    </row>
    <row r="36" customFormat="false" ht="21.75" hidden="false" customHeight="true" outlineLevel="0" collapsed="false">
      <c r="B36" s="15" t="s">
        <v>183</v>
      </c>
      <c r="C36" s="14" t="s">
        <v>184</v>
      </c>
      <c r="D36" s="5" t="s">
        <v>185</v>
      </c>
      <c r="E36" s="5"/>
      <c r="F36" s="5"/>
    </row>
    <row r="37" customFormat="false" ht="21.75" hidden="false" customHeight="true" outlineLevel="0" collapsed="false">
      <c r="B37" s="15" t="s">
        <v>186</v>
      </c>
      <c r="C37" s="14" t="s">
        <v>187</v>
      </c>
      <c r="D37" s="5" t="s">
        <v>188</v>
      </c>
      <c r="E37" s="5"/>
      <c r="F37" s="5"/>
    </row>
    <row r="38" customFormat="false" ht="21.75" hidden="false" customHeight="true" outlineLevel="0" collapsed="false">
      <c r="B38" s="15" t="s">
        <v>189</v>
      </c>
      <c r="C38" s="14" t="s">
        <v>190</v>
      </c>
      <c r="D38" s="5" t="s">
        <v>191</v>
      </c>
      <c r="E38" s="5"/>
      <c r="F38" s="5"/>
    </row>
  </sheetData>
  <mergeCells count="24">
    <mergeCell ref="A1:C1"/>
    <mergeCell ref="A2:F2"/>
    <mergeCell ref="B4:F4"/>
    <mergeCell ref="B6:C6"/>
    <mergeCell ref="E6:F6"/>
    <mergeCell ref="B16:C16"/>
    <mergeCell ref="B17:C17"/>
    <mergeCell ref="B18:C18"/>
    <mergeCell ref="B19:C19"/>
    <mergeCell ref="B20:C20"/>
    <mergeCell ref="B21:C21"/>
    <mergeCell ref="B23:F23"/>
    <mergeCell ref="B24:F24"/>
    <mergeCell ref="A26:F26"/>
    <mergeCell ref="D27:F27"/>
    <mergeCell ref="D28:F28"/>
    <mergeCell ref="D29:F29"/>
    <mergeCell ref="D30:F30"/>
    <mergeCell ref="D33:F33"/>
    <mergeCell ref="D34:F34"/>
    <mergeCell ref="D35:F35"/>
    <mergeCell ref="D36:F36"/>
    <mergeCell ref="D37:F37"/>
    <mergeCell ref="D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2026-03-31T08:56:27Z</dcterms:created>
  <dc:creator>openpyxl</dc:creator>
  <dc:description/>
  <dc:language>en-US</dc:language>
  <cp:lastModifiedBy>Darren Watts</cp:lastModifiedBy>
  <dcterms:modified xsi:type="dcterms:W3CDTF">2026-04-01T10:18:02Z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