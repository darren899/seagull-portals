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4 - Registers and Trackers/"/>
    </mc:Choice>
  </mc:AlternateContent>
  <xr:revisionPtr revIDLastSave="2" documentId="11_A93C11805D47902A1B4E8C882BE8AD66641CB749" xr6:coauthVersionLast="47" xr6:coauthVersionMax="47" xr10:uidLastSave="{A614B3E3-F0DF-4767-AAAE-9E6CF92F5050}"/>
  <bookViews>
    <workbookView xWindow="-120" yWindow="-120" windowWidth="77040" windowHeight="21120" tabRatio="500" xr2:uid="{00000000-000D-0000-FFFF-FFFF00000000}"/>
  </bookViews>
  <sheets>
    <sheet name="Register Information" sheetId="1" r:id="rId1"/>
    <sheet name="International" sheetId="2" r:id="rId2"/>
    <sheet name="United Kingdom" sheetId="3" r:id="rId3"/>
    <sheet name="Greece" sheetId="4" r:id="rId4"/>
    <sheet name="Nigeria" sheetId="5" r:id="rId5"/>
    <sheet name="UAE" sheetId="6" r:id="rId6"/>
    <sheet name="Dashboard" sheetId="7" r:id="rId7"/>
    <sheet name="Methodology" sheetId="8" r:id="rId8"/>
    <sheet name="Instructions"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3" i="7" l="1"/>
  <c r="B22" i="7"/>
  <c r="B21" i="7"/>
  <c r="B20" i="7"/>
  <c r="B19" i="7"/>
  <c r="B18" i="7"/>
  <c r="B17" i="7"/>
  <c r="E11" i="7"/>
  <c r="D11" i="7"/>
  <c r="C11" i="7"/>
  <c r="B11" i="7"/>
  <c r="E10" i="7"/>
  <c r="D10" i="7"/>
  <c r="C10" i="7"/>
  <c r="B10" i="7"/>
  <c r="E9" i="7"/>
  <c r="D9" i="7"/>
  <c r="C9" i="7"/>
  <c r="B9" i="7"/>
  <c r="E8" i="7"/>
  <c r="D8" i="7"/>
  <c r="C8" i="7"/>
  <c r="B8" i="7"/>
  <c r="E7" i="7"/>
  <c r="E12" i="7" s="1"/>
  <c r="D7" i="7"/>
  <c r="D12" i="7" s="1"/>
  <c r="C7" i="7"/>
  <c r="C12" i="7" s="1"/>
  <c r="B7" i="7"/>
  <c r="B12" i="7" s="1"/>
</calcChain>
</file>

<file path=xl/sharedStrings.xml><?xml version="1.0" encoding="utf-8"?>
<sst xmlns="http://schemas.openxmlformats.org/spreadsheetml/2006/main" count="621" uniqueCount="324">
  <si>
    <t>LEGAL AND REGULATORY REQUIREMENTS REGISTER</t>
  </si>
  <si>
    <t>REGISTER INFORMATION</t>
  </si>
  <si>
    <t>Document Reference:</t>
  </si>
  <si>
    <t>SM/HSE/REG/002</t>
  </si>
  <si>
    <t>Document Title:</t>
  </si>
  <si>
    <t>Legal and Regulatory Requirements Register</t>
  </si>
  <si>
    <t>System:</t>
  </si>
  <si>
    <t>Health, Safety &amp; Environment (ISO 45001) — cross-referenced to ISO 18788 / ISO 28007</t>
  </si>
  <si>
    <t>Version:</t>
  </si>
  <si>
    <t>1.0</t>
  </si>
  <si>
    <t>Status:</t>
  </si>
  <si>
    <t>Approved</t>
  </si>
  <si>
    <t>Created by:</t>
  </si>
  <si>
    <t>Group Compliance Director</t>
  </si>
  <si>
    <t>Approved by:</t>
  </si>
  <si>
    <t>Pavel Shparber, CEO</t>
  </si>
  <si>
    <t>Effective Date:</t>
  </si>
  <si>
    <t>1 April 2026</t>
  </si>
  <si>
    <t>Review Date:</t>
  </si>
  <si>
    <t>1 October 2026</t>
  </si>
  <si>
    <t>Review Frequency:</t>
  </si>
  <si>
    <t>Annual per jurisdiction, and upon change in law, operations, or audit finding</t>
  </si>
  <si>
    <t>PURPOSE</t>
  </si>
  <si>
    <t>This register identifies all legal and regulatory requirements applicable to Seagull Maritime across each jurisdiction in which it operates. It satisfies ISO 45001 Clause 6.1.3 (Determination of legal requirements and other requirements) and provides cross-references to ISO 18788 and ISO 28007 where applicable. It is the auditable evidence that Seagull Maritime has identified, evaluated, and maintains awareness of its legal obligations.</t>
  </si>
  <si>
    <t>SCOPE</t>
  </si>
  <si>
    <t>All jurisdictions in which Seagull Maritime entities operate or hold offices: International (IMO/ILO/ISO), United Kingdom, Greece, Nigeria, United Arab Emirates. Additional jurisdiction tabs will be added as operations expand.</t>
  </si>
  <si>
    <t>RELATED DOCUMENTS</t>
  </si>
  <si>
    <t>SM/HSE/PRO/002 — Legal and Regulatory Compliance Procedure</t>
  </si>
  <si>
    <t>SM/INT/PRO/004 — External References and Standards Procedure</t>
  </si>
  <si>
    <t>SM/SEC/REG/001 — Flag State Requirements Register</t>
  </si>
  <si>
    <t>SM/INT/REG/007 — External Standards and References Register</t>
  </si>
  <si>
    <t>SM/INT/PRO/001 — NCR/OFI/CAPA Management Procedure</t>
  </si>
  <si>
    <t>LEGAL AND REGULATORY REQUIREMENTS — INTERNATIONAL</t>
  </si>
  <si>
    <t>Ref</t>
  </si>
  <si>
    <t>Category</t>
  </si>
  <si>
    <t>Legal / Standard Source</t>
  </si>
  <si>
    <t>Date of Issue</t>
  </si>
  <si>
    <t>Last Amendment</t>
  </si>
  <si>
    <t>Impact Assessment</t>
  </si>
  <si>
    <t>Key Requirement Summary</t>
  </si>
  <si>
    <t>ISO 45001 Clauses</t>
  </si>
  <si>
    <t>ISO 18788 Clauses</t>
  </si>
  <si>
    <t>ISO 28007 Clauses</t>
  </si>
  <si>
    <t>Applicability</t>
  </si>
  <si>
    <t>Responsible Role</t>
  </si>
  <si>
    <t>Compliance Status</t>
  </si>
  <si>
    <t>Evidence / Records</t>
  </si>
  <si>
    <t>Review Frequency</t>
  </si>
  <si>
    <t>Last Review Date</t>
  </si>
  <si>
    <t>Next Review Date</t>
  </si>
  <si>
    <t>Comments / Actions</t>
  </si>
  <si>
    <t>INT-01</t>
  </si>
  <si>
    <t>Maritime</t>
  </si>
  <si>
    <t>Maritime Labour Convention (MLC), 2006</t>
  </si>
  <si>
    <t>2006-02-23</t>
  </si>
  <si>
    <t>Not Assessed</t>
  </si>
  <si>
    <t>Ensure seafarer welfare: medical fitness, minimum rest, decent conditions, complaint mechanisms; verify through MLC documentation where applicable.</t>
  </si>
  <si>
    <t>7.1, 8.1, 8.2, 9.1.2</t>
  </si>
  <si>
    <t>4.3, 6.1.3, 6.1.4, 9.1.3</t>
  </si>
  <si>
    <t>6.4, 6.5, 8.4, 9.1</t>
  </si>
  <si>
    <t>Armed / Unarmed (maritime-linked roles)</t>
  </si>
  <si>
    <t>QHSE Manager</t>
  </si>
  <si>
    <t>Medical fitness certificates; rest-hour logs; welfare checks; DMLC references (if shipowner); deployment files</t>
  </si>
  <si>
    <t>Annual</t>
  </si>
  <si>
    <t>INT-02</t>
  </si>
  <si>
    <t>SOLAS Convention (as applicable)</t>
  </si>
  <si>
    <t>1974-11-01</t>
  </si>
  <si>
    <t>Maintain emergency preparedness interface: emergency roles, drills coordination, muster familiarity for deployed personnel; align shipboard emergency integration.</t>
  </si>
  <si>
    <t>8.2</t>
  </si>
  <si>
    <t>8.1</t>
  </si>
  <si>
    <t>Armed / Unarmed (embarked / interface)</t>
  </si>
  <si>
    <t>Operations Manager</t>
  </si>
  <si>
    <t>ERP; drill participation records; emergency contact trees; briefing records</t>
  </si>
  <si>
    <t>Event-driven</t>
  </si>
  <si>
    <t>INT-03</t>
  </si>
  <si>
    <t>ISM Code (Safety Management)</t>
  </si>
  <si>
    <t>1993-11-04</t>
  </si>
  <si>
    <t>Integrate with vessel SMS interface: change control, incident reporting, competence, and operational controls impacting safety.</t>
  </si>
  <si>
    <t>Interface procedures with Master; ship briefing records; incident reporting SOPs</t>
  </si>
  <si>
    <t>INT-04</t>
  </si>
  <si>
    <t>OH&amp;S</t>
  </si>
  <si>
    <t>ISO 45001:2018</t>
  </si>
  <si>
    <t>2018-03-12</t>
  </si>
  <si>
    <t>Maintain OH&amp;S MS: hazards, legal register, objectives, training, consultation, incident investigation, compliance evaluation.</t>
  </si>
  <si>
    <t>All</t>
  </si>
  <si>
    <t>IMS Manager</t>
  </si>
  <si>
    <t>IMS manual; risk assessments; objectives &amp; KPI; audit &amp; management review minutes</t>
  </si>
  <si>
    <t>INT-05</t>
  </si>
  <si>
    <t>OH&amp;S / Security</t>
  </si>
  <si>
    <t>ISO 18788:2015</t>
  </si>
  <si>
    <t>2015-11-01</t>
  </si>
  <si>
    <t>Implement private security operations MS: duty of care, human rights due diligence, use-of-force governance, operational planning, incident mgmt, grievance mechanisms.</t>
  </si>
  <si>
    <t>Unarmed / Armed</t>
  </si>
  <si>
    <t>Security Director</t>
  </si>
  <si>
    <t>HRDD records; RUF/RoE; vetting; training matrix; grievance/complaints log; post-incident care records</t>
  </si>
  <si>
    <t>Quarterly</t>
  </si>
  <si>
    <t>INT-06</t>
  </si>
  <si>
    <t>Firearms / Security</t>
  </si>
  <si>
    <t>ISO 28007-1:2015</t>
  </si>
  <si>
    <t>2015-12-01</t>
  </si>
  <si>
    <t>For armed PMSO on board: firearms lifecycle controls, armoury procedures, competence/medical fitness, ship interface, incident &amp; use-of-force reporting.</t>
  </si>
  <si>
    <t>Armed only</t>
  </si>
  <si>
    <t>Security Director / Armoury Officer</t>
  </si>
  <si>
    <t>Armoury SOP; weapon issue/return logs; inventory; ND controls; live-fire quals; post-use reporting</t>
  </si>
  <si>
    <t>LEGAL AND REGULATORY REQUIREMENTS — UNITED KINGDOM</t>
  </si>
  <si>
    <t>UK-01</t>
  </si>
  <si>
    <t>Health and Safety at Work etc. Act 1974</t>
  </si>
  <si>
    <t>1974</t>
  </si>
  <si>
    <t>Provide safe working, safe systems, information/training/supervision.</t>
  </si>
  <si>
    <t>6.3</t>
  </si>
  <si>
    <t>Office / Unarmed</t>
  </si>
  <si>
    <t>UK Country Manager</t>
  </si>
  <si>
    <t>Risk assessments; policies</t>
  </si>
  <si>
    <t>UK-02</t>
  </si>
  <si>
    <t>Management of Health and Safety at Work Regulations 1999</t>
  </si>
  <si>
    <t>1999-12-29</t>
  </si>
  <si>
    <t>Conduct suitable and sufficient risk assessments; arrange competent assistance.</t>
  </si>
  <si>
    <t>UK HSE Focal Point</t>
  </si>
  <si>
    <t>RA register; competent person records</t>
  </si>
  <si>
    <t>UK-03</t>
  </si>
  <si>
    <t>Working Time Regulations 1998</t>
  </si>
  <si>
    <t>Manage working hours/rest and fatigue; record where required.</t>
  </si>
  <si>
    <t>HR Manager</t>
  </si>
  <si>
    <t>Time/attendance records</t>
  </si>
  <si>
    <t>UK-04</t>
  </si>
  <si>
    <t>Fire</t>
  </si>
  <si>
    <t>Regulatory Reform (Fire Safety) Order 2005</t>
  </si>
  <si>
    <t>2005-06-15</t>
  </si>
  <si>
    <t>Maintain fire risk assessment (FRA). Fire precautions, evacuation plan, fire drills.</t>
  </si>
  <si>
    <t>Office</t>
  </si>
  <si>
    <t>Facilities Manager</t>
  </si>
  <si>
    <t>FRA; fire drill records</t>
  </si>
  <si>
    <t>UK-05</t>
  </si>
  <si>
    <t>Workplace (Health, Safety and Welfare) Regulations 1992</t>
  </si>
  <si>
    <t>Provide suitable workspace conditions: ventilation, lighting, welfare, safety.</t>
  </si>
  <si>
    <t>7.1</t>
  </si>
  <si>
    <t>HSE assessment</t>
  </si>
  <si>
    <t>UK-06</t>
  </si>
  <si>
    <t>Display Screen Equipment Regulations 1992</t>
  </si>
  <si>
    <t>Provide suitable DSE workstations, provide training, manage musculoskeletal risks.</t>
  </si>
  <si>
    <t>DSE assessments</t>
  </si>
  <si>
    <t>UK-07</t>
  </si>
  <si>
    <t>Manual Handling Operations Regulations 1992</t>
  </si>
  <si>
    <t>Avoid hazardous manual handling; assess unavoidable risks; reduce risk.</t>
  </si>
  <si>
    <t>Office / Logistics</t>
  </si>
  <si>
    <t>Manual handling assessments</t>
  </si>
  <si>
    <t>UK-08</t>
  </si>
  <si>
    <t>Control of Substances Hazardous to Health Regulations 2002 (COSHH)</t>
  </si>
  <si>
    <t>Assess and control exposure to hazardous substances (cleaning, maritime ops).</t>
  </si>
  <si>
    <t>COSHH assessments</t>
  </si>
  <si>
    <t>UK-09</t>
  </si>
  <si>
    <t>Reporting of Injuries, Diseases and Dangerous Occurrences Regulations 2013 (RIDDOR)</t>
  </si>
  <si>
    <t>Report applicable injuries/diseases/dangerous occurrences to HSE; maintain records.</t>
  </si>
  <si>
    <t>UK HSE Manager</t>
  </si>
  <si>
    <t>Incident reports</t>
  </si>
  <si>
    <t>UK-10</t>
  </si>
  <si>
    <t>Firearms</t>
  </si>
  <si>
    <t>Firearms Act 1968</t>
  </si>
  <si>
    <t>1968-07-25</t>
  </si>
  <si>
    <t>If any firearms/ammunition are handled in UK jurisdiction, require appropriate licensing.</t>
  </si>
  <si>
    <t>Licences (if any); compliance records</t>
  </si>
  <si>
    <t>UK-11</t>
  </si>
  <si>
    <t>Merchant Shipping Act 1995</t>
  </si>
  <si>
    <t>When acting as shipowner/operator in UK scope; apply relevant sections.</t>
  </si>
  <si>
    <t>Maritime-linked</t>
  </si>
  <si>
    <t>Employment contracts; deployment records</t>
  </si>
  <si>
    <t>UK-12</t>
  </si>
  <si>
    <t>Health and Safety (Offences) Act 2008</t>
  </si>
  <si>
    <t>Provide adequate and appropriate first aid equipment, facilities and training.</t>
  </si>
  <si>
    <t>5.4</t>
  </si>
  <si>
    <t>Training Manager</t>
  </si>
  <si>
    <t>First aid needs assessment; certificates</t>
  </si>
  <si>
    <t>UK-13</t>
  </si>
  <si>
    <t>Merchant Shipping (Maritime Labour Convention) Regulations</t>
  </si>
  <si>
    <t>Ensure compliance requirements are met where ratio requires maritime certification.</t>
  </si>
  <si>
    <t>7.2</t>
  </si>
  <si>
    <t>Certificates; training records</t>
  </si>
  <si>
    <t>LEGAL AND REGULATORY REQUIREMENTS — GREECE</t>
  </si>
  <si>
    <t>GR-01</t>
  </si>
  <si>
    <t>Law 3850/2010 (Code on Health and Safety at Work)</t>
  </si>
  <si>
    <t>2010-06-02</t>
  </si>
  <si>
    <t>Implement OSH obligations: risk assessments, prevention measures, training, safety technician/occupational physician services where required.</t>
  </si>
  <si>
    <t>Greece Country Manager</t>
  </si>
  <si>
    <t>Risk assessments; training records; safety technician/occupational physician engagement; inspections</t>
  </si>
  <si>
    <t>GR-04</t>
  </si>
  <si>
    <t>Fire safety regulations (Greece)</t>
  </si>
  <si>
    <t>Maintain fire precautions: detection/extinguishing systems, evacuation plan, fire drills, maintenance.</t>
  </si>
  <si>
    <t>Fire risk assessments; training records</t>
  </si>
  <si>
    <t>GR-05</t>
  </si>
  <si>
    <t>Labour</t>
  </si>
  <si>
    <t>Greek labour &amp; employment legislation</t>
  </si>
  <si>
    <t>Manage working time/rest and fatigue; ensure duty of care for fixed-term personnel.</t>
  </si>
  <si>
    <t>5.5</t>
  </si>
  <si>
    <t>Employment contracts; training records</t>
  </si>
  <si>
    <t>GR-06</t>
  </si>
  <si>
    <t>Law 2168/1993 (Firearms Act - Greece)</t>
  </si>
  <si>
    <t>1993</t>
  </si>
  <si>
    <t>Provide unarmed/armed assessments; if applicable, ensure lawful permits for firearms.</t>
  </si>
  <si>
    <t>Armed logistics</t>
  </si>
  <si>
    <t>Permits (if any); licences</t>
  </si>
  <si>
    <t>GR-07</t>
  </si>
  <si>
    <t>Hellenic Coast Guard requirements</t>
  </si>
  <si>
    <t>Ensure maritime interface compliance for Greek-flag engagements as applicable.</t>
  </si>
  <si>
    <t>Deployment records</t>
  </si>
  <si>
    <t>GR-08</t>
  </si>
  <si>
    <t>Safety technician/physician requirements</t>
  </si>
  <si>
    <t>Recruit/engage safety technician and occupational physician as required.</t>
  </si>
  <si>
    <t>Appointment letters</t>
  </si>
  <si>
    <t>LEGAL AND REGULATORY REQUIREMENTS — NIGERIA</t>
  </si>
  <si>
    <t>NG-01</t>
  </si>
  <si>
    <t>Factories Act (Cap. F1, LFN 2004)</t>
  </si>
  <si>
    <t>2004</t>
  </si>
  <si>
    <t>Provide safe workplace conditions. Implement safety measures, welfare provisions.</t>
  </si>
  <si>
    <t>6.1</t>
  </si>
  <si>
    <t>Nigeria Country Manager</t>
  </si>
  <si>
    <t>Workplace inspections</t>
  </si>
  <si>
    <t>NG-02</t>
  </si>
  <si>
    <t>Employees Compensation Act 2010</t>
  </si>
  <si>
    <t>2010-12-17</t>
  </si>
  <si>
    <t>Maintain compensation coverage and processes for occupational injuries.</t>
  </si>
  <si>
    <t>6.4</t>
  </si>
  <si>
    <t>All staff</t>
  </si>
  <si>
    <t>Insurance / NSITF registration</t>
  </si>
  <si>
    <t>NG-03</t>
  </si>
  <si>
    <t>Labour Act (Cap. L1, LFN 2004)</t>
  </si>
  <si>
    <t>Meet worker welfare and conditions requirements; manage working time.</t>
  </si>
  <si>
    <t>8.5</t>
  </si>
  <si>
    <t>NRMA/employment records</t>
  </si>
  <si>
    <t>NG-04</t>
  </si>
  <si>
    <t>NIMASA Act / Merchant Shipping Act</t>
  </si>
  <si>
    <t>Ensure applicable maritime interface compliance in Nigeria for operations.</t>
  </si>
  <si>
    <t>Operational records</t>
  </si>
  <si>
    <t>NG-05</t>
  </si>
  <si>
    <t>Firearms Act (Cap. F28, LFN 2004)</t>
  </si>
  <si>
    <t>No possession/control of firearms or ammunition without appropriate licensing.</t>
  </si>
  <si>
    <t>Armed only / logistics</t>
  </si>
  <si>
    <t>Licences/permits</t>
  </si>
  <si>
    <t>NG-06</t>
  </si>
  <si>
    <t>Federal Fire Service Act</t>
  </si>
  <si>
    <t>Maintain fire precautions, detection, alarms, evacuation plan, drills.</t>
  </si>
  <si>
    <t>Fire drill records</t>
  </si>
  <si>
    <t>NG-07</t>
  </si>
  <si>
    <t>NIMASA maritime security regulations</t>
  </si>
  <si>
    <t>For seafarer/maritime welfare interface; ensure duty of care, welfare.</t>
  </si>
  <si>
    <t>6.5</t>
  </si>
  <si>
    <t>Welfare checks; certificates</t>
  </si>
  <si>
    <t>LEGAL AND REGULATORY REQUIREMENTS — UAE</t>
  </si>
  <si>
    <t>UAE-01</t>
  </si>
  <si>
    <t>UAE Labour Law (Federal Decree-Law No. 33 of 2021)</t>
  </si>
  <si>
    <t>2022-02-02</t>
  </si>
  <si>
    <t>Comply with employment conditions, working hours, leave, end of service, worker welfare, occupational safety.</t>
  </si>
  <si>
    <t>6.1, 7.1, 8.1</t>
  </si>
  <si>
    <t>6.1.3, 6.1.4</t>
  </si>
  <si>
    <t>All staff (FZCO)</t>
  </si>
  <si>
    <t>UAE Country Manager / HR</t>
  </si>
  <si>
    <t>Employment contracts; MOHRE registration; WPS compliance; leave records</t>
  </si>
  <si>
    <t>UAE-02</t>
  </si>
  <si>
    <t>Ministerial Resolution No. 44 of 2022 (Occupational Safety)</t>
  </si>
  <si>
    <t>2022</t>
  </si>
  <si>
    <t>Implement occupational health and safety requirements: risk assessments, PPE, training, incident reporting, workplace conditions.</t>
  </si>
  <si>
    <t>6.1, 6.1.2, 8.1, 10.2</t>
  </si>
  <si>
    <t>Risk assessments; training records; incident reports; workplace inspections</t>
  </si>
  <si>
    <t>UAE-03</t>
  </si>
  <si>
    <t>UAE Fire and Life Safety Code of Practice (Civil Defence)</t>
  </si>
  <si>
    <t>Comply with fire safety requirements: fire risk assessment, fire alarm, suppression, evacuation plans, fire drills, Civil Defence approvals.</t>
  </si>
  <si>
    <t>Civil Defence certificate; fire drill records; FRA</t>
  </si>
  <si>
    <t>UAE-04</t>
  </si>
  <si>
    <t>DIFC Employment Law (DIFC Law No. 2 of 2019) / FZCO Regulations</t>
  </si>
  <si>
    <t>2019</t>
  </si>
  <si>
    <t>Where applicable to free zone operations: employment terms, dispute resolution, worker protections.</t>
  </si>
  <si>
    <t>Office (FZCO)</t>
  </si>
  <si>
    <t>FZCO registration; employment contracts</t>
  </si>
  <si>
    <t>UAE-05</t>
  </si>
  <si>
    <t>Ministerial Resolution No. 32 of 2022 (Heat Stress)</t>
  </si>
  <si>
    <t>Implement midday work ban (Jun-Sep 12:30-15:00); heat stress management for outdoor workers.</t>
  </si>
  <si>
    <t>All operational staff</t>
  </si>
  <si>
    <t>Operations Manager / QHSE</t>
  </si>
  <si>
    <t>Heat stress policy; rest break records; training</t>
  </si>
  <si>
    <t>LEGAL REGISTER — DASHBOARD</t>
  </si>
  <si>
    <t>SUMMARY BY JURISDICTION</t>
  </si>
  <si>
    <t>Jurisdiction</t>
  </si>
  <si>
    <t>Total Requirements</t>
  </si>
  <si>
    <t>Compliant</t>
  </si>
  <si>
    <t>Non-Compliant</t>
  </si>
  <si>
    <t>International</t>
  </si>
  <si>
    <t>United Kingdom</t>
  </si>
  <si>
    <t>Greece</t>
  </si>
  <si>
    <t>Nigeria</t>
  </si>
  <si>
    <t>UAE</t>
  </si>
  <si>
    <t>TOTAL</t>
  </si>
  <si>
    <t>REQUIREMENTS BY CATEGORY</t>
  </si>
  <si>
    <t>Count</t>
  </si>
  <si>
    <t>REGISTER METHODOLOGY AND DEFINITIONS</t>
  </si>
  <si>
    <t>COLUMN DEFINITIONS</t>
  </si>
  <si>
    <t>Unique reference for each legal requirement. Format: [Jurisdiction code]-[Sequence]. E.g. UK-01, NG-03, INT-04.</t>
  </si>
  <si>
    <t>Classification of the requirement: OH&amp;S, Maritime, Labour, Firearms, Fire, Civil Defence.</t>
  </si>
  <si>
    <t>The specific legislation, regulation, code, or standard.</t>
  </si>
  <si>
    <t>Date the legislation was originally enacted or published.</t>
  </si>
  <si>
    <t>Date of most recent amendment or update to the legislation.</t>
  </si>
  <si>
    <t>Whether a change impact assessment is required following an amendment. Values: Required / Not Required / Not Assessed.</t>
  </si>
  <si>
    <t>Plain-language summary of what the legislation requires Seagull Maritime to do.</t>
  </si>
  <si>
    <t>ISO 45001 / 18788 / 28007 Clauses</t>
  </si>
  <si>
    <t>Cross-reference to the management system clause(s) this requirement maps to.</t>
  </si>
  <si>
    <t>Which personnel, roles, or operations this requirement applies to.</t>
  </si>
  <si>
    <t>The role responsible for ensuring compliance with this requirement.</t>
  </si>
  <si>
    <t>Current compliance status. Values: Compliant (green) / Not Assessed (amber) / Non-Compliant (red).</t>
  </si>
  <si>
    <t>The objective evidence that demonstrates compliance.</t>
  </si>
  <si>
    <t>How often this requirement is reviewed: Annual / Quarterly / Event-driven.</t>
  </si>
  <si>
    <t>Last Review / Next Review</t>
  </si>
  <si>
    <t>Dates of last and next scheduled compliance review.</t>
  </si>
  <si>
    <t>Any corrective actions, notes, or follow-up items.</t>
  </si>
  <si>
    <t>ISO 45001 CLAUSE 6.1.3 COMPLIANCE</t>
  </si>
  <si>
    <t>This register satisfies ISO 45001 Clause 6.1.3 which requires the organisation to determine and have access to the legal requirements and other requirements applicable to its OH&amp;S hazards, OH&amp;S risks, and OH&amp;S management system; determine how these requirements apply; and take these requirements into account when establishing, implementing, maintaining, and continually improving the OH&amp;S management system.</t>
  </si>
  <si>
    <t>INSTRUCTIONS FOR USE</t>
  </si>
  <si>
    <t>1. This register is the single source of truth for all legal and regulatory requirements applicable to Seagull Maritime.</t>
  </si>
  <si>
    <t>2. Each jurisdiction has its own tab. Requirements are grouped by the country/region where they apply.</t>
  </si>
  <si>
    <t>3. International requirements (IMO conventions, ISO standards) apply across all entities and are recorded on the International tab.</t>
  </si>
  <si>
    <t>4. The Compliance Status column must be assessed and updated for each requirement. 'Not Assessed' entries require attention.</t>
  </si>
  <si>
    <t>5. When legislation is amended, update the Last Amendment column and set Impact Assessment to 'Required'.</t>
  </si>
  <si>
    <t>6. When a compliance assessment is completed, update the Compliance Status, Last Review Date, and Next Review Date.</t>
  </si>
  <si>
    <t>7. Non-compliant items must be raised as NCRs via SM/INT/PRO/001 and tracked in SM/INT/REG/004.</t>
  </si>
  <si>
    <t>8. New legislation should be added by the Group Compliance Director. Check the External References and Standards Procedure for the identification process.</t>
  </si>
  <si>
    <t>9. ISO clause cross-references allow auditors to trace from a management system clause to the legal requirement it addresses.</t>
  </si>
  <si>
    <t>10. This register is reviewed annually per jurisdiction, and immediately upon change in law, change in operations, or audit finding.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</si>
</sst>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20"/>
      <color rgb="FF003C72"/>
      <name val="Avenir Next LT Pro"/>
      <charset val="1"/>
    </font>
    <font>
      <b/>
      <sz val="12"/>
      <color rgb="FF003C72"/>
      <name val="Avenir Next LT Pro"/>
      <charset val="1"/>
    </font>
    <font>
      <b/>
      <sz val="9"/>
      <color rgb="FFFFFFFF"/>
      <name val="Aptos"/>
      <charset val="1"/>
    </font>
    <font>
      <sz val="9"/>
      <name val="Aptos"/>
      <charset val="1"/>
    </font>
    <font>
      <b/>
      <sz val="9"/>
      <color rgb="FF003C72"/>
      <name val="Aptos"/>
      <charset val="1"/>
    </font>
    <font>
      <b/>
      <sz val="9"/>
      <color rgb="FF9C6500"/>
      <name val="Aptos"/>
      <charset val="1"/>
    </font>
    <font>
      <b/>
      <sz val="9"/>
      <name val="Aptos"/>
      <charset val="1"/>
    </font>
  </fonts>
  <fills count="6">
    <fill>
      <patternFill patternType="none"/>
    </fill>
    <fill>
      <patternFill patternType="gray125"/>
    </fill>
    <fill>
      <patternFill patternType="solid">
        <fgColor rgb="FF003C72"/>
        <bgColor rgb="FF333399"/>
      </patternFill>
    </fill>
    <fill>
      <patternFill patternType="solid">
        <fgColor rgb="FFFFF2CC"/>
        <bgColor rgb="FFE2EFDA"/>
      </patternFill>
    </fill>
    <fill>
      <patternFill patternType="solid">
        <fgColor rgb="FFE2EFDA"/>
        <bgColor rgb="FFFFF2CC"/>
      </patternFill>
    </fill>
    <fill>
      <patternFill patternType="solid">
        <fgColor rgb="FFFFC7CE"/>
        <bgColor rgb="FFCCCCFF"/>
      </patternFill>
    </fill>
  </fills>
  <borders count="3">
    <border>
      <left/>
      <right/>
      <top/>
      <bottom/>
      <diagonal/>
    </border>
    <border>
      <left style="thin">
        <color rgb="FF003C72"/>
      </left>
      <right style="thin">
        <color rgb="FF003C72"/>
      </right>
      <top style="thin">
        <color rgb="FF003C72"/>
      </top>
      <bottom style="thin">
        <color rgb="FF003C72"/>
      </bottom>
      <diagonal/>
    </border>
    <border>
      <left style="thin">
        <color rgb="FF003C72"/>
      </left>
      <right/>
      <top style="thin">
        <color rgb="FF003C72"/>
      </top>
      <bottom style="thin">
        <color rgb="FF003C72"/>
      </bottom>
      <diagonal/>
    </border>
  </borders>
  <cellStyleXfs count="1">
    <xf numFmtId="0" fontId="0" fillId="0" borderId="0"/>
  </cellStyleXfs>
  <cellXfs count="19">
    <xf numFmtId="0" fontId="0" fillId="0" borderId="0" xfId="0"/>
    <xf numFmtId="0" fontId="2" fillId="0" borderId="0" xfId="0" applyFont="1"/>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4" fillId="0" borderId="1" xfId="0" applyFont="1" applyBorder="1"/>
    <xf numFmtId="0" fontId="7"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0" borderId="1" xfId="0" applyFont="1" applyBorder="1"/>
    <xf numFmtId="0" fontId="1" fillId="0" borderId="0" xfId="0" applyFont="1"/>
    <xf numFmtId="0" fontId="4" fillId="0" borderId="0" xfId="0" applyFont="1"/>
    <xf numFmtId="0" fontId="4" fillId="0" borderId="0" xfId="0" applyFont="1" applyAlignment="1">
      <alignment horizontal="left" vertical="center" wrapText="1"/>
    </xf>
    <xf numFmtId="0" fontId="2" fillId="0" borderId="0" xfId="0" applyFont="1"/>
    <xf numFmtId="0" fontId="4" fillId="0" borderId="2" xfId="0" applyFont="1" applyBorder="1" applyAlignment="1">
      <alignment horizontal="left"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C72"/>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28"/>
  <sheetViews>
    <sheetView showGridLines="0" tabSelected="1" zoomScaleNormal="100" workbookViewId="0">
      <selection activeCell="B42" sqref="B42"/>
    </sheetView>
  </sheetViews>
  <sheetFormatPr defaultColWidth="8.7109375" defaultRowHeight="15" x14ac:dyDescent="0.25"/>
  <cols>
    <col min="1" max="1" width="22" customWidth="1"/>
    <col min="2" max="2" width="30" customWidth="1"/>
    <col min="3" max="3" width="14" customWidth="1"/>
    <col min="4" max="4" width="50" customWidth="1"/>
  </cols>
  <sheetData>
    <row r="2" spans="1:6" ht="26.25" x14ac:dyDescent="0.4">
      <c r="A2" s="13" t="s">
        <v>0</v>
      </c>
      <c r="B2" s="13"/>
      <c r="C2" s="13"/>
      <c r="D2" s="13"/>
      <c r="E2" s="13"/>
      <c r="F2" s="13"/>
    </row>
    <row r="4" spans="1:6" ht="15.75" x14ac:dyDescent="0.25">
      <c r="A4" s="16" t="s">
        <v>1</v>
      </c>
      <c r="B4" s="16"/>
      <c r="C4" s="16"/>
      <c r="D4" s="16"/>
      <c r="E4" s="16"/>
      <c r="F4" s="16"/>
    </row>
    <row r="6" spans="1:6" ht="15" customHeight="1" x14ac:dyDescent="0.25">
      <c r="A6" s="2" t="s">
        <v>2</v>
      </c>
      <c r="B6" s="17" t="s">
        <v>3</v>
      </c>
      <c r="C6" s="17"/>
      <c r="D6" s="18"/>
    </row>
    <row r="7" spans="1:6" ht="15" customHeight="1" x14ac:dyDescent="0.25">
      <c r="A7" s="2" t="s">
        <v>4</v>
      </c>
      <c r="B7" s="17" t="s">
        <v>5</v>
      </c>
      <c r="C7" s="17"/>
      <c r="D7" s="18"/>
    </row>
    <row r="8" spans="1:6" ht="15" customHeight="1" x14ac:dyDescent="0.25">
      <c r="A8" s="2" t="s">
        <v>6</v>
      </c>
      <c r="B8" s="17" t="s">
        <v>7</v>
      </c>
      <c r="C8" s="17"/>
      <c r="D8" s="18"/>
    </row>
    <row r="9" spans="1:6" ht="15" customHeight="1" x14ac:dyDescent="0.25">
      <c r="A9" s="2" t="s">
        <v>8</v>
      </c>
      <c r="B9" s="17" t="s">
        <v>9</v>
      </c>
      <c r="C9" s="17"/>
      <c r="D9" s="18"/>
    </row>
    <row r="10" spans="1:6" ht="15" customHeight="1" x14ac:dyDescent="0.25">
      <c r="A10" s="2" t="s">
        <v>10</v>
      </c>
      <c r="B10" s="17" t="s">
        <v>11</v>
      </c>
      <c r="C10" s="17"/>
      <c r="D10" s="18"/>
    </row>
    <row r="11" spans="1:6" ht="15" customHeight="1" x14ac:dyDescent="0.25">
      <c r="A11" s="2" t="s">
        <v>12</v>
      </c>
      <c r="B11" s="17" t="s">
        <v>13</v>
      </c>
      <c r="C11" s="17"/>
      <c r="D11" s="18"/>
    </row>
    <row r="12" spans="1:6" ht="15" customHeight="1" x14ac:dyDescent="0.25">
      <c r="A12" s="2" t="s">
        <v>14</v>
      </c>
      <c r="B12" s="17" t="s">
        <v>15</v>
      </c>
      <c r="C12" s="17"/>
      <c r="D12" s="18"/>
    </row>
    <row r="13" spans="1:6" ht="15" customHeight="1" x14ac:dyDescent="0.25">
      <c r="A13" s="2" t="s">
        <v>16</v>
      </c>
      <c r="B13" s="17" t="s">
        <v>17</v>
      </c>
      <c r="C13" s="17"/>
      <c r="D13" s="18"/>
    </row>
    <row r="14" spans="1:6" ht="15" customHeight="1" x14ac:dyDescent="0.25">
      <c r="A14" s="2" t="s">
        <v>18</v>
      </c>
      <c r="B14" s="17" t="s">
        <v>19</v>
      </c>
      <c r="C14" s="17"/>
      <c r="D14" s="18"/>
    </row>
    <row r="15" spans="1:6" ht="15" customHeight="1" x14ac:dyDescent="0.25">
      <c r="A15" s="2" t="s">
        <v>20</v>
      </c>
      <c r="B15" s="17" t="s">
        <v>21</v>
      </c>
      <c r="C15" s="17"/>
      <c r="D15" s="18"/>
    </row>
    <row r="17" spans="1:4" ht="15.75" x14ac:dyDescent="0.25">
      <c r="A17" s="16" t="s">
        <v>22</v>
      </c>
      <c r="B17" s="16"/>
      <c r="C17" s="16"/>
      <c r="D17" s="16"/>
    </row>
    <row r="18" spans="1:4" ht="43.35" customHeight="1" x14ac:dyDescent="0.25">
      <c r="A18" s="15" t="s">
        <v>23</v>
      </c>
      <c r="B18" s="15"/>
      <c r="C18" s="15"/>
      <c r="D18" s="15"/>
    </row>
    <row r="20" spans="1:4" ht="15.75" x14ac:dyDescent="0.25">
      <c r="A20" s="16" t="s">
        <v>24</v>
      </c>
      <c r="B20" s="16"/>
      <c r="C20" s="16"/>
      <c r="D20" s="16"/>
    </row>
    <row r="21" spans="1:4" ht="22.35" customHeight="1" x14ac:dyDescent="0.25">
      <c r="A21" s="15" t="s">
        <v>25</v>
      </c>
      <c r="B21" s="15"/>
      <c r="C21" s="15"/>
      <c r="D21" s="15"/>
    </row>
    <row r="23" spans="1:4" ht="15.75" x14ac:dyDescent="0.25">
      <c r="A23" s="16" t="s">
        <v>26</v>
      </c>
      <c r="B23" s="16"/>
      <c r="C23" s="16"/>
      <c r="D23" s="16"/>
    </row>
    <row r="24" spans="1:4" x14ac:dyDescent="0.25">
      <c r="A24" s="14" t="s">
        <v>27</v>
      </c>
      <c r="B24" s="14"/>
      <c r="C24" s="14"/>
      <c r="D24" s="14"/>
    </row>
    <row r="25" spans="1:4" x14ac:dyDescent="0.25">
      <c r="A25" s="14" t="s">
        <v>28</v>
      </c>
      <c r="B25" s="14"/>
      <c r="C25" s="14"/>
      <c r="D25" s="14"/>
    </row>
    <row r="26" spans="1:4" x14ac:dyDescent="0.25">
      <c r="A26" s="14" t="s">
        <v>29</v>
      </c>
      <c r="B26" s="14"/>
      <c r="C26" s="14"/>
      <c r="D26" s="14"/>
    </row>
    <row r="27" spans="1:4" x14ac:dyDescent="0.25">
      <c r="A27" s="14" t="s">
        <v>30</v>
      </c>
      <c r="B27" s="14"/>
      <c r="C27" s="14"/>
      <c r="D27" s="14"/>
    </row>
    <row r="28" spans="1:4" x14ac:dyDescent="0.25">
      <c r="A28" s="14" t="s">
        <v>31</v>
      </c>
      <c r="B28" s="14"/>
      <c r="C28" s="14"/>
      <c r="D28" s="14"/>
    </row>
  </sheetData>
  <mergeCells count="22">
    <mergeCell ref="A2:F2"/>
    <mergeCell ref="A4:F4"/>
    <mergeCell ref="B6:D6"/>
    <mergeCell ref="B7:D7"/>
    <mergeCell ref="B8:D8"/>
    <mergeCell ref="B9:D9"/>
    <mergeCell ref="B10:D10"/>
    <mergeCell ref="B11:D11"/>
    <mergeCell ref="B12:D12"/>
    <mergeCell ref="B13:D13"/>
    <mergeCell ref="B14:D14"/>
    <mergeCell ref="B15:D15"/>
    <mergeCell ref="A17:D17"/>
    <mergeCell ref="A18:D18"/>
    <mergeCell ref="A20:D20"/>
    <mergeCell ref="A27:D27"/>
    <mergeCell ref="A28:D28"/>
    <mergeCell ref="A21:D21"/>
    <mergeCell ref="A23:D23"/>
    <mergeCell ref="A24:D24"/>
    <mergeCell ref="A25:D25"/>
    <mergeCell ref="A26:D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10"/>
  <sheetViews>
    <sheetView showGridLines="0" zoomScaleNormal="100" workbookViewId="0">
      <pane xSplit="2" ySplit="4" topLeftCell="C5" activePane="bottomRight" state="frozen"/>
      <selection pane="topRight" activeCell="C1" sqref="C1"/>
      <selection pane="bottomLeft" activeCell="A5" sqref="A5"/>
      <selection pane="bottomRight" activeCell="C25" sqref="C25"/>
    </sheetView>
  </sheetViews>
  <sheetFormatPr defaultColWidth="8.7109375" defaultRowHeight="15" x14ac:dyDescent="0.25"/>
  <cols>
    <col min="1" max="1" width="8" customWidth="1"/>
    <col min="2" max="2" width="14" customWidth="1"/>
    <col min="3" max="3" width="32" customWidth="1"/>
    <col min="4" max="5" width="12" customWidth="1"/>
    <col min="6" max="6" width="14" customWidth="1"/>
    <col min="7" max="7" width="45" customWidth="1"/>
    <col min="8" max="10" width="14" customWidth="1"/>
    <col min="11" max="11" width="20" customWidth="1"/>
    <col min="12" max="12" width="18" customWidth="1"/>
    <col min="13" max="13" width="14" customWidth="1"/>
    <col min="14" max="14" width="30" customWidth="1"/>
    <col min="15" max="15" width="16" customWidth="1"/>
    <col min="16" max="17" width="12" customWidth="1"/>
    <col min="18" max="18" width="25" customWidth="1"/>
  </cols>
  <sheetData>
    <row r="2" spans="1:18" ht="26.25" x14ac:dyDescent="0.4">
      <c r="A2" s="13" t="s">
        <v>32</v>
      </c>
      <c r="B2" s="13"/>
      <c r="C2" s="13"/>
      <c r="D2" s="13"/>
      <c r="E2" s="13"/>
      <c r="F2" s="13"/>
      <c r="G2" s="13"/>
      <c r="H2" s="13"/>
      <c r="I2" s="13"/>
      <c r="J2" s="13"/>
      <c r="K2" s="13"/>
      <c r="L2" s="13"/>
      <c r="M2" s="13"/>
      <c r="N2" s="13"/>
      <c r="O2" s="13"/>
      <c r="P2" s="13"/>
      <c r="Q2" s="13"/>
      <c r="R2" s="13"/>
    </row>
    <row r="4" spans="1:18" ht="24" x14ac:dyDescent="0.25">
      <c r="A4" s="3" t="s">
        <v>33</v>
      </c>
      <c r="B4" s="3" t="s">
        <v>34</v>
      </c>
      <c r="C4" s="3" t="s">
        <v>35</v>
      </c>
      <c r="D4" s="3" t="s">
        <v>36</v>
      </c>
      <c r="E4" s="3" t="s">
        <v>37</v>
      </c>
      <c r="F4" s="3" t="s">
        <v>38</v>
      </c>
      <c r="G4" s="3" t="s">
        <v>39</v>
      </c>
      <c r="H4" s="3" t="s">
        <v>40</v>
      </c>
      <c r="I4" s="3" t="s">
        <v>41</v>
      </c>
      <c r="J4" s="3" t="s">
        <v>42</v>
      </c>
      <c r="K4" s="3" t="s">
        <v>43</v>
      </c>
      <c r="L4" s="3" t="s">
        <v>44</v>
      </c>
      <c r="M4" s="3" t="s">
        <v>45</v>
      </c>
      <c r="N4" s="3" t="s">
        <v>46</v>
      </c>
      <c r="O4" s="3" t="s">
        <v>47</v>
      </c>
      <c r="P4" s="3" t="s">
        <v>48</v>
      </c>
      <c r="Q4" s="3" t="s">
        <v>49</v>
      </c>
      <c r="R4" s="3" t="s">
        <v>50</v>
      </c>
    </row>
    <row r="5" spans="1:18" ht="36" x14ac:dyDescent="0.25">
      <c r="A5" s="4" t="s">
        <v>51</v>
      </c>
      <c r="B5" s="5" t="s">
        <v>52</v>
      </c>
      <c r="C5" s="5" t="s">
        <v>53</v>
      </c>
      <c r="D5" s="5" t="s">
        <v>54</v>
      </c>
      <c r="E5" s="5"/>
      <c r="F5" s="6" t="s">
        <v>55</v>
      </c>
      <c r="G5" s="5" t="s">
        <v>56</v>
      </c>
      <c r="H5" s="5" t="s">
        <v>57</v>
      </c>
      <c r="I5" s="5" t="s">
        <v>58</v>
      </c>
      <c r="J5" s="5" t="s">
        <v>59</v>
      </c>
      <c r="K5" s="5" t="s">
        <v>60</v>
      </c>
      <c r="L5" s="5" t="s">
        <v>61</v>
      </c>
      <c r="M5" s="6" t="s">
        <v>55</v>
      </c>
      <c r="N5" s="5" t="s">
        <v>62</v>
      </c>
      <c r="O5" s="5" t="s">
        <v>63</v>
      </c>
      <c r="P5" s="5"/>
      <c r="Q5" s="5"/>
      <c r="R5" s="5"/>
    </row>
    <row r="6" spans="1:18" ht="36" x14ac:dyDescent="0.25">
      <c r="A6" s="4" t="s">
        <v>64</v>
      </c>
      <c r="B6" s="5" t="s">
        <v>52</v>
      </c>
      <c r="C6" s="5" t="s">
        <v>65</v>
      </c>
      <c r="D6" s="5" t="s">
        <v>66</v>
      </c>
      <c r="E6" s="5"/>
      <c r="F6" s="6" t="s">
        <v>55</v>
      </c>
      <c r="G6" s="5" t="s">
        <v>67</v>
      </c>
      <c r="H6" s="5" t="s">
        <v>68</v>
      </c>
      <c r="I6" s="5" t="s">
        <v>68</v>
      </c>
      <c r="J6" s="5" t="s">
        <v>69</v>
      </c>
      <c r="K6" s="5" t="s">
        <v>70</v>
      </c>
      <c r="L6" s="5" t="s">
        <v>71</v>
      </c>
      <c r="M6" s="6" t="s">
        <v>55</v>
      </c>
      <c r="N6" s="5" t="s">
        <v>72</v>
      </c>
      <c r="O6" s="5" t="s">
        <v>73</v>
      </c>
      <c r="P6" s="5"/>
      <c r="Q6" s="5"/>
      <c r="R6" s="5"/>
    </row>
    <row r="7" spans="1:18" ht="36" x14ac:dyDescent="0.25">
      <c r="A7" s="4" t="s">
        <v>74</v>
      </c>
      <c r="B7" s="5" t="s">
        <v>52</v>
      </c>
      <c r="C7" s="5" t="s">
        <v>75</v>
      </c>
      <c r="D7" s="5" t="s">
        <v>76</v>
      </c>
      <c r="E7" s="5"/>
      <c r="F7" s="6" t="s">
        <v>55</v>
      </c>
      <c r="G7" s="5" t="s">
        <v>77</v>
      </c>
      <c r="H7" s="5"/>
      <c r="I7" s="5"/>
      <c r="J7" s="5"/>
      <c r="K7" s="5" t="s">
        <v>70</v>
      </c>
      <c r="L7" s="5" t="s">
        <v>71</v>
      </c>
      <c r="M7" s="6" t="s">
        <v>55</v>
      </c>
      <c r="N7" s="5" t="s">
        <v>78</v>
      </c>
      <c r="O7" s="5" t="s">
        <v>73</v>
      </c>
      <c r="P7" s="5"/>
      <c r="Q7" s="5"/>
      <c r="R7" s="5"/>
    </row>
    <row r="8" spans="1:18" ht="36" x14ac:dyDescent="0.25">
      <c r="A8" s="4" t="s">
        <v>79</v>
      </c>
      <c r="B8" s="5" t="s">
        <v>80</v>
      </c>
      <c r="C8" s="5" t="s">
        <v>81</v>
      </c>
      <c r="D8" s="5" t="s">
        <v>82</v>
      </c>
      <c r="E8" s="5"/>
      <c r="F8" s="6" t="s">
        <v>55</v>
      </c>
      <c r="G8" s="5" t="s">
        <v>83</v>
      </c>
      <c r="H8" s="5"/>
      <c r="I8" s="5"/>
      <c r="J8" s="5"/>
      <c r="K8" s="5" t="s">
        <v>84</v>
      </c>
      <c r="L8" s="5" t="s">
        <v>85</v>
      </c>
      <c r="M8" s="6" t="s">
        <v>55</v>
      </c>
      <c r="N8" s="5" t="s">
        <v>86</v>
      </c>
      <c r="O8" s="5" t="s">
        <v>63</v>
      </c>
      <c r="P8" s="5"/>
      <c r="Q8" s="5"/>
      <c r="R8" s="5"/>
    </row>
    <row r="9" spans="1:18" ht="48" x14ac:dyDescent="0.25">
      <c r="A9" s="4" t="s">
        <v>87</v>
      </c>
      <c r="B9" s="5" t="s">
        <v>88</v>
      </c>
      <c r="C9" s="5" t="s">
        <v>89</v>
      </c>
      <c r="D9" s="5" t="s">
        <v>90</v>
      </c>
      <c r="E9" s="5"/>
      <c r="F9" s="6" t="s">
        <v>55</v>
      </c>
      <c r="G9" s="5" t="s">
        <v>91</v>
      </c>
      <c r="H9" s="5"/>
      <c r="I9" s="5"/>
      <c r="J9" s="5"/>
      <c r="K9" s="5" t="s">
        <v>92</v>
      </c>
      <c r="L9" s="5" t="s">
        <v>93</v>
      </c>
      <c r="M9" s="6" t="s">
        <v>55</v>
      </c>
      <c r="N9" s="5" t="s">
        <v>94</v>
      </c>
      <c r="O9" s="5" t="s">
        <v>95</v>
      </c>
      <c r="P9" s="5"/>
      <c r="Q9" s="5"/>
      <c r="R9" s="5"/>
    </row>
    <row r="10" spans="1:18" ht="36" x14ac:dyDescent="0.25">
      <c r="A10" s="4" t="s">
        <v>96</v>
      </c>
      <c r="B10" s="5" t="s">
        <v>97</v>
      </c>
      <c r="C10" s="5" t="s">
        <v>98</v>
      </c>
      <c r="D10" s="5" t="s">
        <v>99</v>
      </c>
      <c r="E10" s="5"/>
      <c r="F10" s="6" t="s">
        <v>55</v>
      </c>
      <c r="G10" s="5" t="s">
        <v>100</v>
      </c>
      <c r="H10" s="5"/>
      <c r="I10" s="5"/>
      <c r="J10" s="5"/>
      <c r="K10" s="5" t="s">
        <v>101</v>
      </c>
      <c r="L10" s="5" t="s">
        <v>102</v>
      </c>
      <c r="M10" s="6" t="s">
        <v>55</v>
      </c>
      <c r="N10" s="5" t="s">
        <v>103</v>
      </c>
      <c r="O10" s="5" t="s">
        <v>95</v>
      </c>
      <c r="P10" s="5"/>
      <c r="Q10" s="5"/>
      <c r="R10" s="5"/>
    </row>
  </sheetData>
  <mergeCells count="1">
    <mergeCell ref="A2:R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R17"/>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8" customWidth="1"/>
    <col min="2" max="2" width="14" customWidth="1"/>
    <col min="3" max="3" width="32" customWidth="1"/>
    <col min="4" max="5" width="12" customWidth="1"/>
    <col min="6" max="6" width="14" customWidth="1"/>
    <col min="7" max="7" width="45" customWidth="1"/>
    <col min="8" max="10" width="14" customWidth="1"/>
    <col min="11" max="11" width="20" customWidth="1"/>
    <col min="12" max="12" width="18" customWidth="1"/>
    <col min="13" max="13" width="14" customWidth="1"/>
    <col min="14" max="14" width="30" customWidth="1"/>
    <col min="15" max="15" width="16" customWidth="1"/>
    <col min="16" max="17" width="12" customWidth="1"/>
    <col min="18" max="18" width="25" customWidth="1"/>
  </cols>
  <sheetData>
    <row r="2" spans="1:18" ht="26.25" x14ac:dyDescent="0.4">
      <c r="A2" s="13" t="s">
        <v>104</v>
      </c>
      <c r="B2" s="13"/>
      <c r="C2" s="13"/>
      <c r="D2" s="13"/>
      <c r="E2" s="13"/>
      <c r="F2" s="13"/>
      <c r="G2" s="13"/>
      <c r="H2" s="13"/>
      <c r="I2" s="13"/>
      <c r="J2" s="13"/>
      <c r="K2" s="13"/>
      <c r="L2" s="13"/>
      <c r="M2" s="13"/>
      <c r="N2" s="13"/>
      <c r="O2" s="13"/>
      <c r="P2" s="13"/>
      <c r="Q2" s="13"/>
      <c r="R2" s="13"/>
    </row>
    <row r="4" spans="1:18" ht="24" x14ac:dyDescent="0.25">
      <c r="A4" s="3" t="s">
        <v>33</v>
      </c>
      <c r="B4" s="3" t="s">
        <v>34</v>
      </c>
      <c r="C4" s="3" t="s">
        <v>35</v>
      </c>
      <c r="D4" s="3" t="s">
        <v>36</v>
      </c>
      <c r="E4" s="3" t="s">
        <v>37</v>
      </c>
      <c r="F4" s="3" t="s">
        <v>38</v>
      </c>
      <c r="G4" s="3" t="s">
        <v>39</v>
      </c>
      <c r="H4" s="3" t="s">
        <v>40</v>
      </c>
      <c r="I4" s="3" t="s">
        <v>41</v>
      </c>
      <c r="J4" s="3" t="s">
        <v>42</v>
      </c>
      <c r="K4" s="3" t="s">
        <v>43</v>
      </c>
      <c r="L4" s="3" t="s">
        <v>44</v>
      </c>
      <c r="M4" s="3" t="s">
        <v>45</v>
      </c>
      <c r="N4" s="3" t="s">
        <v>46</v>
      </c>
      <c r="O4" s="3" t="s">
        <v>47</v>
      </c>
      <c r="P4" s="3" t="s">
        <v>48</v>
      </c>
      <c r="Q4" s="3" t="s">
        <v>49</v>
      </c>
      <c r="R4" s="3" t="s">
        <v>50</v>
      </c>
    </row>
    <row r="5" spans="1:18" ht="24" x14ac:dyDescent="0.25">
      <c r="A5" s="4" t="s">
        <v>105</v>
      </c>
      <c r="B5" s="5" t="s">
        <v>80</v>
      </c>
      <c r="C5" s="5" t="s">
        <v>106</v>
      </c>
      <c r="D5" s="5" t="s">
        <v>107</v>
      </c>
      <c r="E5" s="5"/>
      <c r="F5" s="6" t="s">
        <v>55</v>
      </c>
      <c r="G5" s="5" t="s">
        <v>108</v>
      </c>
      <c r="H5" s="5"/>
      <c r="I5" s="5"/>
      <c r="J5" s="5" t="s">
        <v>109</v>
      </c>
      <c r="K5" s="5" t="s">
        <v>110</v>
      </c>
      <c r="L5" s="5" t="s">
        <v>111</v>
      </c>
      <c r="M5" s="6" t="s">
        <v>55</v>
      </c>
      <c r="N5" s="5" t="s">
        <v>112</v>
      </c>
      <c r="O5" s="5" t="s">
        <v>63</v>
      </c>
      <c r="P5" s="5"/>
      <c r="Q5" s="5"/>
      <c r="R5" s="5"/>
    </row>
    <row r="6" spans="1:18" ht="24" x14ac:dyDescent="0.25">
      <c r="A6" s="4" t="s">
        <v>113</v>
      </c>
      <c r="B6" s="5" t="s">
        <v>80</v>
      </c>
      <c r="C6" s="5" t="s">
        <v>114</v>
      </c>
      <c r="D6" s="5" t="s">
        <v>115</v>
      </c>
      <c r="E6" s="5"/>
      <c r="F6" s="6" t="s">
        <v>55</v>
      </c>
      <c r="G6" s="5" t="s">
        <v>116</v>
      </c>
      <c r="H6" s="5" t="s">
        <v>109</v>
      </c>
      <c r="I6" s="5"/>
      <c r="J6" s="5"/>
      <c r="K6" s="5" t="s">
        <v>110</v>
      </c>
      <c r="L6" s="5" t="s">
        <v>117</v>
      </c>
      <c r="M6" s="6" t="s">
        <v>55</v>
      </c>
      <c r="N6" s="5" t="s">
        <v>118</v>
      </c>
      <c r="O6" s="5" t="s">
        <v>63</v>
      </c>
      <c r="P6" s="5"/>
      <c r="Q6" s="5"/>
      <c r="R6" s="5"/>
    </row>
    <row r="7" spans="1:18" ht="24" x14ac:dyDescent="0.25">
      <c r="A7" s="4" t="s">
        <v>119</v>
      </c>
      <c r="B7" s="5" t="s">
        <v>80</v>
      </c>
      <c r="C7" s="5" t="s">
        <v>120</v>
      </c>
      <c r="D7" s="5"/>
      <c r="E7" s="5"/>
      <c r="F7" s="6" t="s">
        <v>55</v>
      </c>
      <c r="G7" s="5" t="s">
        <v>121</v>
      </c>
      <c r="H7" s="5"/>
      <c r="I7" s="5"/>
      <c r="J7" s="5"/>
      <c r="K7" s="5" t="s">
        <v>110</v>
      </c>
      <c r="L7" s="5" t="s">
        <v>122</v>
      </c>
      <c r="M7" s="6" t="s">
        <v>55</v>
      </c>
      <c r="N7" s="5" t="s">
        <v>123</v>
      </c>
      <c r="O7" s="5" t="s">
        <v>63</v>
      </c>
      <c r="P7" s="5"/>
      <c r="Q7" s="5"/>
      <c r="R7" s="5"/>
    </row>
    <row r="8" spans="1:18" ht="24" x14ac:dyDescent="0.25">
      <c r="A8" s="4" t="s">
        <v>124</v>
      </c>
      <c r="B8" s="5" t="s">
        <v>125</v>
      </c>
      <c r="C8" s="5" t="s">
        <v>126</v>
      </c>
      <c r="D8" s="5" t="s">
        <v>127</v>
      </c>
      <c r="E8" s="5"/>
      <c r="F8" s="6" t="s">
        <v>55</v>
      </c>
      <c r="G8" s="5" t="s">
        <v>128</v>
      </c>
      <c r="H8" s="5" t="s">
        <v>68</v>
      </c>
      <c r="I8" s="5" t="s">
        <v>68</v>
      </c>
      <c r="J8" s="5" t="s">
        <v>69</v>
      </c>
      <c r="K8" s="5" t="s">
        <v>129</v>
      </c>
      <c r="L8" s="5" t="s">
        <v>130</v>
      </c>
      <c r="M8" s="6" t="s">
        <v>55</v>
      </c>
      <c r="N8" s="5" t="s">
        <v>131</v>
      </c>
      <c r="O8" s="5" t="s">
        <v>63</v>
      </c>
      <c r="P8" s="5"/>
      <c r="Q8" s="5"/>
      <c r="R8" s="5"/>
    </row>
    <row r="9" spans="1:18" ht="24" x14ac:dyDescent="0.25">
      <c r="A9" s="4" t="s">
        <v>132</v>
      </c>
      <c r="B9" s="5" t="s">
        <v>80</v>
      </c>
      <c r="C9" s="5" t="s">
        <v>133</v>
      </c>
      <c r="D9" s="5"/>
      <c r="E9" s="5"/>
      <c r="F9" s="6" t="s">
        <v>55</v>
      </c>
      <c r="G9" s="5" t="s">
        <v>134</v>
      </c>
      <c r="H9" s="5"/>
      <c r="I9" s="5"/>
      <c r="J9" s="5" t="s">
        <v>135</v>
      </c>
      <c r="K9" s="5" t="s">
        <v>129</v>
      </c>
      <c r="L9" s="5" t="s">
        <v>130</v>
      </c>
      <c r="M9" s="6" t="s">
        <v>55</v>
      </c>
      <c r="N9" s="5" t="s">
        <v>136</v>
      </c>
      <c r="O9" s="5" t="s">
        <v>63</v>
      </c>
      <c r="P9" s="5"/>
      <c r="Q9" s="5"/>
      <c r="R9" s="5"/>
    </row>
    <row r="10" spans="1:18" ht="24" x14ac:dyDescent="0.25">
      <c r="A10" s="4" t="s">
        <v>137</v>
      </c>
      <c r="B10" s="5" t="s">
        <v>80</v>
      </c>
      <c r="C10" s="5" t="s">
        <v>138</v>
      </c>
      <c r="D10" s="5"/>
      <c r="E10" s="5"/>
      <c r="F10" s="6" t="s">
        <v>55</v>
      </c>
      <c r="G10" s="5" t="s">
        <v>139</v>
      </c>
      <c r="H10" s="5"/>
      <c r="I10" s="5"/>
      <c r="J10" s="5"/>
      <c r="K10" s="5" t="s">
        <v>110</v>
      </c>
      <c r="L10" s="5" t="s">
        <v>117</v>
      </c>
      <c r="M10" s="6" t="s">
        <v>55</v>
      </c>
      <c r="N10" s="5" t="s">
        <v>140</v>
      </c>
      <c r="O10" s="5" t="s">
        <v>63</v>
      </c>
      <c r="P10" s="5"/>
      <c r="Q10" s="5"/>
      <c r="R10" s="5"/>
    </row>
    <row r="11" spans="1:18" ht="24" x14ac:dyDescent="0.25">
      <c r="A11" s="4" t="s">
        <v>141</v>
      </c>
      <c r="B11" s="5" t="s">
        <v>80</v>
      </c>
      <c r="C11" s="5" t="s">
        <v>142</v>
      </c>
      <c r="D11" s="5"/>
      <c r="E11" s="5"/>
      <c r="F11" s="6" t="s">
        <v>55</v>
      </c>
      <c r="G11" s="5" t="s">
        <v>143</v>
      </c>
      <c r="H11" s="5"/>
      <c r="I11" s="5"/>
      <c r="J11" s="5" t="s">
        <v>135</v>
      </c>
      <c r="K11" s="5" t="s">
        <v>144</v>
      </c>
      <c r="L11" s="5" t="s">
        <v>130</v>
      </c>
      <c r="M11" s="6" t="s">
        <v>55</v>
      </c>
      <c r="N11" s="5" t="s">
        <v>145</v>
      </c>
      <c r="O11" s="5" t="s">
        <v>63</v>
      </c>
      <c r="P11" s="5"/>
      <c r="Q11" s="5"/>
      <c r="R11" s="5"/>
    </row>
    <row r="12" spans="1:18" ht="24" x14ac:dyDescent="0.25">
      <c r="A12" s="4" t="s">
        <v>146</v>
      </c>
      <c r="B12" s="5" t="s">
        <v>80</v>
      </c>
      <c r="C12" s="5" t="s">
        <v>147</v>
      </c>
      <c r="D12" s="5"/>
      <c r="E12" s="5"/>
      <c r="F12" s="6" t="s">
        <v>55</v>
      </c>
      <c r="G12" s="5" t="s">
        <v>148</v>
      </c>
      <c r="H12" s="5"/>
      <c r="I12" s="5"/>
      <c r="J12" s="5" t="s">
        <v>135</v>
      </c>
      <c r="K12" s="5" t="s">
        <v>110</v>
      </c>
      <c r="L12" s="5" t="s">
        <v>130</v>
      </c>
      <c r="M12" s="6" t="s">
        <v>55</v>
      </c>
      <c r="N12" s="5" t="s">
        <v>149</v>
      </c>
      <c r="O12" s="5" t="s">
        <v>63</v>
      </c>
      <c r="P12" s="5"/>
      <c r="Q12" s="5"/>
      <c r="R12" s="5"/>
    </row>
    <row r="13" spans="1:18" ht="36" x14ac:dyDescent="0.25">
      <c r="A13" s="4" t="s">
        <v>150</v>
      </c>
      <c r="B13" s="5" t="s">
        <v>80</v>
      </c>
      <c r="C13" s="5" t="s">
        <v>151</v>
      </c>
      <c r="D13" s="5"/>
      <c r="E13" s="5"/>
      <c r="F13" s="6" t="s">
        <v>55</v>
      </c>
      <c r="G13" s="5" t="s">
        <v>152</v>
      </c>
      <c r="H13" s="5"/>
      <c r="I13" s="5"/>
      <c r="J13" s="5"/>
      <c r="K13" s="5" t="s">
        <v>110</v>
      </c>
      <c r="L13" s="5" t="s">
        <v>153</v>
      </c>
      <c r="M13" s="6" t="s">
        <v>55</v>
      </c>
      <c r="N13" s="5" t="s">
        <v>154</v>
      </c>
      <c r="O13" s="5" t="s">
        <v>73</v>
      </c>
      <c r="P13" s="5"/>
      <c r="Q13" s="5"/>
      <c r="R13" s="5"/>
    </row>
    <row r="14" spans="1:18" ht="24" x14ac:dyDescent="0.25">
      <c r="A14" s="4" t="s">
        <v>155</v>
      </c>
      <c r="B14" s="5" t="s">
        <v>156</v>
      </c>
      <c r="C14" s="5" t="s">
        <v>157</v>
      </c>
      <c r="D14" s="5" t="s">
        <v>158</v>
      </c>
      <c r="E14" s="5"/>
      <c r="F14" s="6" t="s">
        <v>55</v>
      </c>
      <c r="G14" s="5" t="s">
        <v>159</v>
      </c>
      <c r="H14" s="5"/>
      <c r="I14" s="5"/>
      <c r="J14" s="5"/>
      <c r="K14" s="5" t="s">
        <v>101</v>
      </c>
      <c r="L14" s="5" t="s">
        <v>93</v>
      </c>
      <c r="M14" s="6" t="s">
        <v>55</v>
      </c>
      <c r="N14" s="5" t="s">
        <v>160</v>
      </c>
      <c r="O14" s="5" t="s">
        <v>73</v>
      </c>
      <c r="P14" s="5"/>
      <c r="Q14" s="5"/>
      <c r="R14" s="5"/>
    </row>
    <row r="15" spans="1:18" ht="24" x14ac:dyDescent="0.25">
      <c r="A15" s="4" t="s">
        <v>161</v>
      </c>
      <c r="B15" s="5" t="s">
        <v>52</v>
      </c>
      <c r="C15" s="5" t="s">
        <v>162</v>
      </c>
      <c r="D15" s="5"/>
      <c r="E15" s="5"/>
      <c r="F15" s="6" t="s">
        <v>55</v>
      </c>
      <c r="G15" s="5" t="s">
        <v>163</v>
      </c>
      <c r="H15" s="5"/>
      <c r="I15" s="5"/>
      <c r="J15" s="5" t="s">
        <v>109</v>
      </c>
      <c r="K15" s="5" t="s">
        <v>164</v>
      </c>
      <c r="L15" s="5" t="s">
        <v>71</v>
      </c>
      <c r="M15" s="6" t="s">
        <v>55</v>
      </c>
      <c r="N15" s="5" t="s">
        <v>165</v>
      </c>
      <c r="O15" s="5" t="s">
        <v>73</v>
      </c>
      <c r="P15" s="5"/>
      <c r="Q15" s="5"/>
      <c r="R15" s="5"/>
    </row>
    <row r="16" spans="1:18" ht="24" x14ac:dyDescent="0.25">
      <c r="A16" s="4" t="s">
        <v>166</v>
      </c>
      <c r="B16" s="5" t="s">
        <v>80</v>
      </c>
      <c r="C16" s="5" t="s">
        <v>167</v>
      </c>
      <c r="D16" s="5"/>
      <c r="E16" s="5"/>
      <c r="F16" s="6" t="s">
        <v>55</v>
      </c>
      <c r="G16" s="5" t="s">
        <v>168</v>
      </c>
      <c r="H16" s="5"/>
      <c r="I16" s="5"/>
      <c r="J16" s="5" t="s">
        <v>169</v>
      </c>
      <c r="K16" s="5" t="s">
        <v>110</v>
      </c>
      <c r="L16" s="5" t="s">
        <v>170</v>
      </c>
      <c r="M16" s="6" t="s">
        <v>55</v>
      </c>
      <c r="N16" s="5" t="s">
        <v>171</v>
      </c>
      <c r="O16" s="5" t="s">
        <v>63</v>
      </c>
      <c r="P16" s="5"/>
      <c r="Q16" s="5"/>
      <c r="R16" s="5"/>
    </row>
    <row r="17" spans="1:18" ht="24" x14ac:dyDescent="0.25">
      <c r="A17" s="4" t="s">
        <v>172</v>
      </c>
      <c r="B17" s="5" t="s">
        <v>52</v>
      </c>
      <c r="C17" s="5" t="s">
        <v>173</v>
      </c>
      <c r="D17" s="5"/>
      <c r="E17" s="5"/>
      <c r="F17" s="6" t="s">
        <v>55</v>
      </c>
      <c r="G17" s="5" t="s">
        <v>174</v>
      </c>
      <c r="H17" s="5" t="s">
        <v>175</v>
      </c>
      <c r="I17" s="5"/>
      <c r="J17" s="5" t="s">
        <v>175</v>
      </c>
      <c r="K17" s="5" t="s">
        <v>164</v>
      </c>
      <c r="L17" s="5" t="s">
        <v>170</v>
      </c>
      <c r="M17" s="6" t="s">
        <v>55</v>
      </c>
      <c r="N17" s="5" t="s">
        <v>176</v>
      </c>
      <c r="O17" s="5" t="s">
        <v>63</v>
      </c>
      <c r="P17" s="5"/>
      <c r="Q17" s="5"/>
      <c r="R17" s="5"/>
    </row>
  </sheetData>
  <mergeCells count="1">
    <mergeCell ref="A2:R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10"/>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8" customWidth="1"/>
    <col min="2" max="2" width="14" customWidth="1"/>
    <col min="3" max="3" width="32" customWidth="1"/>
    <col min="4" max="5" width="12" customWidth="1"/>
    <col min="6" max="6" width="14" customWidth="1"/>
    <col min="7" max="7" width="45" customWidth="1"/>
    <col min="8" max="10" width="14" customWidth="1"/>
    <col min="11" max="11" width="20" customWidth="1"/>
    <col min="12" max="12" width="18" customWidth="1"/>
    <col min="13" max="13" width="14" customWidth="1"/>
    <col min="14" max="14" width="30" customWidth="1"/>
    <col min="15" max="15" width="16" customWidth="1"/>
    <col min="16" max="17" width="12" customWidth="1"/>
    <col min="18" max="18" width="25" customWidth="1"/>
  </cols>
  <sheetData>
    <row r="2" spans="1:18" ht="26.25" x14ac:dyDescent="0.4">
      <c r="A2" s="13" t="s">
        <v>177</v>
      </c>
      <c r="B2" s="13"/>
      <c r="C2" s="13"/>
      <c r="D2" s="13"/>
      <c r="E2" s="13"/>
      <c r="F2" s="13"/>
      <c r="G2" s="13"/>
      <c r="H2" s="13"/>
      <c r="I2" s="13"/>
      <c r="J2" s="13"/>
      <c r="K2" s="13"/>
      <c r="L2" s="13"/>
      <c r="M2" s="13"/>
      <c r="N2" s="13"/>
      <c r="O2" s="13"/>
      <c r="P2" s="13"/>
      <c r="Q2" s="13"/>
      <c r="R2" s="13"/>
    </row>
    <row r="4" spans="1:18" ht="24" x14ac:dyDescent="0.25">
      <c r="A4" s="3" t="s">
        <v>33</v>
      </c>
      <c r="B4" s="3" t="s">
        <v>34</v>
      </c>
      <c r="C4" s="3" t="s">
        <v>35</v>
      </c>
      <c r="D4" s="3" t="s">
        <v>36</v>
      </c>
      <c r="E4" s="3" t="s">
        <v>37</v>
      </c>
      <c r="F4" s="3" t="s">
        <v>38</v>
      </c>
      <c r="G4" s="3" t="s">
        <v>39</v>
      </c>
      <c r="H4" s="3" t="s">
        <v>40</v>
      </c>
      <c r="I4" s="3" t="s">
        <v>41</v>
      </c>
      <c r="J4" s="3" t="s">
        <v>42</v>
      </c>
      <c r="K4" s="3" t="s">
        <v>43</v>
      </c>
      <c r="L4" s="3" t="s">
        <v>44</v>
      </c>
      <c r="M4" s="3" t="s">
        <v>45</v>
      </c>
      <c r="N4" s="3" t="s">
        <v>46</v>
      </c>
      <c r="O4" s="3" t="s">
        <v>47</v>
      </c>
      <c r="P4" s="3" t="s">
        <v>48</v>
      </c>
      <c r="Q4" s="3" t="s">
        <v>49</v>
      </c>
      <c r="R4" s="3" t="s">
        <v>50</v>
      </c>
    </row>
    <row r="5" spans="1:18" ht="36" x14ac:dyDescent="0.25">
      <c r="A5" s="4" t="s">
        <v>178</v>
      </c>
      <c r="B5" s="5" t="s">
        <v>80</v>
      </c>
      <c r="C5" s="5" t="s">
        <v>179</v>
      </c>
      <c r="D5" s="5" t="s">
        <v>180</v>
      </c>
      <c r="E5" s="5"/>
      <c r="F5" s="6" t="s">
        <v>55</v>
      </c>
      <c r="G5" s="5" t="s">
        <v>181</v>
      </c>
      <c r="H5" s="5"/>
      <c r="I5" s="5"/>
      <c r="J5" s="5"/>
      <c r="K5" s="5" t="s">
        <v>110</v>
      </c>
      <c r="L5" s="5" t="s">
        <v>182</v>
      </c>
      <c r="M5" s="6" t="s">
        <v>55</v>
      </c>
      <c r="N5" s="5" t="s">
        <v>183</v>
      </c>
      <c r="O5" s="5" t="s">
        <v>63</v>
      </c>
      <c r="P5" s="5"/>
      <c r="Q5" s="5"/>
      <c r="R5" s="5"/>
    </row>
    <row r="6" spans="1:18" ht="24" x14ac:dyDescent="0.25">
      <c r="A6" s="4" t="s">
        <v>184</v>
      </c>
      <c r="B6" s="5" t="s">
        <v>125</v>
      </c>
      <c r="C6" s="5" t="s">
        <v>185</v>
      </c>
      <c r="D6" s="5"/>
      <c r="E6" s="5"/>
      <c r="F6" s="6" t="s">
        <v>55</v>
      </c>
      <c r="G6" s="5" t="s">
        <v>186</v>
      </c>
      <c r="H6" s="5" t="s">
        <v>68</v>
      </c>
      <c r="I6" s="5" t="s">
        <v>68</v>
      </c>
      <c r="J6" s="5" t="s">
        <v>69</v>
      </c>
      <c r="K6" s="5" t="s">
        <v>129</v>
      </c>
      <c r="L6" s="5" t="s">
        <v>130</v>
      </c>
      <c r="M6" s="6" t="s">
        <v>55</v>
      </c>
      <c r="N6" s="5" t="s">
        <v>187</v>
      </c>
      <c r="O6" s="5" t="s">
        <v>63</v>
      </c>
      <c r="P6" s="5"/>
      <c r="Q6" s="5"/>
      <c r="R6" s="5"/>
    </row>
    <row r="7" spans="1:18" ht="24" x14ac:dyDescent="0.25">
      <c r="A7" s="4" t="s">
        <v>188</v>
      </c>
      <c r="B7" s="5" t="s">
        <v>189</v>
      </c>
      <c r="C7" s="5" t="s">
        <v>190</v>
      </c>
      <c r="D7" s="5"/>
      <c r="E7" s="5"/>
      <c r="F7" s="6" t="s">
        <v>55</v>
      </c>
      <c r="G7" s="5" t="s">
        <v>191</v>
      </c>
      <c r="H7" s="5"/>
      <c r="I7" s="5"/>
      <c r="J7" s="5" t="s">
        <v>192</v>
      </c>
      <c r="K7" s="5" t="s">
        <v>110</v>
      </c>
      <c r="L7" s="5" t="s">
        <v>122</v>
      </c>
      <c r="M7" s="6" t="s">
        <v>55</v>
      </c>
      <c r="N7" s="5" t="s">
        <v>193</v>
      </c>
      <c r="O7" s="5" t="s">
        <v>63</v>
      </c>
      <c r="P7" s="5"/>
      <c r="Q7" s="5"/>
      <c r="R7" s="5"/>
    </row>
    <row r="8" spans="1:18" ht="24" x14ac:dyDescent="0.25">
      <c r="A8" s="4" t="s">
        <v>194</v>
      </c>
      <c r="B8" s="5" t="s">
        <v>156</v>
      </c>
      <c r="C8" s="5" t="s">
        <v>195</v>
      </c>
      <c r="D8" s="5" t="s">
        <v>196</v>
      </c>
      <c r="E8" s="5"/>
      <c r="F8" s="6" t="s">
        <v>55</v>
      </c>
      <c r="G8" s="5" t="s">
        <v>197</v>
      </c>
      <c r="H8" s="5"/>
      <c r="I8" s="5"/>
      <c r="J8" s="5"/>
      <c r="K8" s="5" t="s">
        <v>198</v>
      </c>
      <c r="L8" s="5" t="s">
        <v>93</v>
      </c>
      <c r="M8" s="6" t="s">
        <v>55</v>
      </c>
      <c r="N8" s="5" t="s">
        <v>199</v>
      </c>
      <c r="O8" s="5" t="s">
        <v>73</v>
      </c>
      <c r="P8" s="5"/>
      <c r="Q8" s="5"/>
      <c r="R8" s="5"/>
    </row>
    <row r="9" spans="1:18" ht="24" x14ac:dyDescent="0.25">
      <c r="A9" s="4" t="s">
        <v>200</v>
      </c>
      <c r="B9" s="5" t="s">
        <v>52</v>
      </c>
      <c r="C9" s="5" t="s">
        <v>201</v>
      </c>
      <c r="D9" s="5"/>
      <c r="E9" s="5"/>
      <c r="F9" s="6" t="s">
        <v>55</v>
      </c>
      <c r="G9" s="5" t="s">
        <v>202</v>
      </c>
      <c r="H9" s="5"/>
      <c r="I9" s="5"/>
      <c r="J9" s="5"/>
      <c r="K9" s="5" t="s">
        <v>164</v>
      </c>
      <c r="L9" s="5" t="s">
        <v>71</v>
      </c>
      <c r="M9" s="6" t="s">
        <v>55</v>
      </c>
      <c r="N9" s="5" t="s">
        <v>203</v>
      </c>
      <c r="O9" s="5" t="s">
        <v>73</v>
      </c>
      <c r="P9" s="5"/>
      <c r="Q9" s="5"/>
      <c r="R9" s="5"/>
    </row>
    <row r="10" spans="1:18" ht="24" x14ac:dyDescent="0.25">
      <c r="A10" s="4" t="s">
        <v>204</v>
      </c>
      <c r="B10" s="5" t="s">
        <v>80</v>
      </c>
      <c r="C10" s="5" t="s">
        <v>205</v>
      </c>
      <c r="D10" s="5"/>
      <c r="E10" s="5"/>
      <c r="F10" s="6" t="s">
        <v>55</v>
      </c>
      <c r="G10" s="5" t="s">
        <v>206</v>
      </c>
      <c r="H10" s="5" t="s">
        <v>169</v>
      </c>
      <c r="I10" s="5"/>
      <c r="J10" s="5"/>
      <c r="K10" s="5" t="s">
        <v>110</v>
      </c>
      <c r="L10" s="5" t="s">
        <v>182</v>
      </c>
      <c r="M10" s="6" t="s">
        <v>55</v>
      </c>
      <c r="N10" s="5" t="s">
        <v>207</v>
      </c>
      <c r="O10" s="5" t="s">
        <v>63</v>
      </c>
      <c r="P10" s="5"/>
      <c r="Q10" s="5"/>
      <c r="R10" s="5"/>
    </row>
  </sheetData>
  <mergeCells count="1">
    <mergeCell ref="A2:R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R11"/>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8" customWidth="1"/>
    <col min="2" max="2" width="14" customWidth="1"/>
    <col min="3" max="3" width="32" customWidth="1"/>
    <col min="4" max="5" width="12" customWidth="1"/>
    <col min="6" max="6" width="14" customWidth="1"/>
    <col min="7" max="7" width="45" customWidth="1"/>
    <col min="8" max="10" width="14" customWidth="1"/>
    <col min="11" max="11" width="20" customWidth="1"/>
    <col min="12" max="12" width="18" customWidth="1"/>
    <col min="13" max="13" width="14" customWidth="1"/>
    <col min="14" max="14" width="30" customWidth="1"/>
    <col min="15" max="15" width="16" customWidth="1"/>
    <col min="16" max="17" width="12" customWidth="1"/>
    <col min="18" max="18" width="25" customWidth="1"/>
  </cols>
  <sheetData>
    <row r="2" spans="1:18" ht="26.25" x14ac:dyDescent="0.4">
      <c r="A2" s="13" t="s">
        <v>208</v>
      </c>
      <c r="B2" s="13"/>
      <c r="C2" s="13"/>
      <c r="D2" s="13"/>
      <c r="E2" s="13"/>
      <c r="F2" s="13"/>
      <c r="G2" s="13"/>
      <c r="H2" s="13"/>
      <c r="I2" s="13"/>
      <c r="J2" s="13"/>
      <c r="K2" s="13"/>
      <c r="L2" s="13"/>
      <c r="M2" s="13"/>
      <c r="N2" s="13"/>
      <c r="O2" s="13"/>
      <c r="P2" s="13"/>
      <c r="Q2" s="13"/>
      <c r="R2" s="13"/>
    </row>
    <row r="4" spans="1:18" ht="24" x14ac:dyDescent="0.25">
      <c r="A4" s="3" t="s">
        <v>33</v>
      </c>
      <c r="B4" s="3" t="s">
        <v>34</v>
      </c>
      <c r="C4" s="3" t="s">
        <v>35</v>
      </c>
      <c r="D4" s="3" t="s">
        <v>36</v>
      </c>
      <c r="E4" s="3" t="s">
        <v>37</v>
      </c>
      <c r="F4" s="3" t="s">
        <v>38</v>
      </c>
      <c r="G4" s="3" t="s">
        <v>39</v>
      </c>
      <c r="H4" s="3" t="s">
        <v>40</v>
      </c>
      <c r="I4" s="3" t="s">
        <v>41</v>
      </c>
      <c r="J4" s="3" t="s">
        <v>42</v>
      </c>
      <c r="K4" s="3" t="s">
        <v>43</v>
      </c>
      <c r="L4" s="3" t="s">
        <v>44</v>
      </c>
      <c r="M4" s="3" t="s">
        <v>45</v>
      </c>
      <c r="N4" s="3" t="s">
        <v>46</v>
      </c>
      <c r="O4" s="3" t="s">
        <v>47</v>
      </c>
      <c r="P4" s="3" t="s">
        <v>48</v>
      </c>
      <c r="Q4" s="3" t="s">
        <v>49</v>
      </c>
      <c r="R4" s="3" t="s">
        <v>50</v>
      </c>
    </row>
    <row r="5" spans="1:18" ht="24" x14ac:dyDescent="0.25">
      <c r="A5" s="4" t="s">
        <v>209</v>
      </c>
      <c r="B5" s="5" t="s">
        <v>80</v>
      </c>
      <c r="C5" s="5" t="s">
        <v>210</v>
      </c>
      <c r="D5" s="5" t="s">
        <v>211</v>
      </c>
      <c r="E5" s="5"/>
      <c r="F5" s="6" t="s">
        <v>55</v>
      </c>
      <c r="G5" s="5" t="s">
        <v>212</v>
      </c>
      <c r="H5" s="5" t="s">
        <v>213</v>
      </c>
      <c r="I5" s="5" t="s">
        <v>213</v>
      </c>
      <c r="J5" s="5"/>
      <c r="K5" s="5" t="s">
        <v>129</v>
      </c>
      <c r="L5" s="5" t="s">
        <v>214</v>
      </c>
      <c r="M5" s="6" t="s">
        <v>55</v>
      </c>
      <c r="N5" s="5" t="s">
        <v>215</v>
      </c>
      <c r="O5" s="5" t="s">
        <v>63</v>
      </c>
      <c r="P5" s="5"/>
      <c r="Q5" s="5"/>
      <c r="R5" s="5"/>
    </row>
    <row r="6" spans="1:18" ht="24" x14ac:dyDescent="0.25">
      <c r="A6" s="4" t="s">
        <v>216</v>
      </c>
      <c r="B6" s="5" t="s">
        <v>189</v>
      </c>
      <c r="C6" s="5" t="s">
        <v>217</v>
      </c>
      <c r="D6" s="5" t="s">
        <v>218</v>
      </c>
      <c r="E6" s="5"/>
      <c r="F6" s="6" t="s">
        <v>55</v>
      </c>
      <c r="G6" s="5" t="s">
        <v>219</v>
      </c>
      <c r="H6" s="5" t="s">
        <v>213</v>
      </c>
      <c r="I6" s="5"/>
      <c r="J6" s="5" t="s">
        <v>220</v>
      </c>
      <c r="K6" s="5" t="s">
        <v>221</v>
      </c>
      <c r="L6" s="5" t="s">
        <v>122</v>
      </c>
      <c r="M6" s="6" t="s">
        <v>55</v>
      </c>
      <c r="N6" s="5" t="s">
        <v>222</v>
      </c>
      <c r="O6" s="5" t="s">
        <v>63</v>
      </c>
      <c r="P6" s="5"/>
      <c r="Q6" s="5"/>
      <c r="R6" s="5"/>
    </row>
    <row r="7" spans="1:18" ht="24" x14ac:dyDescent="0.25">
      <c r="A7" s="4" t="s">
        <v>223</v>
      </c>
      <c r="B7" s="5" t="s">
        <v>189</v>
      </c>
      <c r="C7" s="5" t="s">
        <v>224</v>
      </c>
      <c r="D7" s="5"/>
      <c r="E7" s="5"/>
      <c r="F7" s="6" t="s">
        <v>55</v>
      </c>
      <c r="G7" s="5" t="s">
        <v>225</v>
      </c>
      <c r="H7" s="5"/>
      <c r="I7" s="5"/>
      <c r="J7" s="5" t="s">
        <v>226</v>
      </c>
      <c r="K7" s="5" t="s">
        <v>221</v>
      </c>
      <c r="L7" s="5" t="s">
        <v>122</v>
      </c>
      <c r="M7" s="6" t="s">
        <v>55</v>
      </c>
      <c r="N7" s="5" t="s">
        <v>227</v>
      </c>
      <c r="O7" s="5" t="s">
        <v>63</v>
      </c>
      <c r="P7" s="5"/>
      <c r="Q7" s="5"/>
      <c r="R7" s="5"/>
    </row>
    <row r="8" spans="1:18" ht="24" x14ac:dyDescent="0.25">
      <c r="A8" s="4" t="s">
        <v>228</v>
      </c>
      <c r="B8" s="5" t="s">
        <v>52</v>
      </c>
      <c r="C8" s="5" t="s">
        <v>229</v>
      </c>
      <c r="D8" s="5"/>
      <c r="E8" s="5"/>
      <c r="F8" s="6" t="s">
        <v>55</v>
      </c>
      <c r="G8" s="5" t="s">
        <v>230</v>
      </c>
      <c r="H8" s="5"/>
      <c r="I8" s="5"/>
      <c r="J8" s="5"/>
      <c r="K8" s="5" t="s">
        <v>164</v>
      </c>
      <c r="L8" s="5" t="s">
        <v>71</v>
      </c>
      <c r="M8" s="6" t="s">
        <v>55</v>
      </c>
      <c r="N8" s="5" t="s">
        <v>231</v>
      </c>
      <c r="O8" s="5" t="s">
        <v>73</v>
      </c>
      <c r="P8" s="5"/>
      <c r="Q8" s="5"/>
      <c r="R8" s="5"/>
    </row>
    <row r="9" spans="1:18" ht="24" x14ac:dyDescent="0.25">
      <c r="A9" s="4" t="s">
        <v>232</v>
      </c>
      <c r="B9" s="5" t="s">
        <v>156</v>
      </c>
      <c r="C9" s="5" t="s">
        <v>233</v>
      </c>
      <c r="D9" s="5"/>
      <c r="E9" s="5"/>
      <c r="F9" s="6" t="s">
        <v>55</v>
      </c>
      <c r="G9" s="5" t="s">
        <v>234</v>
      </c>
      <c r="H9" s="5"/>
      <c r="I9" s="5"/>
      <c r="J9" s="5"/>
      <c r="K9" s="5" t="s">
        <v>235</v>
      </c>
      <c r="L9" s="5" t="s">
        <v>93</v>
      </c>
      <c r="M9" s="6" t="s">
        <v>55</v>
      </c>
      <c r="N9" s="5" t="s">
        <v>236</v>
      </c>
      <c r="O9" s="5" t="s">
        <v>95</v>
      </c>
      <c r="P9" s="5"/>
      <c r="Q9" s="5"/>
      <c r="R9" s="5"/>
    </row>
    <row r="10" spans="1:18" ht="24" x14ac:dyDescent="0.25">
      <c r="A10" s="4" t="s">
        <v>237</v>
      </c>
      <c r="B10" s="5" t="s">
        <v>125</v>
      </c>
      <c r="C10" s="5" t="s">
        <v>238</v>
      </c>
      <c r="D10" s="5"/>
      <c r="E10" s="5"/>
      <c r="F10" s="6" t="s">
        <v>55</v>
      </c>
      <c r="G10" s="5" t="s">
        <v>239</v>
      </c>
      <c r="H10" s="5" t="s">
        <v>68</v>
      </c>
      <c r="I10" s="5" t="s">
        <v>68</v>
      </c>
      <c r="J10" s="5" t="s">
        <v>69</v>
      </c>
      <c r="K10" s="5" t="s">
        <v>129</v>
      </c>
      <c r="L10" s="5" t="s">
        <v>130</v>
      </c>
      <c r="M10" s="6" t="s">
        <v>55</v>
      </c>
      <c r="N10" s="5" t="s">
        <v>240</v>
      </c>
      <c r="O10" s="5" t="s">
        <v>63</v>
      </c>
      <c r="P10" s="5"/>
      <c r="Q10" s="5"/>
      <c r="R10" s="5"/>
    </row>
    <row r="11" spans="1:18" ht="24" x14ac:dyDescent="0.25">
      <c r="A11" s="4" t="s">
        <v>241</v>
      </c>
      <c r="B11" s="5" t="s">
        <v>52</v>
      </c>
      <c r="C11" s="5" t="s">
        <v>242</v>
      </c>
      <c r="D11" s="5"/>
      <c r="E11" s="5"/>
      <c r="F11" s="6" t="s">
        <v>55</v>
      </c>
      <c r="G11" s="5" t="s">
        <v>243</v>
      </c>
      <c r="H11" s="5"/>
      <c r="I11" s="5"/>
      <c r="J11" s="5" t="s">
        <v>244</v>
      </c>
      <c r="K11" s="5" t="s">
        <v>164</v>
      </c>
      <c r="L11" s="5" t="s">
        <v>71</v>
      </c>
      <c r="M11" s="6" t="s">
        <v>55</v>
      </c>
      <c r="N11" s="5" t="s">
        <v>245</v>
      </c>
      <c r="O11" s="5" t="s">
        <v>63</v>
      </c>
      <c r="P11" s="5"/>
      <c r="Q11" s="5"/>
      <c r="R11" s="5"/>
    </row>
  </sheetData>
  <mergeCells count="1">
    <mergeCell ref="A2:R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R9"/>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8" customWidth="1"/>
    <col min="2" max="2" width="14" customWidth="1"/>
    <col min="3" max="3" width="32" customWidth="1"/>
    <col min="4" max="5" width="12" customWidth="1"/>
    <col min="6" max="6" width="14" customWidth="1"/>
    <col min="7" max="7" width="45" customWidth="1"/>
    <col min="8" max="10" width="14" customWidth="1"/>
    <col min="11" max="11" width="20" customWidth="1"/>
    <col min="12" max="12" width="18" customWidth="1"/>
    <col min="13" max="13" width="14" customWidth="1"/>
    <col min="14" max="14" width="30" customWidth="1"/>
    <col min="15" max="15" width="16" customWidth="1"/>
    <col min="16" max="17" width="12" customWidth="1"/>
    <col min="18" max="18" width="25" customWidth="1"/>
  </cols>
  <sheetData>
    <row r="2" spans="1:18" ht="26.25" x14ac:dyDescent="0.4">
      <c r="A2" s="13" t="s">
        <v>246</v>
      </c>
      <c r="B2" s="13"/>
      <c r="C2" s="13"/>
      <c r="D2" s="13"/>
      <c r="E2" s="13"/>
      <c r="F2" s="13"/>
      <c r="G2" s="13"/>
      <c r="H2" s="13"/>
      <c r="I2" s="13"/>
      <c r="J2" s="13"/>
      <c r="K2" s="13"/>
      <c r="L2" s="13"/>
      <c r="M2" s="13"/>
      <c r="N2" s="13"/>
      <c r="O2" s="13"/>
      <c r="P2" s="13"/>
      <c r="Q2" s="13"/>
      <c r="R2" s="13"/>
    </row>
    <row r="4" spans="1:18" ht="24" x14ac:dyDescent="0.25">
      <c r="A4" s="3" t="s">
        <v>33</v>
      </c>
      <c r="B4" s="3" t="s">
        <v>34</v>
      </c>
      <c r="C4" s="3" t="s">
        <v>35</v>
      </c>
      <c r="D4" s="3" t="s">
        <v>36</v>
      </c>
      <c r="E4" s="3" t="s">
        <v>37</v>
      </c>
      <c r="F4" s="3" t="s">
        <v>38</v>
      </c>
      <c r="G4" s="3" t="s">
        <v>39</v>
      </c>
      <c r="H4" s="3" t="s">
        <v>40</v>
      </c>
      <c r="I4" s="3" t="s">
        <v>41</v>
      </c>
      <c r="J4" s="3" t="s">
        <v>42</v>
      </c>
      <c r="K4" s="3" t="s">
        <v>43</v>
      </c>
      <c r="L4" s="3" t="s">
        <v>44</v>
      </c>
      <c r="M4" s="3" t="s">
        <v>45</v>
      </c>
      <c r="N4" s="3" t="s">
        <v>46</v>
      </c>
      <c r="O4" s="3" t="s">
        <v>47</v>
      </c>
      <c r="P4" s="3" t="s">
        <v>48</v>
      </c>
      <c r="Q4" s="3" t="s">
        <v>49</v>
      </c>
      <c r="R4" s="3" t="s">
        <v>50</v>
      </c>
    </row>
    <row r="5" spans="1:18" ht="36" x14ac:dyDescent="0.25">
      <c r="A5" s="4" t="s">
        <v>247</v>
      </c>
      <c r="B5" s="5" t="s">
        <v>80</v>
      </c>
      <c r="C5" s="5" t="s">
        <v>248</v>
      </c>
      <c r="D5" s="5" t="s">
        <v>249</v>
      </c>
      <c r="E5" s="5"/>
      <c r="F5" s="6" t="s">
        <v>55</v>
      </c>
      <c r="G5" s="5" t="s">
        <v>250</v>
      </c>
      <c r="H5" s="5" t="s">
        <v>251</v>
      </c>
      <c r="I5" s="5" t="s">
        <v>252</v>
      </c>
      <c r="J5" s="5"/>
      <c r="K5" s="5" t="s">
        <v>253</v>
      </c>
      <c r="L5" s="5" t="s">
        <v>254</v>
      </c>
      <c r="M5" s="6" t="s">
        <v>55</v>
      </c>
      <c r="N5" s="5" t="s">
        <v>255</v>
      </c>
      <c r="O5" s="5" t="s">
        <v>63</v>
      </c>
      <c r="P5" s="5"/>
      <c r="Q5" s="5"/>
      <c r="R5" s="5"/>
    </row>
    <row r="6" spans="1:18" ht="36" x14ac:dyDescent="0.25">
      <c r="A6" s="4" t="s">
        <v>256</v>
      </c>
      <c r="B6" s="5" t="s">
        <v>80</v>
      </c>
      <c r="C6" s="5" t="s">
        <v>257</v>
      </c>
      <c r="D6" s="5" t="s">
        <v>258</v>
      </c>
      <c r="E6" s="5"/>
      <c r="F6" s="6" t="s">
        <v>55</v>
      </c>
      <c r="G6" s="5" t="s">
        <v>259</v>
      </c>
      <c r="H6" s="5" t="s">
        <v>260</v>
      </c>
      <c r="I6" s="5"/>
      <c r="J6" s="5"/>
      <c r="K6" s="5" t="s">
        <v>221</v>
      </c>
      <c r="L6" s="5" t="s">
        <v>61</v>
      </c>
      <c r="M6" s="6" t="s">
        <v>55</v>
      </c>
      <c r="N6" s="5" t="s">
        <v>261</v>
      </c>
      <c r="O6" s="5" t="s">
        <v>63</v>
      </c>
      <c r="P6" s="5"/>
      <c r="Q6" s="5"/>
      <c r="R6" s="5"/>
    </row>
    <row r="7" spans="1:18" ht="36" x14ac:dyDescent="0.25">
      <c r="A7" s="4" t="s">
        <v>262</v>
      </c>
      <c r="B7" s="5" t="s">
        <v>125</v>
      </c>
      <c r="C7" s="5" t="s">
        <v>263</v>
      </c>
      <c r="D7" s="5"/>
      <c r="E7" s="5"/>
      <c r="F7" s="6" t="s">
        <v>55</v>
      </c>
      <c r="G7" s="5" t="s">
        <v>264</v>
      </c>
      <c r="H7" s="5" t="s">
        <v>68</v>
      </c>
      <c r="I7" s="5" t="s">
        <v>68</v>
      </c>
      <c r="J7" s="5"/>
      <c r="K7" s="5" t="s">
        <v>129</v>
      </c>
      <c r="L7" s="5" t="s">
        <v>130</v>
      </c>
      <c r="M7" s="6" t="s">
        <v>55</v>
      </c>
      <c r="N7" s="5" t="s">
        <v>265</v>
      </c>
      <c r="O7" s="5" t="s">
        <v>63</v>
      </c>
      <c r="P7" s="5"/>
      <c r="Q7" s="5"/>
      <c r="R7" s="5"/>
    </row>
    <row r="8" spans="1:18" ht="24" x14ac:dyDescent="0.25">
      <c r="A8" s="4" t="s">
        <v>266</v>
      </c>
      <c r="B8" s="5" t="s">
        <v>189</v>
      </c>
      <c r="C8" s="5" t="s">
        <v>267</v>
      </c>
      <c r="D8" s="5" t="s">
        <v>268</v>
      </c>
      <c r="E8" s="5"/>
      <c r="F8" s="6" t="s">
        <v>55</v>
      </c>
      <c r="G8" s="5" t="s">
        <v>269</v>
      </c>
      <c r="H8" s="5"/>
      <c r="I8" s="5"/>
      <c r="J8" s="5"/>
      <c r="K8" s="5" t="s">
        <v>270</v>
      </c>
      <c r="L8" s="5" t="s">
        <v>122</v>
      </c>
      <c r="M8" s="6" t="s">
        <v>55</v>
      </c>
      <c r="N8" s="5" t="s">
        <v>271</v>
      </c>
      <c r="O8" s="5" t="s">
        <v>63</v>
      </c>
      <c r="P8" s="5"/>
      <c r="Q8" s="5"/>
      <c r="R8" s="5"/>
    </row>
    <row r="9" spans="1:18" ht="24" x14ac:dyDescent="0.25">
      <c r="A9" s="4" t="s">
        <v>272</v>
      </c>
      <c r="B9" s="5" t="s">
        <v>80</v>
      </c>
      <c r="C9" s="5" t="s">
        <v>273</v>
      </c>
      <c r="D9" s="5" t="s">
        <v>258</v>
      </c>
      <c r="E9" s="5"/>
      <c r="F9" s="6" t="s">
        <v>55</v>
      </c>
      <c r="G9" s="5" t="s">
        <v>274</v>
      </c>
      <c r="H9" s="5" t="s">
        <v>69</v>
      </c>
      <c r="I9" s="5"/>
      <c r="J9" s="5"/>
      <c r="K9" s="5" t="s">
        <v>275</v>
      </c>
      <c r="L9" s="5" t="s">
        <v>276</v>
      </c>
      <c r="M9" s="6" t="s">
        <v>55</v>
      </c>
      <c r="N9" s="5" t="s">
        <v>277</v>
      </c>
      <c r="O9" s="5" t="s">
        <v>63</v>
      </c>
      <c r="P9" s="5"/>
      <c r="Q9" s="5"/>
      <c r="R9" s="5"/>
    </row>
  </sheetData>
  <mergeCells count="1">
    <mergeCell ref="A2:R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3"/>
  <sheetViews>
    <sheetView showGridLines="0" zoomScaleNormal="100" workbookViewId="0"/>
  </sheetViews>
  <sheetFormatPr defaultColWidth="8.7109375" defaultRowHeight="15" x14ac:dyDescent="0.25"/>
  <cols>
    <col min="1" max="1" width="20" customWidth="1"/>
    <col min="2" max="2" width="16" customWidth="1"/>
    <col min="3" max="3" width="12" customWidth="1"/>
    <col min="4" max="5" width="14" customWidth="1"/>
  </cols>
  <sheetData>
    <row r="2" spans="1:8" ht="26.25" x14ac:dyDescent="0.4">
      <c r="A2" s="13" t="s">
        <v>278</v>
      </c>
      <c r="B2" s="13"/>
      <c r="C2" s="13"/>
      <c r="D2" s="13"/>
      <c r="E2" s="13"/>
      <c r="F2" s="13"/>
      <c r="G2" s="13"/>
      <c r="H2" s="13"/>
    </row>
    <row r="4" spans="1:8" ht="15.75" x14ac:dyDescent="0.25">
      <c r="A4" s="1" t="s">
        <v>279</v>
      </c>
    </row>
    <row r="6" spans="1:8" ht="24" x14ac:dyDescent="0.25">
      <c r="A6" s="3" t="s">
        <v>280</v>
      </c>
      <c r="B6" s="3" t="s">
        <v>281</v>
      </c>
      <c r="C6" s="3" t="s">
        <v>282</v>
      </c>
      <c r="D6" s="3" t="s">
        <v>55</v>
      </c>
      <c r="E6" s="3" t="s">
        <v>283</v>
      </c>
    </row>
    <row r="7" spans="1:8" x14ac:dyDescent="0.25">
      <c r="A7" s="7" t="s">
        <v>284</v>
      </c>
      <c r="B7" s="8">
        <f>COUNTA(International!A5:A50)</f>
        <v>6</v>
      </c>
      <c r="C7" s="9">
        <f>COUNTIF(International!M5:M50,"Compliant")</f>
        <v>0</v>
      </c>
      <c r="D7" s="10">
        <f>COUNTIF(International!M5:M50,"Not Assessed")</f>
        <v>6</v>
      </c>
      <c r="E7" s="11">
        <f>COUNTIF(International!M5:M50,"Non-Compliant")</f>
        <v>0</v>
      </c>
    </row>
    <row r="8" spans="1:8" x14ac:dyDescent="0.25">
      <c r="A8" s="7" t="s">
        <v>285</v>
      </c>
      <c r="B8" s="8">
        <f>COUNTA('United Kingdom'!A5:A50)</f>
        <v>13</v>
      </c>
      <c r="C8" s="9">
        <f>COUNTIF('United Kingdom'!M5:M50,"Compliant")</f>
        <v>0</v>
      </c>
      <c r="D8" s="10">
        <f>COUNTIF('United Kingdom'!M5:M50,"Not Assessed")</f>
        <v>13</v>
      </c>
      <c r="E8" s="11">
        <f>COUNTIF('United Kingdom'!M5:M50,"Non-Compliant")</f>
        <v>0</v>
      </c>
    </row>
    <row r="9" spans="1:8" x14ac:dyDescent="0.25">
      <c r="A9" s="7" t="s">
        <v>286</v>
      </c>
      <c r="B9" s="8">
        <f>COUNTA(Greece!A5:A50)</f>
        <v>6</v>
      </c>
      <c r="C9" s="9">
        <f>COUNTIF(Greece!M5:M50,"Compliant")</f>
        <v>0</v>
      </c>
      <c r="D9" s="10">
        <f>COUNTIF(Greece!M5:M50,"Not Assessed")</f>
        <v>6</v>
      </c>
      <c r="E9" s="11">
        <f>COUNTIF(Greece!M5:M50,"Non-Compliant")</f>
        <v>0</v>
      </c>
    </row>
    <row r="10" spans="1:8" x14ac:dyDescent="0.25">
      <c r="A10" s="7" t="s">
        <v>287</v>
      </c>
      <c r="B10" s="8">
        <f>COUNTA(Nigeria!A5:A50)</f>
        <v>7</v>
      </c>
      <c r="C10" s="9">
        <f>COUNTIF(Nigeria!M5:M50,"Compliant")</f>
        <v>0</v>
      </c>
      <c r="D10" s="10">
        <f>COUNTIF(Nigeria!M5:M50,"Not Assessed")</f>
        <v>7</v>
      </c>
      <c r="E10" s="11">
        <f>COUNTIF(Nigeria!M5:M50,"Non-Compliant")</f>
        <v>0</v>
      </c>
    </row>
    <row r="11" spans="1:8" x14ac:dyDescent="0.25">
      <c r="A11" s="7" t="s">
        <v>288</v>
      </c>
      <c r="B11" s="8">
        <f>COUNTA(UAE!A5:A50)</f>
        <v>5</v>
      </c>
      <c r="C11" s="9">
        <f>COUNTIF(UAE!M5:M50,"Compliant")</f>
        <v>0</v>
      </c>
      <c r="D11" s="10">
        <f>COUNTIF(UAE!M5:M50,"Not Assessed")</f>
        <v>5</v>
      </c>
      <c r="E11" s="11">
        <f>COUNTIF(UAE!M5:M50,"Non-Compliant")</f>
        <v>0</v>
      </c>
    </row>
    <row r="12" spans="1:8" x14ac:dyDescent="0.25">
      <c r="A12" s="12" t="s">
        <v>289</v>
      </c>
      <c r="B12" s="4">
        <f>SUM(B7:B11)</f>
        <v>37</v>
      </c>
      <c r="C12" s="4">
        <f>SUM(C7:C11)</f>
        <v>0</v>
      </c>
      <c r="D12" s="4">
        <f>SUM(D7:D11)</f>
        <v>37</v>
      </c>
      <c r="E12" s="4">
        <f>SUM(E7:E11)</f>
        <v>0</v>
      </c>
    </row>
    <row r="14" spans="1:8" ht="15.75" x14ac:dyDescent="0.25">
      <c r="A14" s="1" t="s">
        <v>290</v>
      </c>
    </row>
    <row r="16" spans="1:8" x14ac:dyDescent="0.25">
      <c r="A16" s="3" t="s">
        <v>34</v>
      </c>
      <c r="B16" s="3" t="s">
        <v>291</v>
      </c>
    </row>
    <row r="17" spans="1:2" x14ac:dyDescent="0.25">
      <c r="A17" s="7" t="s">
        <v>80</v>
      </c>
      <c r="B17" s="8">
        <f>COUNTIF(International!B5:B50,"OH&amp;S")+COUNTIF('United Kingdom'!B5:B50,"OH&amp;S")+COUNTIF(Greece!B5:B50,"OH&amp;S")+COUNTIF(Nigeria!B5:B50,"OH&amp;S")+COUNTIF(UAE!B5:B50,"OH&amp;S")</f>
        <v>16</v>
      </c>
    </row>
    <row r="18" spans="1:2" x14ac:dyDescent="0.25">
      <c r="A18" s="7" t="s">
        <v>52</v>
      </c>
      <c r="B18" s="8">
        <f>COUNTIF(International!B5:B50,"Maritime")+COUNTIF('United Kingdom'!B5:B50,"Maritime")+COUNTIF(Greece!B5:B50,"Maritime")+COUNTIF(Nigeria!B5:B50,"Maritime")+COUNTIF(UAE!B5:B50,"Maritime")</f>
        <v>8</v>
      </c>
    </row>
    <row r="19" spans="1:2" x14ac:dyDescent="0.25">
      <c r="A19" s="7" t="s">
        <v>189</v>
      </c>
      <c r="B19" s="8">
        <f>COUNTIF(International!B5:B50,"Labour")+COUNTIF('United Kingdom'!B5:B50,"Labour")+COUNTIF(Greece!B5:B50,"Labour")+COUNTIF(Nigeria!B5:B50,"Labour")+COUNTIF(UAE!B5:B50,"Labour")</f>
        <v>4</v>
      </c>
    </row>
    <row r="20" spans="1:2" x14ac:dyDescent="0.25">
      <c r="A20" s="7" t="s">
        <v>156</v>
      </c>
      <c r="B20" s="8">
        <f>COUNTIF(International!B5:B50,"Firearms")+COUNTIF('United Kingdom'!B5:B50,"Firearms")+COUNTIF(Greece!B5:B50,"Firearms")+COUNTIF(Nigeria!B5:B50,"Firearms")+COUNTIF(UAE!B5:B50,"Firearms")</f>
        <v>3</v>
      </c>
    </row>
    <row r="21" spans="1:2" x14ac:dyDescent="0.25">
      <c r="A21" s="7" t="s">
        <v>125</v>
      </c>
      <c r="B21" s="8">
        <f>COUNTIF(International!B5:B50,"Fire")+COUNTIF('United Kingdom'!B5:B50,"Fire")+COUNTIF(Greece!B5:B50,"Fire")+COUNTIF(Nigeria!B5:B50,"Fire")+COUNTIF(UAE!B5:B50,"Fire")</f>
        <v>4</v>
      </c>
    </row>
    <row r="22" spans="1:2" x14ac:dyDescent="0.25">
      <c r="A22" s="7" t="s">
        <v>88</v>
      </c>
      <c r="B22" s="8">
        <f>COUNTIF(International!B5:B50,"OH&amp;S / Security")+COUNTIF('United Kingdom'!B5:B50,"OH&amp;S / Security")+COUNTIF(Greece!B5:B50,"OH&amp;S / Security")+COUNTIF(Nigeria!B5:B50,"OH&amp;S / Security")+COUNTIF(UAE!B5:B50,"OH&amp;S / Security")</f>
        <v>1</v>
      </c>
    </row>
    <row r="23" spans="1:2" x14ac:dyDescent="0.25">
      <c r="A23" s="7" t="s">
        <v>97</v>
      </c>
      <c r="B23" s="8">
        <f>COUNTIF(International!B5:B50,"Firearms / Security")+COUNTIF('United Kingdom'!B5:B50,"Firearms / Security")+COUNTIF(Greece!B5:B50,"Firearms / Security")+COUNTIF(Nigeria!B5:B50,"Firearms / Security")+COUNTIF(UAE!B5:B50,"Firearms / Security")</f>
        <v>1</v>
      </c>
    </row>
  </sheetData>
  <mergeCells count="1">
    <mergeCell ref="A2:H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F24"/>
  <sheetViews>
    <sheetView showGridLines="0" zoomScaleNormal="100" workbookViewId="0">
      <selection activeCell="B27" sqref="B27"/>
    </sheetView>
  </sheetViews>
  <sheetFormatPr defaultColWidth="8.7109375" defaultRowHeight="15" x14ac:dyDescent="0.25"/>
  <cols>
    <col min="1" max="1" width="28" customWidth="1"/>
    <col min="2" max="2" width="80" customWidth="1"/>
  </cols>
  <sheetData>
    <row r="2" spans="1:6" ht="26.25" x14ac:dyDescent="0.4">
      <c r="A2" s="13" t="s">
        <v>292</v>
      </c>
      <c r="B2" s="13"/>
      <c r="C2" s="13"/>
      <c r="D2" s="13"/>
      <c r="E2" s="13"/>
      <c r="F2" s="13"/>
    </row>
    <row r="4" spans="1:6" ht="15.75" x14ac:dyDescent="0.25">
      <c r="A4" s="1" t="s">
        <v>293</v>
      </c>
    </row>
    <row r="6" spans="1:6" ht="15" customHeight="1" x14ac:dyDescent="0.25">
      <c r="A6" s="12" t="s">
        <v>33</v>
      </c>
      <c r="B6" s="17" t="s">
        <v>294</v>
      </c>
      <c r="C6" s="17"/>
      <c r="D6" s="17"/>
      <c r="E6" s="17"/>
      <c r="F6" s="18"/>
    </row>
    <row r="7" spans="1:6" ht="15" customHeight="1" x14ac:dyDescent="0.25">
      <c r="A7" s="12" t="s">
        <v>34</v>
      </c>
      <c r="B7" s="17" t="s">
        <v>295</v>
      </c>
      <c r="C7" s="17"/>
      <c r="D7" s="17"/>
      <c r="E7" s="17"/>
      <c r="F7" s="18"/>
    </row>
    <row r="8" spans="1:6" ht="15" customHeight="1" x14ac:dyDescent="0.25">
      <c r="A8" s="12" t="s">
        <v>35</v>
      </c>
      <c r="B8" s="17" t="s">
        <v>296</v>
      </c>
      <c r="C8" s="17"/>
      <c r="D8" s="17"/>
      <c r="E8" s="17"/>
      <c r="F8" s="18"/>
    </row>
    <row r="9" spans="1:6" ht="15" customHeight="1" x14ac:dyDescent="0.25">
      <c r="A9" s="12" t="s">
        <v>36</v>
      </c>
      <c r="B9" s="17" t="s">
        <v>297</v>
      </c>
      <c r="C9" s="17"/>
      <c r="D9" s="17"/>
      <c r="E9" s="17"/>
      <c r="F9" s="18"/>
    </row>
    <row r="10" spans="1:6" ht="15" customHeight="1" x14ac:dyDescent="0.25">
      <c r="A10" s="12" t="s">
        <v>37</v>
      </c>
      <c r="B10" s="17" t="s">
        <v>298</v>
      </c>
      <c r="C10" s="17"/>
      <c r="D10" s="17"/>
      <c r="E10" s="17"/>
      <c r="F10" s="18"/>
    </row>
    <row r="11" spans="1:6" ht="15" customHeight="1" x14ac:dyDescent="0.25">
      <c r="A11" s="12" t="s">
        <v>38</v>
      </c>
      <c r="B11" s="17" t="s">
        <v>299</v>
      </c>
      <c r="C11" s="17"/>
      <c r="D11" s="17"/>
      <c r="E11" s="17"/>
      <c r="F11" s="18"/>
    </row>
    <row r="12" spans="1:6" ht="15" customHeight="1" x14ac:dyDescent="0.25">
      <c r="A12" s="12" t="s">
        <v>39</v>
      </c>
      <c r="B12" s="17" t="s">
        <v>300</v>
      </c>
      <c r="C12" s="17"/>
      <c r="D12" s="17"/>
      <c r="E12" s="17"/>
      <c r="F12" s="18"/>
    </row>
    <row r="13" spans="1:6" ht="15" customHeight="1" x14ac:dyDescent="0.25">
      <c r="A13" s="12" t="s">
        <v>301</v>
      </c>
      <c r="B13" s="17" t="s">
        <v>302</v>
      </c>
      <c r="C13" s="17"/>
      <c r="D13" s="17"/>
      <c r="E13" s="17"/>
      <c r="F13" s="18"/>
    </row>
    <row r="14" spans="1:6" ht="15" customHeight="1" x14ac:dyDescent="0.25">
      <c r="A14" s="12" t="s">
        <v>43</v>
      </c>
      <c r="B14" s="17" t="s">
        <v>303</v>
      </c>
      <c r="C14" s="17"/>
      <c r="D14" s="17"/>
      <c r="E14" s="17"/>
      <c r="F14" s="18"/>
    </row>
    <row r="15" spans="1:6" ht="15" customHeight="1" x14ac:dyDescent="0.25">
      <c r="A15" s="12" t="s">
        <v>44</v>
      </c>
      <c r="B15" s="17" t="s">
        <v>304</v>
      </c>
      <c r="C15" s="17"/>
      <c r="D15" s="17"/>
      <c r="E15" s="17"/>
      <c r="F15" s="18"/>
    </row>
    <row r="16" spans="1:6" ht="15" customHeight="1" x14ac:dyDescent="0.25">
      <c r="A16" s="12" t="s">
        <v>45</v>
      </c>
      <c r="B16" s="17" t="s">
        <v>305</v>
      </c>
      <c r="C16" s="17"/>
      <c r="D16" s="17"/>
      <c r="E16" s="17"/>
      <c r="F16" s="18"/>
    </row>
    <row r="17" spans="1:6" ht="15" customHeight="1" x14ac:dyDescent="0.25">
      <c r="A17" s="12" t="s">
        <v>46</v>
      </c>
      <c r="B17" s="17" t="s">
        <v>306</v>
      </c>
      <c r="C17" s="17"/>
      <c r="D17" s="17"/>
      <c r="E17" s="17"/>
      <c r="F17" s="18"/>
    </row>
    <row r="18" spans="1:6" ht="15" customHeight="1" x14ac:dyDescent="0.25">
      <c r="A18" s="12" t="s">
        <v>47</v>
      </c>
      <c r="B18" s="17" t="s">
        <v>307</v>
      </c>
      <c r="C18" s="17"/>
      <c r="D18" s="17"/>
      <c r="E18" s="17"/>
      <c r="F18" s="18"/>
    </row>
    <row r="19" spans="1:6" ht="15" customHeight="1" x14ac:dyDescent="0.25">
      <c r="A19" s="12" t="s">
        <v>308</v>
      </c>
      <c r="B19" s="17" t="s">
        <v>309</v>
      </c>
      <c r="C19" s="17"/>
      <c r="D19" s="17"/>
      <c r="E19" s="17"/>
      <c r="F19" s="18"/>
    </row>
    <row r="20" spans="1:6" ht="15" customHeight="1" x14ac:dyDescent="0.25">
      <c r="A20" s="12" t="s">
        <v>50</v>
      </c>
      <c r="B20" s="17" t="s">
        <v>310</v>
      </c>
      <c r="C20" s="17"/>
      <c r="D20" s="17"/>
      <c r="E20" s="17"/>
      <c r="F20" s="18"/>
    </row>
    <row r="23" spans="1:6" ht="15.75" x14ac:dyDescent="0.25">
      <c r="A23" s="1" t="s">
        <v>311</v>
      </c>
    </row>
    <row r="24" spans="1:6" ht="32.85" customHeight="1" x14ac:dyDescent="0.25">
      <c r="A24" s="15" t="s">
        <v>312</v>
      </c>
      <c r="B24" s="15"/>
      <c r="C24" s="15"/>
      <c r="D24" s="15"/>
      <c r="E24" s="15"/>
      <c r="F24" s="15"/>
    </row>
  </sheetData>
  <mergeCells count="17">
    <mergeCell ref="A2:F2"/>
    <mergeCell ref="B6:F6"/>
    <mergeCell ref="B7:F7"/>
    <mergeCell ref="B8:F8"/>
    <mergeCell ref="B9:F9"/>
    <mergeCell ref="B10:F10"/>
    <mergeCell ref="B11:F11"/>
    <mergeCell ref="B12:F12"/>
    <mergeCell ref="B13:F13"/>
    <mergeCell ref="B14:F14"/>
    <mergeCell ref="B20:F20"/>
    <mergeCell ref="A24:F24"/>
    <mergeCell ref="B15:F15"/>
    <mergeCell ref="B16:F16"/>
    <mergeCell ref="B17:F17"/>
    <mergeCell ref="B18:F18"/>
    <mergeCell ref="B19:F19"/>
  </mergeCells>
  <pageMargins left="0.75" right="0.75" top="1" bottom="1"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F13"/>
  <sheetViews>
    <sheetView showGridLines="0" zoomScaleNormal="100" workbookViewId="0"/>
  </sheetViews>
  <sheetFormatPr defaultColWidth="8.7109375" defaultRowHeight="15" x14ac:dyDescent="0.25"/>
  <cols>
    <col min="1" max="1" width="100" customWidth="1"/>
  </cols>
  <sheetData>
    <row r="2" spans="1:6" ht="26.25" x14ac:dyDescent="0.4">
      <c r="A2" s="13" t="s">
        <v>313</v>
      </c>
      <c r="B2" s="13"/>
      <c r="C2" s="13"/>
      <c r="D2" s="13"/>
      <c r="E2" s="13"/>
      <c r="F2" s="13"/>
    </row>
    <row r="4" spans="1:6" x14ac:dyDescent="0.25">
      <c r="A4" s="14" t="s">
        <v>314</v>
      </c>
      <c r="B4" s="14"/>
      <c r="C4" s="14"/>
      <c r="D4" s="14"/>
      <c r="E4" s="14"/>
      <c r="F4" s="14"/>
    </row>
    <row r="5" spans="1:6" x14ac:dyDescent="0.25">
      <c r="A5" s="14" t="s">
        <v>315</v>
      </c>
      <c r="B5" s="14"/>
      <c r="C5" s="14"/>
      <c r="D5" s="14"/>
      <c r="E5" s="14"/>
      <c r="F5" s="14"/>
    </row>
    <row r="6" spans="1:6" x14ac:dyDescent="0.25">
      <c r="A6" s="14" t="s">
        <v>316</v>
      </c>
      <c r="B6" s="14"/>
      <c r="C6" s="14"/>
      <c r="D6" s="14"/>
      <c r="E6" s="14"/>
      <c r="F6" s="14"/>
    </row>
    <row r="7" spans="1:6" x14ac:dyDescent="0.25">
      <c r="A7" s="14" t="s">
        <v>317</v>
      </c>
      <c r="B7" s="14"/>
      <c r="C7" s="14"/>
      <c r="D7" s="14"/>
      <c r="E7" s="14"/>
      <c r="F7" s="14"/>
    </row>
    <row r="8" spans="1:6" x14ac:dyDescent="0.25">
      <c r="A8" s="14" t="s">
        <v>318</v>
      </c>
      <c r="B8" s="14"/>
      <c r="C8" s="14"/>
      <c r="D8" s="14"/>
      <c r="E8" s="14"/>
      <c r="F8" s="14"/>
    </row>
    <row r="9" spans="1:6" x14ac:dyDescent="0.25">
      <c r="A9" s="14" t="s">
        <v>319</v>
      </c>
      <c r="B9" s="14"/>
      <c r="C9" s="14"/>
      <c r="D9" s="14"/>
      <c r="E9" s="14"/>
      <c r="F9" s="14"/>
    </row>
    <row r="10" spans="1:6" x14ac:dyDescent="0.25">
      <c r="A10" s="14" t="s">
        <v>320</v>
      </c>
      <c r="B10" s="14"/>
      <c r="C10" s="14"/>
      <c r="D10" s="14"/>
      <c r="E10" s="14"/>
      <c r="F10" s="14"/>
    </row>
    <row r="11" spans="1:6" x14ac:dyDescent="0.25">
      <c r="A11" s="14" t="s">
        <v>321</v>
      </c>
      <c r="B11" s="14"/>
      <c r="C11" s="14"/>
      <c r="D11" s="14"/>
      <c r="E11" s="14"/>
      <c r="F11" s="14"/>
    </row>
    <row r="12" spans="1:6" x14ac:dyDescent="0.25">
      <c r="A12" s="14" t="s">
        <v>322</v>
      </c>
      <c r="B12" s="14"/>
      <c r="C12" s="14"/>
      <c r="D12" s="14"/>
      <c r="E12" s="14"/>
      <c r="F12" s="14"/>
    </row>
    <row r="13" spans="1:6" x14ac:dyDescent="0.25">
      <c r="A13" s="14" t="s">
        <v>323</v>
      </c>
      <c r="B13" s="14"/>
      <c r="C13" s="14"/>
      <c r="D13" s="14"/>
      <c r="E13" s="14"/>
      <c r="F13" s="14"/>
    </row>
  </sheetData>
  <mergeCells count="11">
    <mergeCell ref="A2:F2"/>
    <mergeCell ref="A4:F4"/>
    <mergeCell ref="A5:F5"/>
    <mergeCell ref="A6:F6"/>
    <mergeCell ref="A7:F7"/>
    <mergeCell ref="A13:F13"/>
    <mergeCell ref="A8:F8"/>
    <mergeCell ref="A9:F9"/>
    <mergeCell ref="A10:F10"/>
    <mergeCell ref="A11:F11"/>
    <mergeCell ref="A12:F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Register Information</vt:lpstr>
      <vt:lpstr>International</vt:lpstr>
      <vt:lpstr>United Kingdom</vt:lpstr>
      <vt:lpstr>Greece</vt:lpstr>
      <vt:lpstr>Nigeria</vt:lpstr>
      <vt:lpstr>UAE</vt:lpstr>
      <vt:lpstr>Dashboard</vt:lpstr>
      <vt:lpstr>Methodology</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Darren Watts</cp:lastModifiedBy>
  <cp:revision>0</cp:revision>
  <dcterms:created xsi:type="dcterms:W3CDTF">2026-04-01T11:13:05Z</dcterms:created>
  <dcterms:modified xsi:type="dcterms:W3CDTF">2026-04-10T04:43:21Z</dcterms:modified>
  <dc:language>en-US</dc:language>
</cp:coreProperties>
</file>