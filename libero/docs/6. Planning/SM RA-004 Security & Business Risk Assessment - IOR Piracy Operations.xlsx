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4 Series (Security and Business - ISO 18788)/"/>
    </mc:Choice>
  </mc:AlternateContent>
  <xr:revisionPtr revIDLastSave="7" documentId="11_11FF190B462F3F4A867C144F83007E5461F5B740" xr6:coauthVersionLast="47" xr6:coauthVersionMax="47" xr10:uidLastSave="{2CB3158B-B845-4618-A4DA-589C491CDF9B}"/>
  <bookViews>
    <workbookView xWindow="-120" yWindow="-120" windowWidth="77040" windowHeight="21120" tabRatio="500" activeTab="2" xr2:uid="{00000000-000D-0000-FFFF-FFFF00000000}"/>
  </bookViews>
  <sheets>
    <sheet name="RA Information" sheetId="1" r:id="rId1"/>
    <sheet name="Methodology" sheetId="2" r:id="rId2"/>
    <sheet name="Risk Assessment" sheetId="3" r:id="rId3"/>
    <sheet name="Risk Dashboar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4" l="1"/>
  <c r="C23" i="4"/>
  <c r="C22" i="4"/>
  <c r="C21" i="4"/>
  <c r="C20" i="4"/>
  <c r="C19" i="4"/>
  <c r="B6" i="4"/>
  <c r="U24" i="3"/>
  <c r="V24" i="3" s="1"/>
  <c r="N24" i="3"/>
  <c r="G24" i="3"/>
  <c r="O24" i="3" s="1"/>
  <c r="U23" i="3"/>
  <c r="V23" i="3" s="1"/>
  <c r="N23" i="3"/>
  <c r="G23" i="3"/>
  <c r="O23" i="3" s="1"/>
  <c r="V22" i="3"/>
  <c r="U22" i="3"/>
  <c r="P22" i="3"/>
  <c r="O22" i="3"/>
  <c r="E22" i="4" s="1"/>
  <c r="N22" i="3"/>
  <c r="G22" i="3"/>
  <c r="V21" i="3"/>
  <c r="U21" i="3"/>
  <c r="N21" i="3"/>
  <c r="O21" i="3" s="1"/>
  <c r="G21" i="3"/>
  <c r="U20" i="3"/>
  <c r="V20" i="3" s="1"/>
  <c r="N20" i="3"/>
  <c r="G20" i="3"/>
  <c r="O20" i="3" s="1"/>
  <c r="U19" i="3"/>
  <c r="V19" i="3" s="1"/>
  <c r="N19" i="3"/>
  <c r="G19" i="3"/>
  <c r="O19" i="3" s="1"/>
  <c r="U18" i="3"/>
  <c r="V18" i="3" s="1"/>
  <c r="N18" i="3"/>
  <c r="G18" i="3"/>
  <c r="O18" i="3" s="1"/>
  <c r="P18" i="3" s="1"/>
  <c r="V17" i="3"/>
  <c r="U17" i="3"/>
  <c r="O17" i="3"/>
  <c r="P17" i="3" s="1"/>
  <c r="N17" i="3"/>
  <c r="G17" i="3"/>
  <c r="U16" i="3"/>
  <c r="V16" i="3" s="1"/>
  <c r="N16" i="3"/>
  <c r="O16" i="3" s="1"/>
  <c r="P16" i="3" s="1"/>
  <c r="G16" i="3"/>
  <c r="V15" i="3"/>
  <c r="U15" i="3"/>
  <c r="N15" i="3"/>
  <c r="G15" i="3"/>
  <c r="O15" i="3" s="1"/>
  <c r="U14" i="3"/>
  <c r="V14" i="3" s="1"/>
  <c r="N14" i="3"/>
  <c r="G14" i="3"/>
  <c r="O14" i="3" s="1"/>
  <c r="P14" i="3" s="1"/>
  <c r="U13" i="3"/>
  <c r="V13" i="3" s="1"/>
  <c r="N13" i="3"/>
  <c r="G13" i="3"/>
  <c r="O13" i="3" s="1"/>
  <c r="V12" i="3"/>
  <c r="U12" i="3"/>
  <c r="P12" i="3"/>
  <c r="O12" i="3"/>
  <c r="N12" i="3"/>
  <c r="G12" i="3"/>
  <c r="V11" i="3"/>
  <c r="U11" i="3"/>
  <c r="N11" i="3"/>
  <c r="O11" i="3" s="1"/>
  <c r="P11" i="3" s="1"/>
  <c r="G11" i="3"/>
  <c r="U10" i="3"/>
  <c r="V10" i="3" s="1"/>
  <c r="N10" i="3"/>
  <c r="G10" i="3"/>
  <c r="O10" i="3" s="1"/>
  <c r="U9" i="3"/>
  <c r="V9" i="3" s="1"/>
  <c r="N9" i="3"/>
  <c r="G9" i="3"/>
  <c r="O9" i="3" s="1"/>
  <c r="U8" i="3"/>
  <c r="V8" i="3" s="1"/>
  <c r="P8" i="3"/>
  <c r="O8" i="3"/>
  <c r="N8" i="3"/>
  <c r="G8" i="3"/>
  <c r="V7" i="3"/>
  <c r="U7" i="3"/>
  <c r="O7" i="3"/>
  <c r="P7" i="3" s="1"/>
  <c r="N7" i="3"/>
  <c r="G7" i="3"/>
  <c r="U6" i="3"/>
  <c r="V6" i="3" s="1"/>
  <c r="N6" i="3"/>
  <c r="O6" i="3" s="1"/>
  <c r="P6" i="3" s="1"/>
  <c r="G6" i="3"/>
  <c r="V5" i="3"/>
  <c r="U5" i="3"/>
  <c r="N5" i="3"/>
  <c r="G5" i="3"/>
  <c r="O5" i="3" s="1"/>
  <c r="E23" i="4" l="1"/>
  <c r="P23" i="3"/>
  <c r="D21" i="4"/>
  <c r="P10" i="3"/>
  <c r="E24" i="4"/>
  <c r="P24" i="3"/>
  <c r="E21" i="4"/>
  <c r="P21" i="3"/>
  <c r="D22" i="4"/>
  <c r="P13" i="3"/>
  <c r="D24" i="4"/>
  <c r="E19" i="4"/>
  <c r="P19" i="3"/>
  <c r="P9" i="3"/>
  <c r="D20" i="4"/>
  <c r="E20" i="4"/>
  <c r="P20" i="3"/>
  <c r="D23" i="4"/>
  <c r="P15" i="3"/>
  <c r="D9" i="4"/>
  <c r="B9" i="4"/>
  <c r="P5" i="3"/>
  <c r="D19" i="4"/>
  <c r="E13" i="4" l="1"/>
  <c r="F9" i="4"/>
  <c r="E12" i="4"/>
  <c r="H6" i="4"/>
  <c r="F6" i="4"/>
  <c r="D6" i="4"/>
  <c r="E14" i="4"/>
  <c r="E15" i="4"/>
</calcChain>
</file>

<file path=xl/sharedStrings.xml><?xml version="1.0" encoding="utf-8"?>
<sst xmlns="http://schemas.openxmlformats.org/spreadsheetml/2006/main" count="317" uniqueCount="239">
  <si>
    <t>SECURITY &amp; BUSINESS RISK ASSESSMENT</t>
  </si>
  <si>
    <t>PROBABILITY</t>
  </si>
  <si>
    <t>CONSEQUENCE</t>
  </si>
  <si>
    <t>PRE-RISK</t>
  </si>
  <si>
    <t>POST-RISK</t>
  </si>
  <si>
    <t>Ref</t>
  </si>
  <si>
    <t>Risk
Category</t>
  </si>
  <si>
    <t>Risk / Threat Description</t>
  </si>
  <si>
    <t>Affected
Processes</t>
  </si>
  <si>
    <t>Likelihood
(1-5)</t>
  </si>
  <si>
    <t>Prev.
Occurrences
(1-5)</t>
  </si>
  <si>
    <t>Prob.
Rating</t>
  </si>
  <si>
    <t>Loss of
Client/
Contract</t>
  </si>
  <si>
    <t>Inability
to Meet Job
Requirements</t>
  </si>
  <si>
    <t>Risk to
Human
Health</t>
  </si>
  <si>
    <t>Violation
of
Regulations</t>
  </si>
  <si>
    <t>Company
Reputation</t>
  </si>
  <si>
    <t>Cost of
Correction/
Financial</t>
  </si>
  <si>
    <t>Cons.
Rating</t>
  </si>
  <si>
    <t>Pre-Risk
Rating</t>
  </si>
  <si>
    <t>Risk
Level</t>
  </si>
  <si>
    <t>Risk
Treatment</t>
  </si>
  <si>
    <t>Control Measures (Mitigation Plan)</t>
  </si>
  <si>
    <t>Post-Prob.
Rating</t>
  </si>
  <si>
    <t>Post-Cons.
Rating</t>
  </si>
  <si>
    <t>Post-Risk
Rating</t>
  </si>
  <si>
    <t>Responsibility</t>
  </si>
  <si>
    <t>Status</t>
  </si>
  <si>
    <t>SEC-001</t>
  </si>
  <si>
    <t>POLITICAL</t>
  </si>
  <si>
    <t>Somali piracy resurgence since October 2025. PAGs operating 300-800nm offshore using hijacked dhows as motherships. HELLAS APHRODITE hijacked Nov 2025 (560nm SE of Eyl). Up to 19 dhows hijacked since Nov 2025. Houthi-pirate technology transfer confirmed (advanced GPS, weapons). EU NAVFOR ATALANTA capacity stretched by Red Sea/Iran crisis diversion.</t>
  </si>
  <si>
    <t>Operations
Security</t>
  </si>
  <si>
    <t>TREAT</t>
  </si>
  <si>
    <t>Mandatory BMP-MS compliance on all transits (speed &gt;15kts where possible, enhanced watch routines, razor wire, water spray). Daily intelligence updates from Dryad Global/UKMTO/MSCHOA before and during transit. Minimum 4-man PCASP team with appropriately scaled weapons fit. Transit planning to avoid known PAG operating areas — route via IRTC where applicable. Pre-deployment intelligence briefing to PCASP TL covering current PAG TTPs, mothership descriptions, and known operating areas. Vessel hardening inspection per SM SOP Annex C before entering HRA. Citadel plan confirmed and tested with Master before transit.</t>
  </si>
  <si>
    <t>Operations Manager / PCASP TL</t>
  </si>
  <si>
    <t>Open</t>
  </si>
  <si>
    <t>SEC-002</t>
  </si>
  <si>
    <t>Geopolitical instability in the Horn of Africa. Al-Shabaab influence on Somali coastal regions, Houthi-pirate nexus confirmed, and weakened Somali/Puntland maritime enforcement. PMPF capability reduced. Risk of pirate groups obtaining more sophisticated weaponry and intelligence from Houthi collaboration.</t>
  </si>
  <si>
    <t>Operations
Intelligence</t>
  </si>
  <si>
    <t>Intelligence subscription maintained (Dryad Global, Ambrey, PVI). Weekly threat assessment updates distributed to Ops team and PCASP TLs. Liaison with EU NAVFOR ATALANTA and CMF for naval patrol schedules and escort availability. Escalation protocol: if intelligence indicates Houthi-pirate collaboration in specific area, reroute or delay transit. Regional security network maintained through SAMI membership and industry contacts.</t>
  </si>
  <si>
    <t>Group Compliance Director / Intelligence</t>
  </si>
  <si>
    <t>SEC-003</t>
  </si>
  <si>
    <t>Iran-US conflict (active since 28 Feb 2026) impacting wider Indian Ocean security posture. Naval assets redeployed from anti-piracy to conflict operations. Strait of Hormuz effectively closed. Gulf of Aden corridor security degraded. Houthi Red Sea attacks paused but "fingers on trigger" — could resume at any time, further degrading IOR transit safety.</t>
  </si>
  <si>
    <t>Operations
Planning</t>
  </si>
  <si>
    <t>Ongoing monitoring of Iran-US conflict and impact on IOR naval presence. Contingency routing plans for Gulf of Aden disruption (alternative embark/disembark ports). Client communication protocol for threat level changes affecting transit timelines. War risk insurance reviewed and updated quarterly. If Houthi attacks resume in Red Sea, immediate review of all active transits and suspension of non-essential movements.</t>
  </si>
  <si>
    <t>Group Compliance Director / CCO</t>
  </si>
  <si>
    <t>SEC-004</t>
  </si>
  <si>
    <t>ECONOMIC</t>
  </si>
  <si>
    <t>War risk insurance premiums spiking across IOR. Joint War Committee listed areas expanding. Client cost sensitivity increasing. Some clients deferring transits or rerouting via Cape of Good Hope, reducing demand for IOR PCASP services. Revenue impact from reduced transit volumes.</t>
  </si>
  <si>
    <t>Business Dev
Finance</t>
  </si>
  <si>
    <t>Diversified client base — not dependent on single shipping lane or client. Flexible PCASP deployment model to scale down costs during low-demand periods. Insurance costs monitored quarterly and passed through to clients where contractually permissible. Alternative revenue streams maintained (WAF, consultancy, Seagull Offshore). Financial forecasting model updated monthly reflecting transit volume trends.</t>
  </si>
  <si>
    <t>CCO / Finance</t>
  </si>
  <si>
    <t>SEC-005</t>
  </si>
  <si>
    <t>Contractual exposure from piracy incidents during transit. Client vessels attacked or boarded while under Seagull protection could trigger contractual liability, reputational damage, and insurance claims. GUARDCON limitations and exclusions need clear communication.</t>
  </si>
  <si>
    <t>Business Dev
Legal</t>
  </si>
  <si>
    <t>TRANSFER / TREAT</t>
  </si>
  <si>
    <t>GUARDCON contract terms clearly define liability limitations and exclusions. Professional Indemnity and Public Liability insurance maintained at levels appropriate to contract values. Pre-transit Risk Assessment completed and signed off before every deployment. Post-incident legal response protocol established with Tatham Law (retained legal advisors). Incident documentation procedure per SM SOP Annex F — evidence preservation from first contact. Client briefing on shared responsibility model during pre-transit engagement.</t>
  </si>
  <si>
    <t>Group Compliance Director / Legal</t>
  </si>
  <si>
    <t>SEC-006</t>
  </si>
  <si>
    <t>SOCIAL</t>
  </si>
  <si>
    <t>PCASP welfare and fatigue during extended embarkations. Monsoon season (Jun-Sep SW, Oct-Dec NE) restricts operations and extends deployment times. Remote operating environment with limited communication, medical support, and shore leave. Mental health and wellbeing risks for deployed personnel.</t>
  </si>
  <si>
    <t>HR
Operations</t>
  </si>
  <si>
    <t>Maximum embarkation duration policy (28 days unless exceptional circumstances approved by Ops Director). Welfare check-in protocol — PCASP TL reports crew welfare status daily to Ops. Satellite phone/email access for personal communications. Mental health awareness included in pre-deployment briefing. Rotation planning to avoid back-to-back deployments without minimum rest period (14 days). Monsoon season operational restrictions documented in SM SOP — no personnel transfers in sea state &gt;4.</t>
  </si>
  <si>
    <t>Operations Manager / HR</t>
  </si>
  <si>
    <t>SEC-007</t>
  </si>
  <si>
    <t>Right to Life — use of force during piracy defence. PCASP may need to use lethal force to defend vessel and crew. Proportionality, rules for use of force (RUF), and escalation of force procedures must be strictly followed. Risk of disproportionate response, collateral damage to fishermen, or post-incident legal action. ISO 18788 Clause 6.1.1 human rights due diligence.</t>
  </si>
  <si>
    <t>Operations
Legal
Compliance</t>
  </si>
  <si>
    <t>Rules for Use of Force (RUF) trained, briefed, and signed by all PCASP before every deployment. Graduated response procedure: visual warning → audible warning → warning shots → disabling fire → aimed fire (last resort). Only TL-authorised escalation beyond warning shots. All use of force incidents reported immediately to Ops and Compliance per SM SOP Annex E. Post-incident debrief and evidence preservation (CCTV, logs, witness statements). Annual RUF refresher training mandatory. Fisherman identification training — recognition of legitimate fishing vessels vs. PAG skiffs.</t>
  </si>
  <si>
    <t>Group Compliance Director / PCASP TL</t>
  </si>
  <si>
    <t>SEC-008</t>
  </si>
  <si>
    <t>Freedom from Inhumane Treatment — captured or detained PCASP. If vessel boarded and PCASP detained by pirates, risk of hostage-taking, physical harm, and prolonged captivity. No guaranteed rescue capability. Historical precedent of years-long captivity in Somalia.</t>
  </si>
  <si>
    <t>Operations
HR</t>
  </si>
  <si>
    <t>Citadel procedures tested and briefed with Master and crew before entering HRA. SSAS activation protocol confirmed. Communication of vessel position to UKMTO/MSCHOA at all times in HRA. If boarded, PCASP trained in hostage survival procedures (resistance is not required — life preservation priority). K&amp;R insurance maintained. Crisis management plan in place with designated crisis management team. Family liaison officer designated in crisis plan. Post-incident psychological support contracted.</t>
  </si>
  <si>
    <t>Operations Manager / CEO</t>
  </si>
  <si>
    <t>SEC-009</t>
  </si>
  <si>
    <t>TECHNOLOGICAL</t>
  </si>
  <si>
    <t>Pirate technology escalation. Confirmed Houthi technology transfer to Somali PAGs — advanced GPS/satellite devices and weapons. Pirates now capable of tracking vessel movements and coordinating multi-skiff attacks at extended range. Traditional BMP-MS measures (speed, freeboard, razor wire) less effective against technologically enhanced attacks.</t>
  </si>
  <si>
    <t>Intelligence updates specifically monitoring pirate technology developments. Counter-surveillance awareness in pre-deployment briefs — AIS management, EMCON procedures where appropriate. Enhanced lookout procedures using thermal imaging and radar watch in addition to visual. PCASP weapon capability scaled to counter enhanced pirate armament — minimum rifle-calibre weapons. Regular review of BMP-MS effectiveness against evolving threat — additional hardening measures where BMP-MS baseline insufficient.</t>
  </si>
  <si>
    <t>Operations Manager / Intelligence</t>
  </si>
  <si>
    <t>SEC-010</t>
  </si>
  <si>
    <t>Communication and tracking limitations in remote IOR operating areas. Satellite phone and AIS coverage gaps. Delayed reporting to UKMTO/MSCHOA during incidents. VBA coordination challenges when operating 600+ nm offshore.</t>
  </si>
  <si>
    <t>Operations
Safety</t>
  </si>
  <si>
    <t>Dual satellite communication systems on all transits (primary + backup). Mandatory UKMTO registration and regular position reporting schedule (every 4 hours in HRA). VBA coordination protocol with defined communication windows and contingency for comms failure. Pre-deployment comms check with all equipment tested and confirmed operational. Spare sat phone batteries and charging equipment in PCASP deployment kit.</t>
  </si>
  <si>
    <t>SEC-011</t>
  </si>
  <si>
    <t>LEGAL</t>
  </si>
  <si>
    <t>Multi-jurisdictional weapons licensing and carriage. Flag state authorisations required (UK, Liberia, Panama, Palau, Guinea-Bissau). Transit through territorial waters of multiple states. Each jurisdiction has different requirements for weapons carriage, storage, and use. Licence renewal and compliance monitoring across multiple flag states.</t>
  </si>
  <si>
    <t>Compliance
Operations</t>
  </si>
  <si>
    <t>Weapons licence tracker maintained by Compliance — all flag state authorisations logged with expiry dates and renewal triggers (90 days before expiry). Territorial water transit planning — route to avoid jurisdictions where weapons carriage is prohibited or unclear. SM PRO document control procedure ensures current licence copies held onboard and at head office. New flag state applications initiated immediately when client confirms vessel flag. Legal review of any new jurisdiction before first transit.</t>
  </si>
  <si>
    <t>Group Compliance Director</t>
  </si>
  <si>
    <t>SEC-012</t>
  </si>
  <si>
    <t>Post-incident legal exposure from use of force. If PCASP discharges weapons, multiple jurisdictions may claim authority (flag state, coastal state, PCASP nationality state). Risk of criminal prosecution, civil liability, and regulatory investigation. Need for immediate legal response capability and evidence preservation protocols.</t>
  </si>
  <si>
    <t>Legal
Compliance</t>
  </si>
  <si>
    <t>Tatham Law retained for immediate legal advice following any use of force incident. Evidence preservation protocol: CCTV footage secured, bridge logs copied, PCASP individual statements taken within 2 hours, TL incident report within 6 hours. PCASP legal expenses insurance confirmed before deployment. Flag state notification protocol documented. Post-incident communication plan — no external statements without legal review. Annual tabletop exercise simulating post-UoF legal response.</t>
  </si>
  <si>
    <t>SEC-013</t>
  </si>
  <si>
    <t>VBA (Vessel-Based Armoury) regulatory compliance. Floating armouries operate in international waters but are subject to flag state and coastal state regulations. Weapons transfer at sea operations carry legal and safety risks. Palm Charters / PSS VBA management chain adds complexity.</t>
  </si>
  <si>
    <t>Operations
Compliance</t>
  </si>
  <si>
    <t>VBA operations conducted under documented procedure (weapons transfer SOP). VBA provider (Palm Charters via PSS) subject to Seagull supplier approval and annual review. Weapons inventory reconciliation at every embark/disembark — logged and countersigned. VBA flag state compliance confirmed before each weapons transfer. Spot audits of VBA conditions by Seagull Compliance (minimum annually). PSS management agreement reviewed annually to confirm legal separation and liability allocation.</t>
  </si>
  <si>
    <t>Group Compliance Director / Operations Manager</t>
  </si>
  <si>
    <t>SEC-014</t>
  </si>
  <si>
    <t>ISO 28007/28000/18788 certification maintenance. Piracy operations are the core certified activity. Any non-conformance during operations could jeopardise certification at next audit. Libero surveillance audits require demonstrated compliance across all operational activities. Shell approval standards add additional layer.</t>
  </si>
  <si>
    <t>Compliance
Business Dev</t>
  </si>
  <si>
    <t>Internal audit programme per MSP-A — IOR operations audited minimum annually. Pre-audit readiness checks 30 days before Libero surveillance audits. Shell finding closure tracker maintained (ref Session 2 Shell audit). Operational records (deployment reports, incident reports, training records) reviewed monthly for compliance gaps. Non-conformance reporting and CPA process per SM PRO — all operational NCRs tracked to closure. Management Review includes IOR operational compliance as standing agenda item.</t>
  </si>
  <si>
    <t>SEC-015</t>
  </si>
  <si>
    <t>ENVIRONMENTAL</t>
  </si>
  <si>
    <t>Monsoon season operational restrictions. SW monsoon (Jun-Sep) and NE monsoon (Oct-Dec) create dangerous sea states in the Somali Basin and Arabian Sea. Vessel transfer operations become high-risk. Embarkation/disembarkation delays. Small boat operations for PCASP deployment restricted. Increased risk of injury during personnel transfers.</t>
  </si>
  <si>
    <t>SM SOP defines monsoon season operational restrictions — no personnel transfers in sea state &gt;4. Alternative embarkation/disembarkation ports pre-planned for monsoon disruption (Salalah, Galle, Djibouti). Weather monitoring service subscription — 72hr and 24hr forecasts before any personnel transfer. Personnel transfer method statement (SM MS) briefed and signed before every transfer. PPE requirements for transfer operations specified and checked (lifejacket, helmet, gloves). Vessel freeboard assessment before transfer — minimum criteria documented.</t>
  </si>
  <si>
    <t>SEC-016</t>
  </si>
  <si>
    <t>Medical emergency in remote operating area. PCASP or crew medical emergency 400-800nm from nearest port. Limited medical equipment onboard. Helicopter MEDEVAC range restrictions. Monsoon weather may prevent evacuation. Delayed access to definitive medical care could result in death or permanent disability.</t>
  </si>
  <si>
    <t>Operations
HR
Safety</t>
  </si>
  <si>
    <t>PCASP medical kit scaled for remote operations — trauma kit, oxygen, defibrillator, prescription medications for team. Minimum one PCASP per team qualified as advanced first aider (STCW medical or equivalent). MEDEVAC plan prepared for every transit — nearest ports with hospital facilities, helicopter range, naval vessel locations. Telemedicine service contracted for remote medical consultation. Pre-deployment medical screening for all PCASP — fitness declaration and medical history reviewed.</t>
  </si>
  <si>
    <t>SEC-017</t>
  </si>
  <si>
    <t>Competitor undercutting and market pressure. Other PMSCs offering lower-cost PCASP services with reduced team sizes, lower-qualified personnel, or non-compliant operations. Client procurement decisions driven by cost over quality. Pressure to reduce prices or compromise standards to win contracts.</t>
  </si>
  <si>
    <t>Value-based pricing strategy — compete on quality, compliance record, and Shell approval, not price. Client DD packs maintained audit-ready at all times (ref SM-DD-NAV-IOR-2025). ISO certification and ICoCA membership prominently communicated in all tenders. Client testimonials and references programme maintained. Competitor intelligence monitored — know the market without compromising standards. Never reduce team sizes below safe minimums regardless of commercial pressure.</t>
  </si>
  <si>
    <t>CCO / Group Compliance Director</t>
  </si>
  <si>
    <t>SEC-018</t>
  </si>
  <si>
    <t>Non-discrimination in PCASP recruitment and deployment. Risk of discriminatory practices in team selection based on nationality, ethnicity, or religion. ISO 18788 Clause 6.1.1 requires human rights due diligence including non-discrimination. Operating in regions with complex ethnic/clan dynamics requires cultural awareness training.</t>
  </si>
  <si>
    <t>HR
Compliance</t>
  </si>
  <si>
    <t>Recruitment policy per SM POL — equal opportunities, no discrimination in PCASP selection. Team composition considers operational requirements (language skills, cultural awareness) without discriminatory criteria. Annual training includes human rights module per ISO 18788 requirements. Grievance and whistleblowing procedure per SM POL accessible to all deployed personnel. Regular review of team demographics against recruitment pool — identify and address any patterns.</t>
  </si>
  <si>
    <t>HR / Group Compliance Director</t>
  </si>
  <si>
    <t>SEC-019</t>
  </si>
  <si>
    <t>Weapons and equipment maintenance in maritime environment. Salt water corrosion, humidity, and temperature extremes degrade weapons reliability. Ammunition storage conditions onboard vessels. Equipment failure during a piracy defence event could prove fatal. PPE and body armour degradation in tropical maritime conditions.</t>
  </si>
  <si>
    <t>Weapons maintenance schedule per SM SOP Annex G — daily cleaning, weekly function check, post-incident strip and inspection. Ammunition storage conditions monitored (humidity, temperature) — rotation policy in place. Spare weapons carried on VBA as contingency for equipment failure. PPE inspection before every deployment — body armour, helmets, eye/ear protection checked and certified. Equipment defect reporting procedure — any failed equipment removed from service immediately and logged.</t>
  </si>
  <si>
    <t>PCASP TL / Operations Manager</t>
  </si>
  <si>
    <t>SEC-020</t>
  </si>
  <si>
    <t>Client due diligence and vetting requirements increasing. CSOs and major oil companies (Shell, ExxonMobil, Vitol) demanding higher standards of documentation, compliance evidence, and operational transparency. Failure to meet DD standards results in deselection. Seagull must maintain audit-ready DD packs at all times.</t>
  </si>
  <si>
    <t>DD packs updated quarterly and after any significant document change. OCIMF master form maintained as single source of truth (ref ocimf_master_answers.json). Navigation guide (SM-DD-NAV-IOR-2025) updated when folder structure changes. Pre-DD submission review by Compliance — no pack goes to client without GCD sign-off. Gap register maintained and actively closed. Client feedback post-DD incorporated into continuous improvement.</t>
  </si>
  <si>
    <t>SECURITY &amp; BUSINESS RISK ASSESSMENT — INDIAN OCEAN PIRACY OPERATIONS</t>
  </si>
  <si>
    <t>RISK MANAGEMENT INFORMATION</t>
  </si>
  <si>
    <t>Risk Assessment ID:</t>
  </si>
  <si>
    <t>SM RA-004-IOR-001</t>
  </si>
  <si>
    <t>Location:</t>
  </si>
  <si>
    <t>Indian Ocean Region — Somali Basin, Gulf of Aden, Arabian Sea</t>
  </si>
  <si>
    <t>Activity Description:</t>
  </si>
  <si>
    <t>Security and business risk assessment for armed anti-piracy operations (PCASP deployment) protecting commercial vessels transiting the Indian Ocean Region, including embarkation/disembarkation, transit security, and piracy defence operations.</t>
  </si>
  <si>
    <t>Applicable Standards:</t>
  </si>
  <si>
    <t>ISO 18788:2015, ISO 28007:2015, ISO 28000:2022, ISO 9001:2015, ISO 45001:2018</t>
  </si>
  <si>
    <t>BMP Reference:</t>
  </si>
  <si>
    <t>BMP-MS (Best Management Practices to Deter Piracy and Enhance Maritime Security)</t>
  </si>
  <si>
    <t>Assessment Date:</t>
  </si>
  <si>
    <t>23 March 2026</t>
  </si>
  <si>
    <t>Risk Owner:</t>
  </si>
  <si>
    <t>Assessed By:</t>
  </si>
  <si>
    <t>Darren Watts — Group Compliance Director</t>
  </si>
  <si>
    <t>Next Review:</t>
  </si>
  <si>
    <t>23 June 2026 (or following significant threat change)</t>
  </si>
  <si>
    <t>Classification:</t>
  </si>
  <si>
    <t>CONFIDENTIAL — INTERNAL USE ONLY</t>
  </si>
  <si>
    <t>Applicable Entities:</t>
  </si>
  <si>
    <t>Seagull Maritime Ltd (Malta), Seagull Maritime FZCo (UAE)</t>
  </si>
  <si>
    <t>Threat Sources:</t>
  </si>
  <si>
    <t>IMB Annual Report 2025, UKMTO, MSCHOA, EU NAVFOR ATALANTA, Dryad Global, Skuld, BMP-MS, Palaemon Maritime</t>
  </si>
  <si>
    <t>Responsible Persons:</t>
  </si>
  <si>
    <t>Senior Operations Manager, Group Compliance Director, Client Representative</t>
  </si>
  <si>
    <t>Senior Management have responsibility for approving armed anti-piracy operations based on the security and business risk profile. All risks rated High or Critical must be explicitly acknowledged before operations proceed.</t>
  </si>
  <si>
    <t>The Project Team must ensure all security, legal, commercial, and operational risks are understood and appropriate controls are in place before PCASP deployment. This includes compliance with BMP-MS, flag state requirements, and regional licensing.</t>
  </si>
  <si>
    <t>The Client is respectfully requested to review this assessment and provide any vessel-specific, route-specific, or operational information that may affect the risk profile.</t>
  </si>
  <si>
    <t>COMMUNICATION &amp; CONSULTATION / RECORDING &amp; REPORTING / MONITORING &amp; REVIEW</t>
  </si>
  <si>
    <t>This security and business risk assessment must be reviewed by Senior Management prior to commencement of operations. Findings must be communicated to all relevant personnel including Operations, Commercial, and PCASP team leaders. Any changes to the threat environment must trigger an immediate re-assessment.</t>
  </si>
  <si>
    <t>Monitoring: The risk profile must be reviewed if circumstances change materially — including changes to piracy threat levels (UKMTO/IMB advisories), flag state licensing requirements, insurance conditions, BMP-MS updates, or client operational requirements. Minimum review frequency: quarterly or following any significant incident.</t>
  </si>
  <si>
    <t>This assessment is complementary to SM RA-003 (Health &amp; Safety Risk Assessment) and must be read in conjunction with applicable SOPs (SMS/SOP/IO series), the company SMS, and current BMP-MS/MISTO guidance.</t>
  </si>
  <si>
    <t>SCOPE &amp; CONTEXT</t>
  </si>
  <si>
    <t>Seagull Maritime provides armed Private Contracted Armed Security Personnel (PCASP) for anti-piracy protection on commercial vessels transiting the Indian Ocean Region (IOR), including the Somali Basin, Gulf of Aden, Arabian Sea, and associated high-risk areas. Operations involve 3-4 man armed security teams deployed from floating armouries (OPL Galle, Grey Palm, Golden Palm, Moroni) to protect vessels against piracy, armed robbery, and hijack attempts. This assessment covers the full spectrum of security, political, economic, social, technological, legal, and environmental risks associated with these operations, including the resurgence of Somali piracy activity since October 2025.</t>
  </si>
  <si>
    <t>RISK ASSESSMENT METHODOLOGY</t>
  </si>
  <si>
    <t>Probability Rating x Consequence Rating = Risk Rating</t>
  </si>
  <si>
    <t>Likelihood</t>
  </si>
  <si>
    <t>Description</t>
  </si>
  <si>
    <t>Previous Occurrences</t>
  </si>
  <si>
    <t>Cannot occur / not applicable</t>
  </si>
  <si>
    <t>Has never occurred</t>
  </si>
  <si>
    <t>Unlikely to occur</t>
  </si>
  <si>
    <t>Has occurred once in similar ops</t>
  </si>
  <si>
    <t>Could occur at some point</t>
  </si>
  <si>
    <t>Has occurred more than once</t>
  </si>
  <si>
    <t>Likely to occur</t>
  </si>
  <si>
    <t>Has occurred frequently</t>
  </si>
  <si>
    <t>Almost certain to occur</t>
  </si>
  <si>
    <t>Common/expected occurrence</t>
  </si>
  <si>
    <t>CONSEQUENCE (6 Sub-Categories Averaged)</t>
  </si>
  <si>
    <t>Rating</t>
  </si>
  <si>
    <t>Loss of Client/Contract</t>
  </si>
  <si>
    <t>Inability to Meet Requirements</t>
  </si>
  <si>
    <t>Risk to Human Health</t>
  </si>
  <si>
    <t>Violation of Regulations</t>
  </si>
  <si>
    <t>Company Reputation</t>
  </si>
  <si>
    <t>Financial Impact</t>
  </si>
  <si>
    <t>No impact</t>
  </si>
  <si>
    <t>No injury</t>
  </si>
  <si>
    <t>No breach</t>
  </si>
  <si>
    <t>Negligible cost</t>
  </si>
  <si>
    <t>Minor dissatisfaction</t>
  </si>
  <si>
    <t>Minor delay</t>
  </si>
  <si>
    <t>First aid injury</t>
  </si>
  <si>
    <t>Minor non-compliance</t>
  </si>
  <si>
    <t>Local negative comment</t>
  </si>
  <si>
    <t>&lt;$10,000</t>
  </si>
  <si>
    <t>Formal complaint</t>
  </si>
  <si>
    <t>Partial failure</t>
  </si>
  <si>
    <t>Medical treatment</t>
  </si>
  <si>
    <t>Regulatory warning</t>
  </si>
  <si>
    <t>Industry-level negative</t>
  </si>
  <si>
    <t>$10,000-$100,000</t>
  </si>
  <si>
    <t>Contract at risk</t>
  </si>
  <si>
    <t>Major failure</t>
  </si>
  <si>
    <t>Serious injury/hospitalisation</t>
  </si>
  <si>
    <t>Formal investigation</t>
  </si>
  <si>
    <t>Media coverage</t>
  </si>
  <si>
    <t>$100,000-$1,000,000</t>
  </si>
  <si>
    <t>Contract terminated</t>
  </si>
  <si>
    <t>Total failure</t>
  </si>
  <si>
    <t>Death or permanent disability</t>
  </si>
  <si>
    <t>Criminal prosecution</t>
  </si>
  <si>
    <t>International media/boycott</t>
  </si>
  <si>
    <t>&gt;$1,000,000</t>
  </si>
  <si>
    <t>RISK RATING MATRIX (Probability × Consequence Average)</t>
  </si>
  <si>
    <t>Probability ↓ / Consequence →</t>
  </si>
  <si>
    <t>RISK LEVELS</t>
  </si>
  <si>
    <t>Low (1-4)</t>
  </si>
  <si>
    <t>Acceptable. Monitor and review.</t>
  </si>
  <si>
    <t>Moderate (5-12)</t>
  </si>
  <si>
    <t>Requires documented controls. Review regularly.</t>
  </si>
  <si>
    <t>High (13-16)</t>
  </si>
  <si>
    <t>Significant risk. Senior management approval required.</t>
  </si>
  <si>
    <t>Critical (17-25)</t>
  </si>
  <si>
    <t>Unacceptable. TERMINATE or redesign operation.</t>
  </si>
  <si>
    <t>RISK DASHBOARD</t>
  </si>
  <si>
    <t>KEY METRICS</t>
  </si>
  <si>
    <t>Total Risks</t>
  </si>
  <si>
    <t>Critical</t>
  </si>
  <si>
    <t>High</t>
  </si>
  <si>
    <t>Moderate</t>
  </si>
  <si>
    <t>Avg. Pre-Risk Rating</t>
  </si>
  <si>
    <t>Highest Pre-Risk Rating</t>
  </si>
  <si>
    <t>Low Risk Count</t>
  </si>
  <si>
    <t>PRE-RISK OUTLOOK</t>
  </si>
  <si>
    <t>RISK DISTRIBUTION BY PESTLE CATEGORY</t>
  </si>
  <si>
    <t>Category</t>
  </si>
  <si>
    <t>Count</t>
  </si>
  <si>
    <t>Avg Rating</t>
  </si>
  <si>
    <t>Highest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</si>
</sst>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charset val="1"/>
    </font>
    <font>
      <b/>
      <sz val="20"/>
      <color rgb="FF003C72"/>
      <name val="Avenir Next LT Pro"/>
      <charset val="1"/>
    </font>
    <font>
      <b/>
      <sz val="12"/>
      <color rgb="FFFFFFFF"/>
      <name val="Avenir Next LT Pro"/>
      <charset val="1"/>
    </font>
    <font>
      <b/>
      <sz val="9"/>
      <color rgb="FF003C72"/>
      <name val="Aptos"/>
      <charset val="1"/>
    </font>
    <font>
      <sz val="9"/>
      <name val="Aptos"/>
      <charset val="1"/>
    </font>
    <font>
      <b/>
      <sz val="12"/>
      <color rgb="FF003C72"/>
      <name val="Avenir Next LT Pro"/>
      <charset val="1"/>
    </font>
    <font>
      <b/>
      <sz val="9"/>
      <color rgb="FFFFFFFF"/>
      <name val="Aptos"/>
      <charset val="1"/>
    </font>
    <font>
      <b/>
      <sz val="9"/>
      <name val="Aptos"/>
      <charset val="1"/>
    </font>
    <font>
      <b/>
      <sz val="9"/>
      <color rgb="FF000000"/>
      <name val="Aptos"/>
      <charset val="1"/>
    </font>
    <font>
      <b/>
      <sz val="14"/>
      <color rgb="FF003C72"/>
      <name val="Aptos"/>
      <charset val="1"/>
    </font>
    <font>
      <b/>
      <sz val="10"/>
      <color rgb="FF003C72"/>
      <name val="Aptos"/>
      <charset val="1"/>
    </font>
    <font>
      <sz val="9"/>
      <color rgb="FFFFFFFF"/>
      <name val="Aptos"/>
    </font>
    <font>
      <b/>
      <sz val="12"/>
      <color rgb="FF003C72"/>
      <name val="Avenir Next LT Pro"/>
    </font>
    <font>
      <sz val="9"/>
      <name val="Aptos"/>
    </font>
    <font>
      <sz val="9"/>
      <color theme="1"/>
      <name val="Aptos"/>
    </font>
    <font>
      <b/>
      <sz val="12"/>
      <color theme="0"/>
      <name val="Avenir Next LT Pro"/>
      <family val="2"/>
    </font>
    <font>
      <b/>
      <sz val="9"/>
      <name val="Aptos"/>
    </font>
    <font>
      <b/>
      <sz val="12"/>
      <color rgb="FF003C72"/>
      <name val="Avenir Next LT Pro"/>
    </font>
    <font>
      <b/>
      <sz val="20"/>
      <color rgb="FF003C72"/>
      <name val="Avenir Next LT Pro"/>
    </font>
    <font>
      <b/>
      <sz val="12"/>
      <color rgb="FFFFFFFF"/>
      <name val="Avenir Next LT Pro"/>
    </font>
  </fonts>
  <fills count="12">
    <fill>
      <patternFill patternType="none"/>
    </fill>
    <fill>
      <patternFill patternType="gray125"/>
    </fill>
    <fill>
      <patternFill patternType="solid">
        <fgColor rgb="FF003C72"/>
        <bgColor rgb="FF333399"/>
      </patternFill>
    </fill>
    <fill>
      <patternFill patternType="solid">
        <fgColor rgb="FFE6EDF5"/>
        <bgColor rgb="FFFFFFFF"/>
      </patternFill>
    </fill>
    <fill>
      <patternFill patternType="solid">
        <fgColor rgb="FF92D050"/>
        <bgColor rgb="FFC0C0C0"/>
      </patternFill>
    </fill>
    <fill>
      <patternFill patternType="solid">
        <fgColor rgb="FFFFB347"/>
        <bgColor rgb="FFFF9900"/>
      </patternFill>
    </fill>
    <fill>
      <patternFill patternType="solid">
        <fgColor rgb="FFFF4444"/>
        <bgColor rgb="FFFF8080"/>
      </patternFill>
    </fill>
    <fill>
      <patternFill patternType="solid">
        <fgColor rgb="FFCC0000"/>
        <bgColor rgb="FF800000"/>
      </patternFill>
    </fill>
    <fill>
      <patternFill patternType="solid">
        <fgColor rgb="FF003C72"/>
        <bgColor rgb="FF003C72"/>
      </patternFill>
    </fill>
    <fill>
      <patternFill patternType="solid">
        <fgColor rgb="FFE6EDF5"/>
        <bgColor rgb="FFE6EDF5"/>
      </patternFill>
    </fill>
    <fill>
      <patternFill patternType="solid">
        <fgColor rgb="FFE6EDF5"/>
        <bgColor rgb="FFE6EDF5"/>
      </patternFill>
    </fill>
    <fill>
      <patternFill patternType="solid">
        <fgColor rgb="FF003C72"/>
        <bgColor rgb="FF003C72"/>
      </patternFill>
    </fill>
  </fills>
  <borders count="17">
    <border>
      <left/>
      <right/>
      <top/>
      <bottom/>
      <diagonal/>
    </border>
    <border>
      <left style="thin">
        <color rgb="FF003C72"/>
      </left>
      <right style="thin">
        <color rgb="FF003C72"/>
      </right>
      <top style="thin">
        <color rgb="FF003C72"/>
      </top>
      <bottom style="thin">
        <color rgb="FF003C72"/>
      </bottom>
      <diagonal/>
    </border>
    <border>
      <left style="thin">
        <color rgb="FF003C72"/>
      </left>
      <right/>
      <top style="thin">
        <color rgb="FF003C72"/>
      </top>
      <bottom style="thin">
        <color rgb="FF003C72"/>
      </bottom>
      <diagonal/>
    </border>
    <border>
      <left/>
      <right/>
      <top/>
      <bottom style="medium">
        <color rgb="FF003C72"/>
      </bottom>
      <diagonal/>
    </border>
    <border>
      <left/>
      <right style="thin">
        <color rgb="FF003C72"/>
      </right>
      <top style="thin">
        <color rgb="FF003C72"/>
      </top>
      <bottom style="thin">
        <color rgb="FF003C72"/>
      </bottom>
      <diagonal/>
    </border>
    <border>
      <left/>
      <right/>
      <top style="thin">
        <color rgb="FF003C72"/>
      </top>
      <bottom style="thin">
        <color rgb="FF003C72"/>
      </bottom>
      <diagonal/>
    </border>
    <border>
      <left style="thin">
        <color rgb="FF003C72"/>
      </left>
      <right style="thin">
        <color rgb="FF003C72"/>
      </right>
      <top style="thin">
        <color rgb="FF003C72"/>
      </top>
      <bottom style="thin">
        <color rgb="FF003C72"/>
      </bottom>
      <diagonal/>
    </border>
    <border>
      <left/>
      <right/>
      <top/>
      <bottom/>
      <diagonal/>
    </border>
    <border>
      <left style="thin">
        <color rgb="FF003C72"/>
      </left>
      <right style="thin">
        <color rgb="FF003C72"/>
      </right>
      <top style="thin">
        <color rgb="FF003C72"/>
      </top>
      <bottom style="thin">
        <color rgb="FF003C72"/>
      </bottom>
      <diagonal/>
    </border>
    <border>
      <left style="thin">
        <color rgb="FF003C72"/>
      </left>
      <right style="thin">
        <color rgb="FF003C72"/>
      </right>
      <top/>
      <bottom/>
      <diagonal/>
    </border>
    <border>
      <left style="thin">
        <color rgb="FF003C72"/>
      </left>
      <right style="thin">
        <color rgb="FF003C72"/>
      </right>
      <top/>
      <bottom style="thin">
        <color rgb="FF003C72"/>
      </bottom>
      <diagonal/>
    </border>
    <border>
      <left/>
      <right/>
      <top style="thin">
        <color rgb="FF003C72"/>
      </top>
      <bottom style="thin">
        <color rgb="FF003C72"/>
      </bottom>
      <diagonal/>
    </border>
    <border>
      <left/>
      <right style="thin">
        <color rgb="FF003C72"/>
      </right>
      <top style="thin">
        <color rgb="FF003C72"/>
      </top>
      <bottom style="thin">
        <color rgb="FF003C72"/>
      </bottom>
      <diagonal/>
    </border>
    <border>
      <left style="medium">
        <color rgb="FF003C72"/>
      </left>
      <right style="medium">
        <color rgb="FF003C72"/>
      </right>
      <top style="medium">
        <color rgb="FF003C72"/>
      </top>
      <bottom style="medium">
        <color rgb="FF003C72"/>
      </bottom>
      <diagonal/>
    </border>
    <border>
      <left style="medium">
        <color rgb="FF003C72"/>
      </left>
      <right/>
      <top style="medium">
        <color rgb="FF003C72"/>
      </top>
      <bottom style="medium">
        <color rgb="FF003C72"/>
      </bottom>
      <diagonal/>
    </border>
    <border>
      <left/>
      <right/>
      <top style="medium">
        <color rgb="FF003C72"/>
      </top>
      <bottom style="medium">
        <color rgb="FF003C72"/>
      </bottom>
      <diagonal/>
    </border>
    <border>
      <left/>
      <right style="medium">
        <color rgb="FF003C72"/>
      </right>
      <top style="medium">
        <color rgb="FF003C72"/>
      </top>
      <bottom style="medium">
        <color rgb="FF003C72"/>
      </bottom>
      <diagonal/>
    </border>
  </borders>
  <cellStyleXfs count="1">
    <xf numFmtId="0" fontId="0" fillId="0" borderId="0"/>
  </cellStyleXfs>
  <cellXfs count="63">
    <xf numFmtId="0" fontId="0" fillId="0" borderId="0" xfId="0"/>
    <xf numFmtId="0" fontId="6"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0" borderId="0" xfId="0" applyFont="1"/>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0" borderId="0" xfId="0" applyFont="1" applyAlignment="1">
      <alignment horizontal="center"/>
    </xf>
    <xf numFmtId="0" fontId="9" fillId="0" borderId="3" xfId="0" applyFont="1" applyBorder="1" applyAlignment="1">
      <alignment horizontal="center"/>
    </xf>
    <xf numFmtId="0" fontId="3" fillId="0" borderId="0" xfId="0" applyFont="1"/>
    <xf numFmtId="164" fontId="9" fillId="0" borderId="0" xfId="0" applyNumberFormat="1"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7" fillId="0" borderId="1" xfId="0" applyFont="1" applyBorder="1"/>
    <xf numFmtId="0" fontId="4" fillId="0" borderId="1" xfId="0" applyFont="1" applyBorder="1" applyAlignment="1">
      <alignment horizontal="center"/>
    </xf>
    <xf numFmtId="164" fontId="4" fillId="0" borderId="1" xfId="0" applyNumberFormat="1" applyFont="1" applyBorder="1" applyAlignment="1">
      <alignment horizontal="center"/>
    </xf>
    <xf numFmtId="0" fontId="7" fillId="3" borderId="1" xfId="0" applyFont="1" applyFill="1" applyBorder="1"/>
    <xf numFmtId="0" fontId="4" fillId="3" borderId="1" xfId="0" applyFont="1" applyFill="1" applyBorder="1" applyAlignment="1">
      <alignment horizontal="center"/>
    </xf>
    <xf numFmtId="164" fontId="4" fillId="3" borderId="1" xfId="0" applyNumberFormat="1" applyFont="1" applyFill="1" applyBorder="1" applyAlignment="1">
      <alignment horizontal="center"/>
    </xf>
    <xf numFmtId="0" fontId="11" fillId="8"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0" borderId="6" xfId="0" applyFont="1" applyBorder="1" applyAlignment="1">
      <alignment horizontal="left" vertical="center" wrapText="1"/>
    </xf>
    <xf numFmtId="164" fontId="13" fillId="0" borderId="6" xfId="0" applyNumberFormat="1" applyFont="1" applyBorder="1" applyAlignment="1">
      <alignment horizontal="center" vertical="center" wrapText="1"/>
    </xf>
    <xf numFmtId="0" fontId="13" fillId="9" borderId="6" xfId="0" applyFont="1" applyFill="1" applyBorder="1" applyAlignment="1">
      <alignment horizontal="center" vertical="center" wrapText="1"/>
    </xf>
    <xf numFmtId="0" fontId="13" fillId="9" borderId="6" xfId="0" applyFont="1" applyFill="1" applyBorder="1" applyAlignment="1">
      <alignment horizontal="left" vertical="center" wrapText="1"/>
    </xf>
    <xf numFmtId="164" fontId="13" fillId="9" borderId="6" xfId="0" applyNumberFormat="1" applyFont="1" applyFill="1" applyBorder="1" applyAlignment="1">
      <alignment horizontal="center" vertical="center" wrapText="1"/>
    </xf>
    <xf numFmtId="0" fontId="14" fillId="0" borderId="0" xfId="0" applyFont="1"/>
    <xf numFmtId="0" fontId="14" fillId="2" borderId="0" xfId="0" applyFont="1" applyFill="1"/>
    <xf numFmtId="0" fontId="13" fillId="0" borderId="7" xfId="0" applyFont="1" applyBorder="1"/>
    <xf numFmtId="0" fontId="16" fillId="10" borderId="13" xfId="0" applyFont="1" applyFill="1" applyBorder="1" applyAlignment="1">
      <alignment horizontal="left" vertical="top" wrapText="1"/>
    </xf>
    <xf numFmtId="0" fontId="13" fillId="0" borderId="13" xfId="0" applyFont="1" applyBorder="1" applyAlignment="1">
      <alignment horizontal="left" vertical="top" wrapText="1"/>
    </xf>
    <xf numFmtId="0" fontId="15" fillId="2" borderId="0" xfId="0" applyFont="1" applyFill="1" applyAlignment="1">
      <alignment horizontal="center" vertical="center" wrapText="1"/>
    </xf>
    <xf numFmtId="0" fontId="0" fillId="0" borderId="0" xfId="0"/>
    <xf numFmtId="0" fontId="12" fillId="2" borderId="0" xfId="0" applyFont="1" applyFill="1" applyAlignment="1">
      <alignment horizontal="center" vertical="center" wrapText="1"/>
    </xf>
    <xf numFmtId="0" fontId="1" fillId="0" borderId="0" xfId="0" applyFont="1" applyAlignment="1">
      <alignment horizontal="center" vertical="center" wrapText="1"/>
    </xf>
    <xf numFmtId="0" fontId="13" fillId="0" borderId="14" xfId="0" applyFont="1" applyBorder="1" applyAlignment="1">
      <alignment horizontal="left" vertical="top" wrapText="1"/>
    </xf>
    <xf numFmtId="0" fontId="0" fillId="0" borderId="15" xfId="0" applyBorder="1"/>
    <xf numFmtId="0" fontId="0" fillId="0" borderId="16" xfId="0" applyBorder="1"/>
    <xf numFmtId="0" fontId="18" fillId="0" borderId="0" xfId="0" applyFont="1" applyAlignment="1">
      <alignment horizontal="left" vertical="center" wrapText="1"/>
    </xf>
    <xf numFmtId="0" fontId="13" fillId="0" borderId="7" xfId="0" applyFont="1" applyBorder="1" applyAlignment="1">
      <alignment horizontal="left" vertical="top" wrapText="1"/>
    </xf>
    <xf numFmtId="0" fontId="19" fillId="11" borderId="0" xfId="0" applyFont="1" applyFill="1" applyAlignment="1">
      <alignment vertical="center"/>
    </xf>
    <xf numFmtId="0" fontId="13" fillId="0" borderId="8" xfId="0" applyFont="1" applyBorder="1" applyAlignment="1">
      <alignment horizontal="left" vertical="top" wrapText="1"/>
    </xf>
    <xf numFmtId="0" fontId="0" fillId="0" borderId="11" xfId="0" applyBorder="1"/>
    <xf numFmtId="0" fontId="0" fillId="0" borderId="12" xfId="0" applyBorder="1"/>
    <xf numFmtId="0" fontId="16" fillId="10" borderId="8" xfId="0" applyFont="1" applyFill="1" applyBorder="1" applyAlignment="1">
      <alignment vertical="top" wrapText="1"/>
    </xf>
    <xf numFmtId="0" fontId="0" fillId="0" borderId="9" xfId="0" applyBorder="1"/>
    <xf numFmtId="0" fontId="0" fillId="0" borderId="10" xfId="0" applyBorder="1"/>
    <xf numFmtId="0" fontId="17" fillId="0" borderId="7" xfId="0" applyFont="1" applyBorder="1" applyAlignment="1">
      <alignment vertical="center" wrapText="1"/>
    </xf>
    <xf numFmtId="0" fontId="6" fillId="6" borderId="0" xfId="0" applyFont="1" applyFill="1" applyAlignment="1">
      <alignment horizontal="center" vertical="center" wrapText="1"/>
    </xf>
    <xf numFmtId="0" fontId="4" fillId="0" borderId="2" xfId="0" applyFont="1" applyBorder="1" applyAlignment="1">
      <alignment horizontal="left" vertical="center" wrapText="1"/>
    </xf>
    <xf numFmtId="0" fontId="0" fillId="0" borderId="5" xfId="0" applyBorder="1"/>
    <xf numFmtId="0" fontId="4" fillId="0" borderId="6" xfId="0" applyFont="1" applyBorder="1" applyAlignment="1">
      <alignment horizontal="left" vertical="center" wrapText="1"/>
    </xf>
    <xf numFmtId="0" fontId="0" fillId="0" borderId="4" xfId="0" applyBorder="1"/>
    <xf numFmtId="0" fontId="8" fillId="5" borderId="0" xfId="0" applyFont="1" applyFill="1" applyAlignment="1">
      <alignment horizontal="center" vertical="center" wrapText="1"/>
    </xf>
    <xf numFmtId="0" fontId="2" fillId="2" borderId="0" xfId="0" applyFont="1" applyFill="1" applyAlignment="1">
      <alignment horizontal="center" vertical="center" wrapText="1"/>
    </xf>
    <xf numFmtId="0" fontId="4" fillId="3" borderId="6" xfId="0" applyFont="1" applyFill="1" applyBorder="1" applyAlignment="1">
      <alignment horizontal="left" vertical="center" wrapText="1"/>
    </xf>
    <xf numFmtId="0" fontId="8" fillId="4" borderId="0" xfId="0" applyFont="1" applyFill="1" applyAlignment="1">
      <alignment horizontal="center" vertical="center" wrapText="1"/>
    </xf>
    <xf numFmtId="0" fontId="6" fillId="7" borderId="0" xfId="0" applyFont="1" applyFill="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16">
    <dxf>
      <font>
        <sz val="9"/>
        <color rgb="FF006100"/>
        <name val="Aptos"/>
      </font>
      <fill>
        <patternFill>
          <fgColor rgb="FFC6EFCE"/>
          <bgColor rgb="FFC6EFCE"/>
        </patternFill>
      </fill>
    </dxf>
    <dxf>
      <font>
        <sz val="9"/>
        <color rgb="FF9C5700"/>
        <name val="Aptos"/>
      </font>
      <fill>
        <patternFill>
          <fgColor rgb="FFFFEB9C"/>
          <bgColor rgb="FFFFEB9C"/>
        </patternFill>
      </fill>
    </dxf>
    <dxf>
      <font>
        <sz val="9"/>
        <color rgb="FF9C0006"/>
        <name val="Aptos"/>
      </font>
      <fill>
        <patternFill>
          <fgColor rgb="FFFFC7CE"/>
          <bgColor rgb="FFFFC7CE"/>
        </patternFill>
      </fill>
    </dxf>
    <dxf>
      <font>
        <b/>
        <sz val="9"/>
        <color rgb="FFFFFFFF"/>
        <name val="Aptos"/>
      </font>
      <fill>
        <patternFill>
          <fgColor rgb="FFFF4444"/>
          <bgColor rgb="FFFF4444"/>
        </patternFill>
      </fill>
    </dxf>
    <dxf>
      <font>
        <sz val="9"/>
        <color rgb="FF006100"/>
        <name val="Aptos"/>
      </font>
      <fill>
        <patternFill>
          <fgColor rgb="FFC6EFCE"/>
          <bgColor rgb="FFC6EFCE"/>
        </patternFill>
      </fill>
    </dxf>
    <dxf>
      <font>
        <sz val="9"/>
        <color rgb="FF9C5700"/>
        <name val="Aptos"/>
      </font>
      <fill>
        <patternFill>
          <fgColor rgb="FFFFEB9C"/>
          <bgColor rgb="FFFFEB9C"/>
        </patternFill>
      </fill>
    </dxf>
    <dxf>
      <font>
        <sz val="9"/>
        <color rgb="FF9C0006"/>
        <name val="Aptos"/>
      </font>
      <fill>
        <patternFill>
          <fgColor rgb="FFFFC7CE"/>
          <bgColor rgb="FFFFC7CE"/>
        </patternFill>
      </fill>
    </dxf>
    <dxf>
      <font>
        <b/>
        <sz val="9"/>
        <color rgb="FFFFFFFF"/>
        <name val="Aptos"/>
      </font>
      <fill>
        <patternFill>
          <fgColor rgb="FFFF4444"/>
          <bgColor rgb="FFFF4444"/>
        </patternFill>
      </fill>
    </dxf>
    <dxf>
      <font>
        <sz val="9"/>
        <color rgb="FF006100"/>
        <name val="Aptos"/>
      </font>
      <fill>
        <patternFill>
          <fgColor rgb="FFC6EFCE"/>
          <bgColor rgb="FFC6EFCE"/>
        </patternFill>
      </fill>
    </dxf>
    <dxf>
      <font>
        <sz val="9"/>
        <color rgb="FF9C5700"/>
        <name val="Aptos"/>
      </font>
      <fill>
        <patternFill>
          <fgColor rgb="FFFFEB9C"/>
          <bgColor rgb="FFFFEB9C"/>
        </patternFill>
      </fill>
    </dxf>
    <dxf>
      <font>
        <sz val="9"/>
        <color rgb="FF9C0006"/>
        <name val="Aptos"/>
      </font>
      <fill>
        <patternFill>
          <fgColor rgb="FFFFC7CE"/>
          <bgColor rgb="FFFFC7CE"/>
        </patternFill>
      </fill>
    </dxf>
    <dxf>
      <font>
        <b/>
        <sz val="9"/>
        <color rgb="FFFFFFFF"/>
        <name val="Aptos"/>
      </font>
      <fill>
        <patternFill>
          <fgColor rgb="FFFF4444"/>
          <bgColor rgb="FFFF4444"/>
        </patternFill>
      </fill>
    </dxf>
    <dxf>
      <font>
        <sz val="9"/>
        <color rgb="FF006100"/>
        <name val="Aptos"/>
      </font>
      <fill>
        <patternFill>
          <fgColor rgb="FFC6EFCE"/>
          <bgColor rgb="FFC6EFCE"/>
        </patternFill>
      </fill>
    </dxf>
    <dxf>
      <font>
        <sz val="9"/>
        <color rgb="FF9C5700"/>
        <name val="Aptos"/>
      </font>
      <fill>
        <patternFill>
          <fgColor rgb="FFFFEB9C"/>
          <bgColor rgb="FFFFEB9C"/>
        </patternFill>
      </fill>
    </dxf>
    <dxf>
      <font>
        <sz val="9"/>
        <color rgb="FF9C0006"/>
        <name val="Aptos"/>
      </font>
      <fill>
        <patternFill>
          <fgColor rgb="FFFFC7CE"/>
          <bgColor rgb="FFFFC7CE"/>
        </patternFill>
      </fill>
    </dxf>
    <dxf>
      <font>
        <b/>
        <sz val="9"/>
        <color rgb="FFFFFFFF"/>
        <name val="Aptos"/>
      </font>
      <fill>
        <patternFill>
          <fgColor rgb="FFFF4444"/>
          <bgColor rgb="FFFF4444"/>
        </patternFill>
      </fil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B347"/>
      <rgbColor rgb="FFFF9900"/>
      <rgbColor rgb="FFFF4444"/>
      <rgbColor rgb="FF666699"/>
      <rgbColor rgb="FF969696"/>
      <rgbColor rgb="FF003C7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162720</xdr:colOff>
      <xdr:row>0</xdr:row>
      <xdr:rowOff>427320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0"/>
          <a:ext cx="1713240" cy="42732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232920</xdr:colOff>
      <xdr:row>0</xdr:row>
      <xdr:rowOff>427320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0"/>
          <a:ext cx="1713240" cy="427320"/>
        </a:xfrm>
        <a:prstGeom prst="rect">
          <a:avLst/>
        </a:prstGeom>
        <a:noFill/>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1103580</xdr:colOff>
      <xdr:row>0</xdr:row>
      <xdr:rowOff>427320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1713240" cy="427320"/>
        </a:xfrm>
        <a:prstGeom prst="rect">
          <a:avLst/>
        </a:prstGeom>
        <a:noFill/>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726480</xdr:colOff>
      <xdr:row>0</xdr:row>
      <xdr:rowOff>427320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a:fillRect/>
        </a:stretch>
      </xdr:blipFill>
      <xdr:spPr>
        <a:xfrm>
          <a:off x="0" y="0"/>
          <a:ext cx="1713240" cy="427320"/>
        </a:xfrm>
        <a:prstGeom prst="rect">
          <a:avLst/>
        </a:prstGeom>
        <a:noFill/>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zoomScaleNormal="100" workbookViewId="0">
      <selection activeCell="D7" sqref="D7:F7"/>
    </sheetView>
  </sheetViews>
  <sheetFormatPr defaultColWidth="8.7109375" defaultRowHeight="15" customHeight="1" x14ac:dyDescent="0.25"/>
  <cols>
    <col min="1" max="1" width="21" customWidth="1"/>
    <col min="2" max="2" width="31" customWidth="1"/>
    <col min="3" max="3" width="14" customWidth="1"/>
    <col min="4" max="4" width="68" customWidth="1"/>
    <col min="5" max="6" width="13" customWidth="1"/>
  </cols>
  <sheetData>
    <row r="1" spans="1:6" ht="53.25" customHeight="1" x14ac:dyDescent="0.25">
      <c r="A1" s="30"/>
      <c r="B1" s="30"/>
      <c r="C1" s="30"/>
      <c r="D1" s="30"/>
      <c r="E1" s="30"/>
      <c r="F1" s="30"/>
    </row>
    <row r="2" spans="1:6" ht="30" customHeight="1" x14ac:dyDescent="0.25">
      <c r="A2" s="42" t="s">
        <v>126</v>
      </c>
      <c r="B2" s="36"/>
      <c r="C2" s="36"/>
      <c r="D2" s="36"/>
      <c r="E2" s="36"/>
      <c r="F2" s="36"/>
    </row>
    <row r="3" spans="1:6" ht="15" customHeight="1" x14ac:dyDescent="0.25">
      <c r="A3" s="30"/>
      <c r="B3" s="30"/>
      <c r="C3" s="30"/>
      <c r="D3" s="30"/>
      <c r="E3" s="30"/>
      <c r="F3" s="30"/>
    </row>
    <row r="4" spans="1:6" ht="15" customHeight="1" x14ac:dyDescent="0.25">
      <c r="A4" s="44" t="s">
        <v>127</v>
      </c>
      <c r="B4" s="36"/>
      <c r="C4" s="36"/>
      <c r="D4" s="36"/>
      <c r="E4" s="36"/>
      <c r="F4" s="36"/>
    </row>
    <row r="5" spans="1:6" ht="15" customHeight="1" x14ac:dyDescent="0.25">
      <c r="A5" s="30"/>
      <c r="B5" s="30"/>
      <c r="C5" s="30"/>
      <c r="D5" s="30"/>
      <c r="E5" s="30"/>
      <c r="F5" s="30"/>
    </row>
    <row r="6" spans="1:6" ht="21.75" customHeight="1" x14ac:dyDescent="0.25">
      <c r="A6" s="33" t="s">
        <v>128</v>
      </c>
      <c r="B6" s="34" t="s">
        <v>129</v>
      </c>
      <c r="C6" s="33" t="s">
        <v>130</v>
      </c>
      <c r="D6" s="39" t="s">
        <v>131</v>
      </c>
      <c r="E6" s="40"/>
      <c r="F6" s="41"/>
    </row>
    <row r="7" spans="1:6" ht="75" customHeight="1" x14ac:dyDescent="0.25">
      <c r="A7" s="33" t="s">
        <v>132</v>
      </c>
      <c r="B7" s="34" t="s">
        <v>133</v>
      </c>
      <c r="C7" s="33"/>
      <c r="D7" s="39"/>
      <c r="E7" s="40"/>
      <c r="F7" s="41"/>
    </row>
    <row r="8" spans="1:6" ht="36" x14ac:dyDescent="0.25">
      <c r="A8" s="33" t="s">
        <v>134</v>
      </c>
      <c r="B8" s="34" t="s">
        <v>135</v>
      </c>
      <c r="C8" s="33" t="s">
        <v>136</v>
      </c>
      <c r="D8" s="39" t="s">
        <v>137</v>
      </c>
      <c r="E8" s="40"/>
      <c r="F8" s="41"/>
    </row>
    <row r="9" spans="1:6" ht="15" customHeight="1" x14ac:dyDescent="0.25">
      <c r="A9" s="33" t="s">
        <v>138</v>
      </c>
      <c r="B9" s="34" t="s">
        <v>139</v>
      </c>
      <c r="C9" s="33" t="s">
        <v>140</v>
      </c>
      <c r="D9" s="39" t="s">
        <v>88</v>
      </c>
      <c r="E9" s="40"/>
      <c r="F9" s="41"/>
    </row>
    <row r="10" spans="1:6" ht="24" x14ac:dyDescent="0.25">
      <c r="A10" s="33" t="s">
        <v>141</v>
      </c>
      <c r="B10" s="34" t="s">
        <v>142</v>
      </c>
      <c r="C10" s="33" t="s">
        <v>143</v>
      </c>
      <c r="D10" s="39" t="s">
        <v>144</v>
      </c>
      <c r="E10" s="40"/>
      <c r="F10" s="41"/>
    </row>
    <row r="11" spans="1:6" ht="15" customHeight="1" x14ac:dyDescent="0.25">
      <c r="A11" s="33" t="s">
        <v>145</v>
      </c>
      <c r="B11" s="34" t="s">
        <v>146</v>
      </c>
      <c r="C11" s="33" t="s">
        <v>147</v>
      </c>
      <c r="D11" s="39" t="s">
        <v>148</v>
      </c>
      <c r="E11" s="40"/>
      <c r="F11" s="41"/>
    </row>
    <row r="12" spans="1:6" ht="48" x14ac:dyDescent="0.25">
      <c r="A12" s="33" t="s">
        <v>149</v>
      </c>
      <c r="B12" s="34" t="s">
        <v>150</v>
      </c>
      <c r="C12" s="33"/>
      <c r="D12" s="39"/>
      <c r="E12" s="40"/>
      <c r="F12" s="41"/>
    </row>
    <row r="13" spans="1:6" ht="15.75" customHeight="1" x14ac:dyDescent="0.25">
      <c r="A13" s="48" t="s">
        <v>151</v>
      </c>
      <c r="B13" s="45" t="s">
        <v>152</v>
      </c>
      <c r="C13" s="46"/>
      <c r="D13" s="47"/>
      <c r="E13" s="32"/>
      <c r="F13" s="32"/>
    </row>
    <row r="14" spans="1:6" ht="30" customHeight="1" x14ac:dyDescent="0.25">
      <c r="A14" s="49"/>
      <c r="B14" s="45" t="s">
        <v>153</v>
      </c>
      <c r="C14" s="46"/>
      <c r="D14" s="47"/>
      <c r="E14" s="32"/>
      <c r="F14" s="32"/>
    </row>
    <row r="15" spans="1:6" ht="30" customHeight="1" x14ac:dyDescent="0.25">
      <c r="A15" s="49"/>
      <c r="B15" s="45" t="s">
        <v>154</v>
      </c>
      <c r="C15" s="46"/>
      <c r="D15" s="47"/>
      <c r="E15" s="32"/>
      <c r="F15" s="32"/>
    </row>
    <row r="16" spans="1:6" ht="30" customHeight="1" x14ac:dyDescent="0.25">
      <c r="A16" s="50"/>
      <c r="B16" s="45" t="s">
        <v>155</v>
      </c>
      <c r="C16" s="46"/>
      <c r="D16" s="47"/>
      <c r="E16" s="32"/>
      <c r="F16" s="32"/>
    </row>
    <row r="17" spans="1:6" ht="6" customHeight="1" x14ac:dyDescent="0.25">
      <c r="A17" s="32"/>
      <c r="B17" s="32"/>
      <c r="C17" s="32"/>
      <c r="D17" s="32"/>
      <c r="E17" s="32"/>
      <c r="F17" s="32"/>
    </row>
    <row r="18" spans="1:6" ht="21.75" customHeight="1" x14ac:dyDescent="0.25">
      <c r="A18" s="32"/>
      <c r="B18" s="32"/>
      <c r="C18" s="32"/>
      <c r="D18" s="32"/>
      <c r="E18" s="32"/>
      <c r="F18" s="32"/>
    </row>
    <row r="19" spans="1:6" ht="44.25" customHeight="1" x14ac:dyDescent="0.25">
      <c r="A19" s="51" t="s">
        <v>156</v>
      </c>
      <c r="B19" s="36"/>
      <c r="C19" s="36"/>
      <c r="D19" s="36"/>
      <c r="E19" s="32"/>
      <c r="F19" s="32"/>
    </row>
    <row r="20" spans="1:6" ht="30" customHeight="1" x14ac:dyDescent="0.25">
      <c r="A20" s="43" t="s">
        <v>157</v>
      </c>
      <c r="B20" s="36"/>
      <c r="C20" s="36"/>
      <c r="D20" s="36"/>
      <c r="E20" s="32"/>
      <c r="F20" s="32"/>
    </row>
    <row r="21" spans="1:6" ht="30" customHeight="1" x14ac:dyDescent="0.25">
      <c r="A21" s="43" t="s">
        <v>158</v>
      </c>
      <c r="B21" s="36"/>
      <c r="C21" s="36"/>
      <c r="D21" s="36"/>
      <c r="E21" s="32"/>
      <c r="F21" s="32"/>
    </row>
    <row r="22" spans="1:6" ht="30" customHeight="1" x14ac:dyDescent="0.25">
      <c r="A22" s="43" t="s">
        <v>159</v>
      </c>
      <c r="B22" s="36"/>
      <c r="C22" s="36"/>
      <c r="D22" s="36"/>
      <c r="E22" s="32"/>
      <c r="F22" s="32"/>
    </row>
    <row r="23" spans="1:6" ht="24.75" customHeight="1" x14ac:dyDescent="0.25">
      <c r="A23" s="51" t="s">
        <v>160</v>
      </c>
      <c r="B23" s="36"/>
      <c r="C23" s="36"/>
      <c r="D23" s="36"/>
      <c r="E23" s="32"/>
      <c r="F23" s="32"/>
    </row>
    <row r="24" spans="1:6" ht="180" customHeight="1" x14ac:dyDescent="0.25">
      <c r="A24" s="43" t="s">
        <v>161</v>
      </c>
      <c r="B24" s="36"/>
      <c r="C24" s="36"/>
      <c r="D24" s="36"/>
      <c r="E24" s="32"/>
      <c r="F24" s="32"/>
    </row>
    <row r="25" spans="1:6" x14ac:dyDescent="0.25">
      <c r="A25" s="32"/>
      <c r="B25" s="32"/>
      <c r="C25" s="32"/>
      <c r="D25" s="32"/>
      <c r="E25" s="32"/>
      <c r="F25" s="32"/>
    </row>
    <row r="26" spans="1:6" x14ac:dyDescent="0.25">
      <c r="A26" s="32"/>
      <c r="B26" s="32"/>
      <c r="C26" s="32"/>
      <c r="D26" s="32"/>
      <c r="E26" s="32"/>
      <c r="F26" s="32"/>
    </row>
    <row r="27" spans="1:6" x14ac:dyDescent="0.25">
      <c r="A27" s="32"/>
      <c r="B27" s="32"/>
      <c r="C27" s="32"/>
      <c r="D27" s="32"/>
      <c r="E27" s="32"/>
      <c r="F27" s="32"/>
    </row>
    <row r="28" spans="1:6" x14ac:dyDescent="0.25">
      <c r="A28" s="32"/>
      <c r="B28" s="32"/>
      <c r="C28" s="32"/>
      <c r="D28" s="32"/>
      <c r="E28" s="32"/>
      <c r="F28" s="32"/>
    </row>
    <row r="29" spans="1:6" x14ac:dyDescent="0.25">
      <c r="A29" s="32"/>
      <c r="B29" s="32"/>
      <c r="C29" s="32"/>
      <c r="D29" s="32"/>
      <c r="E29" s="32"/>
      <c r="F29" s="32"/>
    </row>
  </sheetData>
  <mergeCells count="20">
    <mergeCell ref="A22:D22"/>
    <mergeCell ref="A20:D20"/>
    <mergeCell ref="B13:D13"/>
    <mergeCell ref="A19:D19"/>
    <mergeCell ref="D7:F7"/>
    <mergeCell ref="A2:F2"/>
    <mergeCell ref="D12:F12"/>
    <mergeCell ref="D9:F9"/>
    <mergeCell ref="A24:D24"/>
    <mergeCell ref="A4:F4"/>
    <mergeCell ref="B15:D15"/>
    <mergeCell ref="D8:F8"/>
    <mergeCell ref="B16:D16"/>
    <mergeCell ref="D10:F10"/>
    <mergeCell ref="A13:A16"/>
    <mergeCell ref="A21:D21"/>
    <mergeCell ref="D6:F6"/>
    <mergeCell ref="A23:D23"/>
    <mergeCell ref="D11:F11"/>
    <mergeCell ref="B14:D14"/>
  </mergeCells>
  <pageMargins left="0.75" right="0.75" top="1" bottom="1"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showGridLines="0" zoomScaleNormal="100" workbookViewId="0"/>
  </sheetViews>
  <sheetFormatPr defaultColWidth="8.7109375" defaultRowHeight="15" customHeight="1" x14ac:dyDescent="0.25"/>
  <cols>
    <col min="1" max="1" width="3" customWidth="1"/>
    <col min="2" max="2" width="18" customWidth="1"/>
    <col min="3" max="3" width="25" customWidth="1"/>
    <col min="4" max="4" width="20" customWidth="1"/>
    <col min="5" max="5" width="18" customWidth="1"/>
    <col min="6" max="7" width="25" customWidth="1"/>
  </cols>
  <sheetData>
    <row r="1" spans="1:7" ht="53.25" customHeight="1" x14ac:dyDescent="0.25">
      <c r="A1" s="30"/>
      <c r="B1" s="30"/>
      <c r="C1" s="30"/>
      <c r="D1" s="30"/>
      <c r="E1" s="30"/>
      <c r="F1" s="30"/>
      <c r="G1" s="30"/>
    </row>
    <row r="2" spans="1:7" ht="24" customHeight="1" x14ac:dyDescent="0.25">
      <c r="A2" s="38" t="s">
        <v>162</v>
      </c>
      <c r="B2" s="36"/>
      <c r="C2" s="36"/>
      <c r="D2" s="36"/>
      <c r="E2" s="36"/>
      <c r="F2" s="36"/>
      <c r="G2" s="36"/>
    </row>
    <row r="3" spans="1:7" ht="15" customHeight="1" x14ac:dyDescent="0.25">
      <c r="A3" s="30"/>
      <c r="B3" s="30"/>
      <c r="C3" s="30"/>
      <c r="D3" s="30"/>
      <c r="E3" s="30"/>
      <c r="F3" s="30"/>
      <c r="G3" s="30"/>
    </row>
    <row r="4" spans="1:7" ht="15" customHeight="1" x14ac:dyDescent="0.25">
      <c r="A4" s="30"/>
      <c r="B4" s="62" t="s">
        <v>163</v>
      </c>
      <c r="C4" s="36"/>
      <c r="D4" s="36"/>
      <c r="E4" s="36"/>
      <c r="F4" s="36"/>
      <c r="G4" s="30"/>
    </row>
    <row r="5" spans="1:7" ht="15" customHeight="1" x14ac:dyDescent="0.25">
      <c r="A5" s="30"/>
      <c r="B5" s="30"/>
      <c r="C5" s="30"/>
      <c r="D5" s="30"/>
      <c r="E5" s="30"/>
      <c r="F5" s="30"/>
      <c r="G5" s="30"/>
    </row>
    <row r="6" spans="1:7" ht="15" customHeight="1" x14ac:dyDescent="0.25">
      <c r="A6" s="30"/>
      <c r="B6" s="58" t="s">
        <v>1</v>
      </c>
      <c r="C6" s="36"/>
      <c r="D6" s="36"/>
      <c r="E6" s="36"/>
      <c r="F6" s="36"/>
      <c r="G6" s="30"/>
    </row>
    <row r="7" spans="1:7" ht="21.75" customHeight="1" x14ac:dyDescent="0.25">
      <c r="A7" s="30"/>
      <c r="B7" s="1" t="s">
        <v>164</v>
      </c>
      <c r="C7" s="1" t="s">
        <v>165</v>
      </c>
      <c r="D7" s="31"/>
      <c r="E7" s="1" t="s">
        <v>166</v>
      </c>
      <c r="F7" s="1" t="s">
        <v>165</v>
      </c>
      <c r="G7" s="30"/>
    </row>
    <row r="8" spans="1:7" ht="15" customHeight="1" x14ac:dyDescent="0.25">
      <c r="A8" s="30"/>
      <c r="B8" s="2">
        <v>1</v>
      </c>
      <c r="C8" s="59" t="s">
        <v>167</v>
      </c>
      <c r="D8" s="56"/>
      <c r="E8" s="2">
        <v>1</v>
      </c>
      <c r="F8" s="3" t="s">
        <v>168</v>
      </c>
      <c r="G8" s="30"/>
    </row>
    <row r="9" spans="1:7" ht="21.75" customHeight="1" x14ac:dyDescent="0.25">
      <c r="A9" s="30"/>
      <c r="B9" s="4">
        <v>2</v>
      </c>
      <c r="C9" s="55" t="s">
        <v>169</v>
      </c>
      <c r="D9" s="56"/>
      <c r="E9" s="4">
        <v>2</v>
      </c>
      <c r="F9" s="5" t="s">
        <v>170</v>
      </c>
      <c r="G9" s="30"/>
    </row>
    <row r="10" spans="1:7" ht="21.75" customHeight="1" x14ac:dyDescent="0.25">
      <c r="A10" s="30"/>
      <c r="B10" s="2">
        <v>3</v>
      </c>
      <c r="C10" s="59" t="s">
        <v>171</v>
      </c>
      <c r="D10" s="56"/>
      <c r="E10" s="2">
        <v>3</v>
      </c>
      <c r="F10" s="3" t="s">
        <v>172</v>
      </c>
      <c r="G10" s="30"/>
    </row>
    <row r="11" spans="1:7" ht="15" customHeight="1" x14ac:dyDescent="0.25">
      <c r="A11" s="30"/>
      <c r="B11" s="4">
        <v>4</v>
      </c>
      <c r="C11" s="55" t="s">
        <v>173</v>
      </c>
      <c r="D11" s="56"/>
      <c r="E11" s="4">
        <v>4</v>
      </c>
      <c r="F11" s="5" t="s">
        <v>174</v>
      </c>
      <c r="G11" s="30"/>
    </row>
    <row r="12" spans="1:7" ht="21.75" customHeight="1" x14ac:dyDescent="0.25">
      <c r="A12" s="30"/>
      <c r="B12" s="2">
        <v>5</v>
      </c>
      <c r="C12" s="59" t="s">
        <v>175</v>
      </c>
      <c r="D12" s="56"/>
      <c r="E12" s="2">
        <v>5</v>
      </c>
      <c r="F12" s="3" t="s">
        <v>176</v>
      </c>
      <c r="G12" s="30"/>
    </row>
    <row r="13" spans="1:7" ht="15" customHeight="1" x14ac:dyDescent="0.25">
      <c r="A13" s="30"/>
      <c r="B13" s="30"/>
      <c r="C13" s="30"/>
      <c r="D13" s="30"/>
      <c r="E13" s="30"/>
      <c r="F13" s="30"/>
      <c r="G13" s="30"/>
    </row>
    <row r="14" spans="1:7" ht="15" customHeight="1" x14ac:dyDescent="0.25">
      <c r="A14" s="30"/>
      <c r="B14" s="30"/>
      <c r="C14" s="30"/>
      <c r="D14" s="30"/>
      <c r="E14" s="30"/>
      <c r="F14" s="30"/>
      <c r="G14" s="30"/>
    </row>
    <row r="15" spans="1:7" ht="15" customHeight="1" x14ac:dyDescent="0.25">
      <c r="A15" s="30"/>
      <c r="B15" s="58" t="s">
        <v>177</v>
      </c>
      <c r="C15" s="36"/>
      <c r="D15" s="36"/>
      <c r="E15" s="36"/>
      <c r="F15" s="36"/>
      <c r="G15" s="36"/>
    </row>
    <row r="16" spans="1:7" ht="32.25" customHeight="1" x14ac:dyDescent="0.25">
      <c r="A16" s="1" t="s">
        <v>178</v>
      </c>
      <c r="B16" s="1" t="s">
        <v>179</v>
      </c>
      <c r="C16" s="1" t="s">
        <v>180</v>
      </c>
      <c r="D16" s="1" t="s">
        <v>181</v>
      </c>
      <c r="E16" s="1" t="s">
        <v>182</v>
      </c>
      <c r="F16" s="1" t="s">
        <v>183</v>
      </c>
      <c r="G16" s="1" t="s">
        <v>184</v>
      </c>
    </row>
    <row r="17" spans="1:7" ht="15" customHeight="1" x14ac:dyDescent="0.25">
      <c r="A17" s="4">
        <v>1</v>
      </c>
      <c r="B17" s="5" t="s">
        <v>185</v>
      </c>
      <c r="C17" s="5" t="s">
        <v>185</v>
      </c>
      <c r="D17" s="5" t="s">
        <v>186</v>
      </c>
      <c r="E17" s="5" t="s">
        <v>187</v>
      </c>
      <c r="F17" s="5" t="s">
        <v>185</v>
      </c>
      <c r="G17" s="5" t="s">
        <v>188</v>
      </c>
    </row>
    <row r="18" spans="1:7" ht="21.75" customHeight="1" x14ac:dyDescent="0.25">
      <c r="A18" s="2">
        <v>2</v>
      </c>
      <c r="B18" s="3" t="s">
        <v>189</v>
      </c>
      <c r="C18" s="3" t="s">
        <v>190</v>
      </c>
      <c r="D18" s="3" t="s">
        <v>191</v>
      </c>
      <c r="E18" s="3" t="s">
        <v>192</v>
      </c>
      <c r="F18" s="3" t="s">
        <v>193</v>
      </c>
      <c r="G18" s="3" t="s">
        <v>194</v>
      </c>
    </row>
    <row r="19" spans="1:7" ht="15" customHeight="1" x14ac:dyDescent="0.25">
      <c r="A19" s="4">
        <v>3</v>
      </c>
      <c r="B19" s="5" t="s">
        <v>195</v>
      </c>
      <c r="C19" s="5" t="s">
        <v>196</v>
      </c>
      <c r="D19" s="5" t="s">
        <v>197</v>
      </c>
      <c r="E19" s="5" t="s">
        <v>198</v>
      </c>
      <c r="F19" s="5" t="s">
        <v>199</v>
      </c>
      <c r="G19" s="5" t="s">
        <v>200</v>
      </c>
    </row>
    <row r="20" spans="1:7" ht="21.75" customHeight="1" x14ac:dyDescent="0.25">
      <c r="A20" s="2">
        <v>4</v>
      </c>
      <c r="B20" s="3" t="s">
        <v>201</v>
      </c>
      <c r="C20" s="3" t="s">
        <v>202</v>
      </c>
      <c r="D20" s="3" t="s">
        <v>203</v>
      </c>
      <c r="E20" s="3" t="s">
        <v>204</v>
      </c>
      <c r="F20" s="3" t="s">
        <v>205</v>
      </c>
      <c r="G20" s="3" t="s">
        <v>206</v>
      </c>
    </row>
    <row r="21" spans="1:7" ht="21.75" customHeight="1" x14ac:dyDescent="0.25">
      <c r="A21" s="4">
        <v>5</v>
      </c>
      <c r="B21" s="5" t="s">
        <v>207</v>
      </c>
      <c r="C21" s="5" t="s">
        <v>208</v>
      </c>
      <c r="D21" s="5" t="s">
        <v>209</v>
      </c>
      <c r="E21" s="5" t="s">
        <v>210</v>
      </c>
      <c r="F21" s="5" t="s">
        <v>211</v>
      </c>
      <c r="G21" s="5" t="s">
        <v>212</v>
      </c>
    </row>
    <row r="22" spans="1:7" ht="15" customHeight="1" x14ac:dyDescent="0.25">
      <c r="A22" s="30"/>
      <c r="B22" s="30"/>
      <c r="C22" s="30"/>
      <c r="D22" s="30"/>
      <c r="E22" s="30"/>
      <c r="F22" s="30"/>
      <c r="G22" s="30"/>
    </row>
    <row r="23" spans="1:7" ht="15" customHeight="1" x14ac:dyDescent="0.25">
      <c r="A23" s="30"/>
      <c r="B23" s="30"/>
      <c r="C23" s="30"/>
      <c r="D23" s="30"/>
      <c r="E23" s="30"/>
      <c r="F23" s="30"/>
      <c r="G23" s="30"/>
    </row>
    <row r="24" spans="1:7" ht="15" customHeight="1" x14ac:dyDescent="0.25">
      <c r="A24" s="30"/>
      <c r="B24" s="58" t="s">
        <v>213</v>
      </c>
      <c r="C24" s="36"/>
      <c r="D24" s="36"/>
      <c r="E24" s="36"/>
      <c r="F24" s="36"/>
      <c r="G24" s="36"/>
    </row>
    <row r="25" spans="1:7" ht="15" customHeight="1" x14ac:dyDescent="0.25">
      <c r="A25" s="30"/>
      <c r="B25" s="6" t="s">
        <v>214</v>
      </c>
      <c r="C25" s="1">
        <v>1</v>
      </c>
      <c r="D25" s="1">
        <v>2</v>
      </c>
      <c r="E25" s="1">
        <v>3</v>
      </c>
      <c r="F25" s="1">
        <v>4</v>
      </c>
      <c r="G25" s="1">
        <v>5</v>
      </c>
    </row>
    <row r="26" spans="1:7" ht="15" customHeight="1" x14ac:dyDescent="0.25">
      <c r="A26" s="30"/>
      <c r="B26" s="1">
        <v>1</v>
      </c>
      <c r="C26" s="7">
        <v>1</v>
      </c>
      <c r="D26" s="7">
        <v>2</v>
      </c>
      <c r="E26" s="7">
        <v>3</v>
      </c>
      <c r="F26" s="7">
        <v>4</v>
      </c>
      <c r="G26" s="8">
        <v>5</v>
      </c>
    </row>
    <row r="27" spans="1:7" ht="15" customHeight="1" x14ac:dyDescent="0.25">
      <c r="A27" s="30"/>
      <c r="B27" s="1">
        <v>2</v>
      </c>
      <c r="C27" s="7">
        <v>2</v>
      </c>
      <c r="D27" s="7">
        <v>4</v>
      </c>
      <c r="E27" s="8">
        <v>6</v>
      </c>
      <c r="F27" s="8">
        <v>8</v>
      </c>
      <c r="G27" s="8">
        <v>10</v>
      </c>
    </row>
    <row r="28" spans="1:7" ht="15" customHeight="1" x14ac:dyDescent="0.25">
      <c r="A28" s="30"/>
      <c r="B28" s="1">
        <v>3</v>
      </c>
      <c r="C28" s="7">
        <v>3</v>
      </c>
      <c r="D28" s="8">
        <v>6</v>
      </c>
      <c r="E28" s="8">
        <v>9</v>
      </c>
      <c r="F28" s="8">
        <v>12</v>
      </c>
      <c r="G28" s="9">
        <v>15</v>
      </c>
    </row>
    <row r="29" spans="1:7" ht="15" customHeight="1" x14ac:dyDescent="0.25">
      <c r="A29" s="30"/>
      <c r="B29" s="1">
        <v>4</v>
      </c>
      <c r="C29" s="7">
        <v>4</v>
      </c>
      <c r="D29" s="8">
        <v>8</v>
      </c>
      <c r="E29" s="8">
        <v>12</v>
      </c>
      <c r="F29" s="9">
        <v>16</v>
      </c>
      <c r="G29" s="10">
        <v>20</v>
      </c>
    </row>
    <row r="30" spans="1:7" ht="15" customHeight="1" x14ac:dyDescent="0.25">
      <c r="A30" s="30"/>
      <c r="B30" s="1">
        <v>5</v>
      </c>
      <c r="C30" s="8">
        <v>5</v>
      </c>
      <c r="D30" s="8">
        <v>10</v>
      </c>
      <c r="E30" s="9">
        <v>15</v>
      </c>
      <c r="F30" s="10">
        <v>20</v>
      </c>
      <c r="G30" s="10">
        <v>25</v>
      </c>
    </row>
    <row r="31" spans="1:7" ht="15" customHeight="1" x14ac:dyDescent="0.25">
      <c r="A31" s="30"/>
      <c r="B31" s="30"/>
      <c r="C31" s="30"/>
      <c r="D31" s="30"/>
      <c r="E31" s="30"/>
      <c r="F31" s="30"/>
      <c r="G31" s="30"/>
    </row>
    <row r="32" spans="1:7" ht="15" customHeight="1" x14ac:dyDescent="0.25">
      <c r="A32" s="30"/>
      <c r="B32" s="58" t="s">
        <v>215</v>
      </c>
      <c r="C32" s="36"/>
      <c r="D32" s="36"/>
      <c r="E32" s="36"/>
      <c r="F32" s="36"/>
      <c r="G32" s="36"/>
    </row>
    <row r="33" spans="1:7" ht="15" customHeight="1" x14ac:dyDescent="0.25">
      <c r="A33" s="30"/>
      <c r="B33" s="60" t="s">
        <v>216</v>
      </c>
      <c r="C33" s="36"/>
      <c r="D33" s="53" t="s">
        <v>217</v>
      </c>
      <c r="E33" s="54"/>
      <c r="F33" s="54"/>
      <c r="G33" s="54"/>
    </row>
    <row r="34" spans="1:7" ht="15" customHeight="1" x14ac:dyDescent="0.25">
      <c r="A34" s="30"/>
      <c r="B34" s="57" t="s">
        <v>218</v>
      </c>
      <c r="C34" s="36"/>
      <c r="D34" s="53" t="s">
        <v>219</v>
      </c>
      <c r="E34" s="54"/>
      <c r="F34" s="54"/>
      <c r="G34" s="54"/>
    </row>
    <row r="35" spans="1:7" ht="15" customHeight="1" x14ac:dyDescent="0.25">
      <c r="A35" s="30"/>
      <c r="B35" s="52" t="s">
        <v>220</v>
      </c>
      <c r="C35" s="36"/>
      <c r="D35" s="53" t="s">
        <v>221</v>
      </c>
      <c r="E35" s="54"/>
      <c r="F35" s="54"/>
      <c r="G35" s="54"/>
    </row>
    <row r="36" spans="1:7" ht="15" customHeight="1" x14ac:dyDescent="0.25">
      <c r="A36" s="30"/>
      <c r="B36" s="61" t="s">
        <v>222</v>
      </c>
      <c r="C36" s="36"/>
      <c r="D36" s="53" t="s">
        <v>223</v>
      </c>
      <c r="E36" s="54"/>
      <c r="F36" s="54"/>
      <c r="G36" s="54"/>
    </row>
  </sheetData>
  <mergeCells count="19">
    <mergeCell ref="B24:G24"/>
    <mergeCell ref="C12:D12"/>
    <mergeCell ref="B6:F6"/>
    <mergeCell ref="A2:G2"/>
    <mergeCell ref="B35:C35"/>
    <mergeCell ref="D36:G36"/>
    <mergeCell ref="C11:D11"/>
    <mergeCell ref="B34:C34"/>
    <mergeCell ref="B32:G32"/>
    <mergeCell ref="C8:D8"/>
    <mergeCell ref="B33:C33"/>
    <mergeCell ref="B36:C36"/>
    <mergeCell ref="B4:F4"/>
    <mergeCell ref="D33:G33"/>
    <mergeCell ref="C10:D10"/>
    <mergeCell ref="D35:G35"/>
    <mergeCell ref="D34:G34"/>
    <mergeCell ref="C9:D9"/>
    <mergeCell ref="B15:G15"/>
  </mergeCells>
  <pageMargins left="0.75" right="0.75" top="1" bottom="1" header="0.511811023622047" footer="0.511811023622047"/>
  <pageSetup paperSize="9"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showGridLines="0" tabSelected="1" zoomScaleNormal="100" workbookViewId="0">
      <pane xSplit="4" ySplit="4" topLeftCell="I10" activePane="bottomRight" state="frozen"/>
      <selection pane="topRight" activeCell="E1" sqref="E1"/>
      <selection pane="bottomLeft" activeCell="A5" sqref="A5"/>
      <selection pane="bottomRight" activeCell="D12" sqref="D12"/>
    </sheetView>
  </sheetViews>
  <sheetFormatPr defaultColWidth="8.7109375" defaultRowHeight="15" customHeight="1" x14ac:dyDescent="0.25"/>
  <cols>
    <col min="1" max="1" width="8" customWidth="1"/>
    <col min="2" max="2" width="19.85546875" customWidth="1"/>
    <col min="3" max="3" width="50" customWidth="1"/>
    <col min="4" max="4" width="17.42578125" customWidth="1"/>
    <col min="5" max="16" width="10" customWidth="1"/>
    <col min="17" max="17" width="14" customWidth="1"/>
    <col min="18" max="18" width="50" customWidth="1"/>
    <col min="19" max="22" width="10" customWidth="1"/>
    <col min="23" max="23" width="14" customWidth="1"/>
    <col min="24" max="24" width="10" customWidth="1"/>
  </cols>
  <sheetData>
    <row r="1" spans="1:24" ht="53.25" customHeight="1" x14ac:dyDescent="0.25"/>
    <row r="2" spans="1:24" ht="24" customHeight="1" x14ac:dyDescent="0.25">
      <c r="A2" s="38" t="s">
        <v>0</v>
      </c>
      <c r="B2" s="36"/>
      <c r="C2" s="36"/>
      <c r="D2" s="36"/>
      <c r="E2" s="36"/>
      <c r="F2" s="36"/>
      <c r="G2" s="36"/>
      <c r="H2" s="36"/>
      <c r="I2" s="36"/>
      <c r="J2" s="36"/>
      <c r="K2" s="36"/>
      <c r="L2" s="36"/>
      <c r="M2" s="36"/>
      <c r="N2" s="36"/>
      <c r="O2" s="36"/>
      <c r="P2" s="36"/>
      <c r="Q2" s="36"/>
      <c r="R2" s="36"/>
      <c r="S2" s="36"/>
      <c r="T2" s="36"/>
      <c r="U2" s="36"/>
      <c r="V2" s="36"/>
      <c r="W2" s="36"/>
      <c r="X2" s="36"/>
    </row>
    <row r="3" spans="1:24" ht="15" customHeight="1" x14ac:dyDescent="0.25">
      <c r="E3" s="35" t="s">
        <v>1</v>
      </c>
      <c r="F3" s="36"/>
      <c r="G3" s="36"/>
      <c r="H3" s="35" t="s">
        <v>2</v>
      </c>
      <c r="I3" s="36"/>
      <c r="J3" s="36"/>
      <c r="K3" s="36"/>
      <c r="L3" s="36"/>
      <c r="M3" s="36"/>
      <c r="N3" s="36"/>
      <c r="O3" s="35" t="s">
        <v>3</v>
      </c>
      <c r="P3" s="36"/>
      <c r="S3" s="37" t="s">
        <v>4</v>
      </c>
      <c r="T3" s="36"/>
      <c r="U3" s="36"/>
      <c r="V3" s="36"/>
    </row>
    <row r="4" spans="1:24" ht="45" customHeight="1" x14ac:dyDescent="0.25">
      <c r="A4" s="23" t="s">
        <v>5</v>
      </c>
      <c r="B4" s="23" t="s">
        <v>6</v>
      </c>
      <c r="C4" s="23" t="s">
        <v>7</v>
      </c>
      <c r="D4" s="23" t="s">
        <v>8</v>
      </c>
      <c r="E4" s="23" t="s">
        <v>9</v>
      </c>
      <c r="F4" s="23" t="s">
        <v>10</v>
      </c>
      <c r="G4" s="23" t="s">
        <v>11</v>
      </c>
      <c r="H4" s="23" t="s">
        <v>12</v>
      </c>
      <c r="I4" s="23" t="s">
        <v>13</v>
      </c>
      <c r="J4" s="23" t="s">
        <v>14</v>
      </c>
      <c r="K4" s="23" t="s">
        <v>15</v>
      </c>
      <c r="L4" s="23" t="s">
        <v>16</v>
      </c>
      <c r="M4" s="23" t="s">
        <v>17</v>
      </c>
      <c r="N4" s="23" t="s">
        <v>18</v>
      </c>
      <c r="O4" s="23" t="s">
        <v>19</v>
      </c>
      <c r="P4" s="23" t="s">
        <v>20</v>
      </c>
      <c r="Q4" s="23" t="s">
        <v>21</v>
      </c>
      <c r="R4" s="23" t="s">
        <v>22</v>
      </c>
      <c r="S4" s="23" t="s">
        <v>23</v>
      </c>
      <c r="T4" s="23" t="s">
        <v>24</v>
      </c>
      <c r="U4" s="23" t="s">
        <v>25</v>
      </c>
      <c r="V4" s="23" t="s">
        <v>20</v>
      </c>
      <c r="W4" s="23" t="s">
        <v>26</v>
      </c>
      <c r="X4" s="23" t="s">
        <v>27</v>
      </c>
    </row>
    <row r="5" spans="1:24" ht="132" customHeight="1" x14ac:dyDescent="0.25">
      <c r="A5" s="24" t="s">
        <v>28</v>
      </c>
      <c r="B5" s="24" t="s">
        <v>29</v>
      </c>
      <c r="C5" s="25" t="s">
        <v>30</v>
      </c>
      <c r="D5" s="25" t="s">
        <v>31</v>
      </c>
      <c r="E5" s="24">
        <v>5</v>
      </c>
      <c r="F5" s="24">
        <v>5</v>
      </c>
      <c r="G5" s="26">
        <f t="shared" ref="G5:G24" si="0">AVERAGE(E5,F5)</f>
        <v>5</v>
      </c>
      <c r="H5" s="24">
        <v>5</v>
      </c>
      <c r="I5" s="24">
        <v>5</v>
      </c>
      <c r="J5" s="24">
        <v>5</v>
      </c>
      <c r="K5" s="24">
        <v>4</v>
      </c>
      <c r="L5" s="24">
        <v>5</v>
      </c>
      <c r="M5" s="24">
        <v>5</v>
      </c>
      <c r="N5" s="26">
        <f t="shared" ref="N5:N24" si="1">AVERAGE(H5:M5)</f>
        <v>4.833333333333333</v>
      </c>
      <c r="O5" s="26">
        <f t="shared" ref="O5:O24" si="2">G5*N5</f>
        <v>24.166666666666664</v>
      </c>
      <c r="P5" s="24" t="str">
        <f t="shared" ref="P5:P24" si="3">IF(O5&gt;=17,"Critical",IF(O5&gt;=13,"High",IF(O5&gt;=5,"Moderate","Low")))</f>
        <v>Critical</v>
      </c>
      <c r="Q5" s="24" t="s">
        <v>32</v>
      </c>
      <c r="R5" s="25" t="s">
        <v>33</v>
      </c>
      <c r="S5" s="24">
        <v>4</v>
      </c>
      <c r="T5" s="26">
        <v>3.5</v>
      </c>
      <c r="U5" s="26">
        <f t="shared" ref="U5:U24" si="4">IF(AND(S5&lt;&gt;"[PROJECT TEAM]",T5&lt;&gt;"[PROJECT TEAM]"),S5*T5,"")</f>
        <v>14</v>
      </c>
      <c r="V5" s="24" t="str">
        <f t="shared" ref="V5:V24" si="5">IF(U5="","",IF(U5&gt;=17,"Critical",IF(U5&gt;=13,"High",IF(U5&gt;=5,"Moderate","Low"))))</f>
        <v>High</v>
      </c>
      <c r="W5" s="25" t="s">
        <v>34</v>
      </c>
      <c r="X5" s="24" t="s">
        <v>35</v>
      </c>
    </row>
    <row r="6" spans="1:24" ht="84" customHeight="1" x14ac:dyDescent="0.25">
      <c r="A6" s="27" t="s">
        <v>36</v>
      </c>
      <c r="B6" s="27" t="s">
        <v>29</v>
      </c>
      <c r="C6" s="28" t="s">
        <v>37</v>
      </c>
      <c r="D6" s="28" t="s">
        <v>38</v>
      </c>
      <c r="E6" s="27">
        <v>4</v>
      </c>
      <c r="F6" s="27">
        <v>4</v>
      </c>
      <c r="G6" s="29">
        <f t="shared" si="0"/>
        <v>4</v>
      </c>
      <c r="H6" s="27">
        <v>4</v>
      </c>
      <c r="I6" s="27">
        <v>4</v>
      </c>
      <c r="J6" s="27">
        <v>4</v>
      </c>
      <c r="K6" s="27">
        <v>3</v>
      </c>
      <c r="L6" s="27">
        <v>4</v>
      </c>
      <c r="M6" s="27">
        <v>3</v>
      </c>
      <c r="N6" s="29">
        <f t="shared" si="1"/>
        <v>3.6666666666666665</v>
      </c>
      <c r="O6" s="29">
        <f t="shared" si="2"/>
        <v>14.666666666666666</v>
      </c>
      <c r="P6" s="27" t="str">
        <f t="shared" si="3"/>
        <v>High</v>
      </c>
      <c r="Q6" s="27" t="s">
        <v>32</v>
      </c>
      <c r="R6" s="28" t="s">
        <v>39</v>
      </c>
      <c r="S6" s="27">
        <v>3</v>
      </c>
      <c r="T6" s="29">
        <v>3</v>
      </c>
      <c r="U6" s="29">
        <f t="shared" si="4"/>
        <v>9</v>
      </c>
      <c r="V6" s="27" t="str">
        <f t="shared" si="5"/>
        <v>Moderate</v>
      </c>
      <c r="W6" s="28" t="s">
        <v>40</v>
      </c>
      <c r="X6" s="27" t="s">
        <v>35</v>
      </c>
    </row>
    <row r="7" spans="1:24" ht="84" customHeight="1" x14ac:dyDescent="0.25">
      <c r="A7" s="24" t="s">
        <v>41</v>
      </c>
      <c r="B7" s="24" t="s">
        <v>29</v>
      </c>
      <c r="C7" s="25" t="s">
        <v>42</v>
      </c>
      <c r="D7" s="25" t="s">
        <v>43</v>
      </c>
      <c r="E7" s="24">
        <v>4</v>
      </c>
      <c r="F7" s="24">
        <v>4</v>
      </c>
      <c r="G7" s="26">
        <f t="shared" si="0"/>
        <v>4</v>
      </c>
      <c r="H7" s="24">
        <v>4</v>
      </c>
      <c r="I7" s="24">
        <v>5</v>
      </c>
      <c r="J7" s="24">
        <v>4</v>
      </c>
      <c r="K7" s="24">
        <v>3</v>
      </c>
      <c r="L7" s="24">
        <v>4</v>
      </c>
      <c r="M7" s="24">
        <v>4</v>
      </c>
      <c r="N7" s="26">
        <f t="shared" si="1"/>
        <v>4</v>
      </c>
      <c r="O7" s="26">
        <f t="shared" si="2"/>
        <v>16</v>
      </c>
      <c r="P7" s="24" t="str">
        <f t="shared" si="3"/>
        <v>High</v>
      </c>
      <c r="Q7" s="24" t="s">
        <v>32</v>
      </c>
      <c r="R7" s="25" t="s">
        <v>44</v>
      </c>
      <c r="S7" s="24">
        <v>3</v>
      </c>
      <c r="T7" s="26">
        <v>3.5</v>
      </c>
      <c r="U7" s="26">
        <f t="shared" si="4"/>
        <v>10.5</v>
      </c>
      <c r="V7" s="24" t="str">
        <f t="shared" si="5"/>
        <v>Moderate</v>
      </c>
      <c r="W7" s="25" t="s">
        <v>45</v>
      </c>
      <c r="X7" s="24" t="s">
        <v>35</v>
      </c>
    </row>
    <row r="8" spans="1:24" ht="84" customHeight="1" x14ac:dyDescent="0.25">
      <c r="A8" s="27" t="s">
        <v>46</v>
      </c>
      <c r="B8" s="27" t="s">
        <v>47</v>
      </c>
      <c r="C8" s="28" t="s">
        <v>48</v>
      </c>
      <c r="D8" s="28" t="s">
        <v>49</v>
      </c>
      <c r="E8" s="27">
        <v>4</v>
      </c>
      <c r="F8" s="27">
        <v>4</v>
      </c>
      <c r="G8" s="29">
        <f t="shared" si="0"/>
        <v>4</v>
      </c>
      <c r="H8" s="27">
        <v>4</v>
      </c>
      <c r="I8" s="27">
        <v>3</v>
      </c>
      <c r="J8" s="27">
        <v>1</v>
      </c>
      <c r="K8" s="27">
        <v>2</v>
      </c>
      <c r="L8" s="27">
        <v>3</v>
      </c>
      <c r="M8" s="27">
        <v>5</v>
      </c>
      <c r="N8" s="29">
        <f t="shared" si="1"/>
        <v>3</v>
      </c>
      <c r="O8" s="29">
        <f t="shared" si="2"/>
        <v>12</v>
      </c>
      <c r="P8" s="27" t="str">
        <f t="shared" si="3"/>
        <v>Moderate</v>
      </c>
      <c r="Q8" s="27" t="s">
        <v>32</v>
      </c>
      <c r="R8" s="28" t="s">
        <v>50</v>
      </c>
      <c r="S8" s="27">
        <v>3</v>
      </c>
      <c r="T8" s="29">
        <v>2.5</v>
      </c>
      <c r="U8" s="29">
        <f t="shared" si="4"/>
        <v>7.5</v>
      </c>
      <c r="V8" s="27" t="str">
        <f t="shared" si="5"/>
        <v>Moderate</v>
      </c>
      <c r="W8" s="28" t="s">
        <v>51</v>
      </c>
      <c r="X8" s="27" t="s">
        <v>35</v>
      </c>
    </row>
    <row r="9" spans="1:24" ht="108" customHeight="1" x14ac:dyDescent="0.25">
      <c r="A9" s="24" t="s">
        <v>52</v>
      </c>
      <c r="B9" s="24" t="s">
        <v>47</v>
      </c>
      <c r="C9" s="25" t="s">
        <v>53</v>
      </c>
      <c r="D9" s="25" t="s">
        <v>54</v>
      </c>
      <c r="E9" s="24">
        <v>3</v>
      </c>
      <c r="F9" s="24">
        <v>3</v>
      </c>
      <c r="G9" s="26">
        <f t="shared" si="0"/>
        <v>3</v>
      </c>
      <c r="H9" s="24">
        <v>5</v>
      </c>
      <c r="I9" s="24">
        <v>4</v>
      </c>
      <c r="J9" s="24">
        <v>3</v>
      </c>
      <c r="K9" s="24">
        <v>4</v>
      </c>
      <c r="L9" s="24">
        <v>5</v>
      </c>
      <c r="M9" s="24">
        <v>5</v>
      </c>
      <c r="N9" s="26">
        <f t="shared" si="1"/>
        <v>4.333333333333333</v>
      </c>
      <c r="O9" s="26">
        <f t="shared" si="2"/>
        <v>13</v>
      </c>
      <c r="P9" s="24" t="str">
        <f t="shared" si="3"/>
        <v>High</v>
      </c>
      <c r="Q9" s="24" t="s">
        <v>55</v>
      </c>
      <c r="R9" s="25" t="s">
        <v>56</v>
      </c>
      <c r="S9" s="24">
        <v>2</v>
      </c>
      <c r="T9" s="26">
        <v>3.5</v>
      </c>
      <c r="U9" s="26">
        <f t="shared" si="4"/>
        <v>7</v>
      </c>
      <c r="V9" s="24" t="str">
        <f t="shared" si="5"/>
        <v>Moderate</v>
      </c>
      <c r="W9" s="25" t="s">
        <v>57</v>
      </c>
      <c r="X9" s="24" t="s">
        <v>35</v>
      </c>
    </row>
    <row r="10" spans="1:24" ht="108" customHeight="1" x14ac:dyDescent="0.25">
      <c r="A10" s="27" t="s">
        <v>58</v>
      </c>
      <c r="B10" s="27" t="s">
        <v>59</v>
      </c>
      <c r="C10" s="28" t="s">
        <v>60</v>
      </c>
      <c r="D10" s="28" t="s">
        <v>61</v>
      </c>
      <c r="E10" s="27">
        <v>4</v>
      </c>
      <c r="F10" s="27">
        <v>4</v>
      </c>
      <c r="G10" s="29">
        <f t="shared" si="0"/>
        <v>4</v>
      </c>
      <c r="H10" s="27">
        <v>2</v>
      </c>
      <c r="I10" s="27">
        <v>3</v>
      </c>
      <c r="J10" s="27">
        <v>4</v>
      </c>
      <c r="K10" s="27">
        <v>3</v>
      </c>
      <c r="L10" s="27">
        <v>3</v>
      </c>
      <c r="M10" s="27">
        <v>2</v>
      </c>
      <c r="N10" s="29">
        <f t="shared" si="1"/>
        <v>2.8333333333333335</v>
      </c>
      <c r="O10" s="29">
        <f t="shared" si="2"/>
        <v>11.333333333333334</v>
      </c>
      <c r="P10" s="27" t="str">
        <f t="shared" si="3"/>
        <v>Moderate</v>
      </c>
      <c r="Q10" s="27" t="s">
        <v>32</v>
      </c>
      <c r="R10" s="28" t="s">
        <v>62</v>
      </c>
      <c r="S10" s="27">
        <v>3</v>
      </c>
      <c r="T10" s="29">
        <v>2.5</v>
      </c>
      <c r="U10" s="29">
        <f t="shared" si="4"/>
        <v>7.5</v>
      </c>
      <c r="V10" s="27" t="str">
        <f t="shared" si="5"/>
        <v>Moderate</v>
      </c>
      <c r="W10" s="28" t="s">
        <v>63</v>
      </c>
      <c r="X10" s="27" t="s">
        <v>35</v>
      </c>
    </row>
    <row r="11" spans="1:24" ht="120" customHeight="1" x14ac:dyDescent="0.25">
      <c r="A11" s="24" t="s">
        <v>64</v>
      </c>
      <c r="B11" s="24" t="s">
        <v>59</v>
      </c>
      <c r="C11" s="25" t="s">
        <v>65</v>
      </c>
      <c r="D11" s="25" t="s">
        <v>66</v>
      </c>
      <c r="E11" s="24">
        <v>3</v>
      </c>
      <c r="F11" s="24">
        <v>2</v>
      </c>
      <c r="G11" s="26">
        <f t="shared" si="0"/>
        <v>2.5</v>
      </c>
      <c r="H11" s="24">
        <v>5</v>
      </c>
      <c r="I11" s="24">
        <v>5</v>
      </c>
      <c r="J11" s="24">
        <v>5</v>
      </c>
      <c r="K11" s="24">
        <v>5</v>
      </c>
      <c r="L11" s="24">
        <v>5</v>
      </c>
      <c r="M11" s="24">
        <v>5</v>
      </c>
      <c r="N11" s="26">
        <f t="shared" si="1"/>
        <v>5</v>
      </c>
      <c r="O11" s="26">
        <f t="shared" si="2"/>
        <v>12.5</v>
      </c>
      <c r="P11" s="24" t="str">
        <f t="shared" si="3"/>
        <v>Moderate</v>
      </c>
      <c r="Q11" s="24" t="s">
        <v>32</v>
      </c>
      <c r="R11" s="25" t="s">
        <v>67</v>
      </c>
      <c r="S11" s="24">
        <v>2</v>
      </c>
      <c r="T11" s="26">
        <v>3.5</v>
      </c>
      <c r="U11" s="26">
        <f t="shared" si="4"/>
        <v>7</v>
      </c>
      <c r="V11" s="24" t="str">
        <f t="shared" si="5"/>
        <v>Moderate</v>
      </c>
      <c r="W11" s="25" t="s">
        <v>68</v>
      </c>
      <c r="X11" s="24" t="s">
        <v>35</v>
      </c>
    </row>
    <row r="12" spans="1:24" ht="108" customHeight="1" x14ac:dyDescent="0.25">
      <c r="A12" s="27" t="s">
        <v>69</v>
      </c>
      <c r="B12" s="27" t="s">
        <v>59</v>
      </c>
      <c r="C12" s="28" t="s">
        <v>70</v>
      </c>
      <c r="D12" s="28" t="s">
        <v>71</v>
      </c>
      <c r="E12" s="27">
        <v>2</v>
      </c>
      <c r="F12" s="27">
        <v>2</v>
      </c>
      <c r="G12" s="29">
        <f t="shared" si="0"/>
        <v>2</v>
      </c>
      <c r="H12" s="27">
        <v>5</v>
      </c>
      <c r="I12" s="27">
        <v>5</v>
      </c>
      <c r="J12" s="27">
        <v>5</v>
      </c>
      <c r="K12" s="27">
        <v>4</v>
      </c>
      <c r="L12" s="27">
        <v>5</v>
      </c>
      <c r="M12" s="27">
        <v>5</v>
      </c>
      <c r="N12" s="29">
        <f t="shared" si="1"/>
        <v>4.833333333333333</v>
      </c>
      <c r="O12" s="29">
        <f t="shared" si="2"/>
        <v>9.6666666666666661</v>
      </c>
      <c r="P12" s="27" t="str">
        <f t="shared" si="3"/>
        <v>Moderate</v>
      </c>
      <c r="Q12" s="27" t="s">
        <v>32</v>
      </c>
      <c r="R12" s="28" t="s">
        <v>72</v>
      </c>
      <c r="S12" s="27">
        <v>2</v>
      </c>
      <c r="T12" s="29">
        <v>3.5</v>
      </c>
      <c r="U12" s="29">
        <f t="shared" si="4"/>
        <v>7</v>
      </c>
      <c r="V12" s="27" t="str">
        <f t="shared" si="5"/>
        <v>Moderate</v>
      </c>
      <c r="W12" s="28" t="s">
        <v>73</v>
      </c>
      <c r="X12" s="27" t="s">
        <v>35</v>
      </c>
    </row>
    <row r="13" spans="1:24" ht="108" customHeight="1" x14ac:dyDescent="0.25">
      <c r="A13" s="24" t="s">
        <v>74</v>
      </c>
      <c r="B13" s="24" t="s">
        <v>75</v>
      </c>
      <c r="C13" s="25" t="s">
        <v>76</v>
      </c>
      <c r="D13" s="25" t="s">
        <v>38</v>
      </c>
      <c r="E13" s="24">
        <v>4</v>
      </c>
      <c r="F13" s="24">
        <v>3</v>
      </c>
      <c r="G13" s="26">
        <f t="shared" si="0"/>
        <v>3.5</v>
      </c>
      <c r="H13" s="24">
        <v>4</v>
      </c>
      <c r="I13" s="24">
        <v>4</v>
      </c>
      <c r="J13" s="24">
        <v>4</v>
      </c>
      <c r="K13" s="24">
        <v>3</v>
      </c>
      <c r="L13" s="24">
        <v>4</v>
      </c>
      <c r="M13" s="24">
        <v>4</v>
      </c>
      <c r="N13" s="26">
        <f t="shared" si="1"/>
        <v>3.8333333333333335</v>
      </c>
      <c r="O13" s="26">
        <f t="shared" si="2"/>
        <v>13.416666666666668</v>
      </c>
      <c r="P13" s="24" t="str">
        <f t="shared" si="3"/>
        <v>High</v>
      </c>
      <c r="Q13" s="24" t="s">
        <v>32</v>
      </c>
      <c r="R13" s="25" t="s">
        <v>77</v>
      </c>
      <c r="S13" s="24">
        <v>3</v>
      </c>
      <c r="T13" s="26">
        <v>3</v>
      </c>
      <c r="U13" s="26">
        <f t="shared" si="4"/>
        <v>9</v>
      </c>
      <c r="V13" s="24" t="str">
        <f t="shared" si="5"/>
        <v>Moderate</v>
      </c>
      <c r="W13" s="25" t="s">
        <v>78</v>
      </c>
      <c r="X13" s="24" t="s">
        <v>35</v>
      </c>
    </row>
    <row r="14" spans="1:24" ht="96" customHeight="1" x14ac:dyDescent="0.25">
      <c r="A14" s="27" t="s">
        <v>79</v>
      </c>
      <c r="B14" s="27" t="s">
        <v>75</v>
      </c>
      <c r="C14" s="28" t="s">
        <v>80</v>
      </c>
      <c r="D14" s="28" t="s">
        <v>81</v>
      </c>
      <c r="E14" s="27">
        <v>3</v>
      </c>
      <c r="F14" s="27">
        <v>3</v>
      </c>
      <c r="G14" s="29">
        <f t="shared" si="0"/>
        <v>3</v>
      </c>
      <c r="H14" s="27">
        <v>3</v>
      </c>
      <c r="I14" s="27">
        <v>4</v>
      </c>
      <c r="J14" s="27">
        <v>3</v>
      </c>
      <c r="K14" s="27">
        <v>3</v>
      </c>
      <c r="L14" s="27">
        <v>3</v>
      </c>
      <c r="M14" s="27">
        <v>3</v>
      </c>
      <c r="N14" s="29">
        <f t="shared" si="1"/>
        <v>3.1666666666666665</v>
      </c>
      <c r="O14" s="29">
        <f t="shared" si="2"/>
        <v>9.5</v>
      </c>
      <c r="P14" s="27" t="str">
        <f t="shared" si="3"/>
        <v>Moderate</v>
      </c>
      <c r="Q14" s="27" t="s">
        <v>32</v>
      </c>
      <c r="R14" s="28" t="s">
        <v>82</v>
      </c>
      <c r="S14" s="27">
        <v>2</v>
      </c>
      <c r="T14" s="29">
        <v>2.5</v>
      </c>
      <c r="U14" s="29">
        <f t="shared" si="4"/>
        <v>5</v>
      </c>
      <c r="V14" s="27" t="str">
        <f t="shared" si="5"/>
        <v>Moderate</v>
      </c>
      <c r="W14" s="28" t="s">
        <v>34</v>
      </c>
      <c r="X14" s="27" t="s">
        <v>35</v>
      </c>
    </row>
    <row r="15" spans="1:24" ht="108" customHeight="1" x14ac:dyDescent="0.25">
      <c r="A15" s="24" t="s">
        <v>83</v>
      </c>
      <c r="B15" s="24" t="s">
        <v>84</v>
      </c>
      <c r="C15" s="25" t="s">
        <v>85</v>
      </c>
      <c r="D15" s="25" t="s">
        <v>86</v>
      </c>
      <c r="E15" s="24">
        <v>3</v>
      </c>
      <c r="F15" s="24">
        <v>3</v>
      </c>
      <c r="G15" s="26">
        <f t="shared" si="0"/>
        <v>3</v>
      </c>
      <c r="H15" s="24">
        <v>4</v>
      </c>
      <c r="I15" s="24">
        <v>4</v>
      </c>
      <c r="J15" s="24">
        <v>2</v>
      </c>
      <c r="K15" s="24">
        <v>5</v>
      </c>
      <c r="L15" s="24">
        <v>4</v>
      </c>
      <c r="M15" s="24">
        <v>4</v>
      </c>
      <c r="N15" s="26">
        <f t="shared" si="1"/>
        <v>3.8333333333333335</v>
      </c>
      <c r="O15" s="26">
        <f t="shared" si="2"/>
        <v>11.5</v>
      </c>
      <c r="P15" s="24" t="str">
        <f t="shared" si="3"/>
        <v>Moderate</v>
      </c>
      <c r="Q15" s="24" t="s">
        <v>32</v>
      </c>
      <c r="R15" s="25" t="s">
        <v>87</v>
      </c>
      <c r="S15" s="24">
        <v>2</v>
      </c>
      <c r="T15" s="26">
        <v>3</v>
      </c>
      <c r="U15" s="26">
        <f t="shared" si="4"/>
        <v>6</v>
      </c>
      <c r="V15" s="24" t="str">
        <f t="shared" si="5"/>
        <v>Moderate</v>
      </c>
      <c r="W15" s="25" t="s">
        <v>88</v>
      </c>
      <c r="X15" s="24" t="s">
        <v>35</v>
      </c>
    </row>
    <row r="16" spans="1:24" ht="108" customHeight="1" x14ac:dyDescent="0.25">
      <c r="A16" s="27" t="s">
        <v>89</v>
      </c>
      <c r="B16" s="27" t="s">
        <v>84</v>
      </c>
      <c r="C16" s="28" t="s">
        <v>90</v>
      </c>
      <c r="D16" s="28" t="s">
        <v>91</v>
      </c>
      <c r="E16" s="27">
        <v>3</v>
      </c>
      <c r="F16" s="27">
        <v>2</v>
      </c>
      <c r="G16" s="29">
        <f t="shared" si="0"/>
        <v>2.5</v>
      </c>
      <c r="H16" s="27">
        <v>5</v>
      </c>
      <c r="I16" s="27">
        <v>4</v>
      </c>
      <c r="J16" s="27">
        <v>3</v>
      </c>
      <c r="K16" s="27">
        <v>5</v>
      </c>
      <c r="L16" s="27">
        <v>5</v>
      </c>
      <c r="M16" s="27">
        <v>5</v>
      </c>
      <c r="N16" s="29">
        <f t="shared" si="1"/>
        <v>4.5</v>
      </c>
      <c r="O16" s="29">
        <f t="shared" si="2"/>
        <v>11.25</v>
      </c>
      <c r="P16" s="27" t="str">
        <f t="shared" si="3"/>
        <v>Moderate</v>
      </c>
      <c r="Q16" s="27" t="s">
        <v>32</v>
      </c>
      <c r="R16" s="28" t="s">
        <v>92</v>
      </c>
      <c r="S16" s="27">
        <v>2</v>
      </c>
      <c r="T16" s="29">
        <v>3.5</v>
      </c>
      <c r="U16" s="29">
        <f t="shared" si="4"/>
        <v>7</v>
      </c>
      <c r="V16" s="27" t="str">
        <f t="shared" si="5"/>
        <v>Moderate</v>
      </c>
      <c r="W16" s="28" t="s">
        <v>57</v>
      </c>
      <c r="X16" s="27" t="s">
        <v>35</v>
      </c>
    </row>
    <row r="17" spans="1:24" ht="108" customHeight="1" x14ac:dyDescent="0.25">
      <c r="A17" s="24" t="s">
        <v>93</v>
      </c>
      <c r="B17" s="24" t="s">
        <v>84</v>
      </c>
      <c r="C17" s="25" t="s">
        <v>94</v>
      </c>
      <c r="D17" s="25" t="s">
        <v>95</v>
      </c>
      <c r="E17" s="24">
        <v>3</v>
      </c>
      <c r="F17" s="24">
        <v>2</v>
      </c>
      <c r="G17" s="26">
        <f t="shared" si="0"/>
        <v>2.5</v>
      </c>
      <c r="H17" s="24">
        <v>3</v>
      </c>
      <c r="I17" s="24">
        <v>4</v>
      </c>
      <c r="J17" s="24">
        <v>3</v>
      </c>
      <c r="K17" s="24">
        <v>5</v>
      </c>
      <c r="L17" s="24">
        <v>4</v>
      </c>
      <c r="M17" s="24">
        <v>3</v>
      </c>
      <c r="N17" s="26">
        <f t="shared" si="1"/>
        <v>3.6666666666666665</v>
      </c>
      <c r="O17" s="26">
        <f t="shared" si="2"/>
        <v>9.1666666666666661</v>
      </c>
      <c r="P17" s="24" t="str">
        <f t="shared" si="3"/>
        <v>Moderate</v>
      </c>
      <c r="Q17" s="24" t="s">
        <v>32</v>
      </c>
      <c r="R17" s="25" t="s">
        <v>96</v>
      </c>
      <c r="S17" s="24">
        <v>2</v>
      </c>
      <c r="T17" s="26">
        <v>3</v>
      </c>
      <c r="U17" s="26">
        <f t="shared" si="4"/>
        <v>6</v>
      </c>
      <c r="V17" s="24" t="str">
        <f t="shared" si="5"/>
        <v>Moderate</v>
      </c>
      <c r="W17" s="25" t="s">
        <v>97</v>
      </c>
      <c r="X17" s="24" t="s">
        <v>35</v>
      </c>
    </row>
    <row r="18" spans="1:24" ht="108" customHeight="1" x14ac:dyDescent="0.25">
      <c r="A18" s="27" t="s">
        <v>98</v>
      </c>
      <c r="B18" s="27" t="s">
        <v>84</v>
      </c>
      <c r="C18" s="28" t="s">
        <v>99</v>
      </c>
      <c r="D18" s="28" t="s">
        <v>100</v>
      </c>
      <c r="E18" s="27">
        <v>3</v>
      </c>
      <c r="F18" s="27">
        <v>3</v>
      </c>
      <c r="G18" s="29">
        <f t="shared" si="0"/>
        <v>3</v>
      </c>
      <c r="H18" s="27">
        <v>4</v>
      </c>
      <c r="I18" s="27">
        <v>3</v>
      </c>
      <c r="J18" s="27">
        <v>2</v>
      </c>
      <c r="K18" s="27">
        <v>4</v>
      </c>
      <c r="L18" s="27">
        <v>4</v>
      </c>
      <c r="M18" s="27">
        <v>3</v>
      </c>
      <c r="N18" s="29">
        <f t="shared" si="1"/>
        <v>3.3333333333333335</v>
      </c>
      <c r="O18" s="29">
        <f t="shared" si="2"/>
        <v>10</v>
      </c>
      <c r="P18" s="27" t="str">
        <f t="shared" si="3"/>
        <v>Moderate</v>
      </c>
      <c r="Q18" s="27" t="s">
        <v>32</v>
      </c>
      <c r="R18" s="28" t="s">
        <v>101</v>
      </c>
      <c r="S18" s="27">
        <v>2</v>
      </c>
      <c r="T18" s="29">
        <v>2.5</v>
      </c>
      <c r="U18" s="29">
        <f t="shared" si="4"/>
        <v>5</v>
      </c>
      <c r="V18" s="27" t="str">
        <f t="shared" si="5"/>
        <v>Moderate</v>
      </c>
      <c r="W18" s="28" t="s">
        <v>88</v>
      </c>
      <c r="X18" s="27" t="s">
        <v>35</v>
      </c>
    </row>
    <row r="19" spans="1:24" ht="120" customHeight="1" x14ac:dyDescent="0.25">
      <c r="A19" s="24" t="s">
        <v>102</v>
      </c>
      <c r="B19" s="24" t="s">
        <v>103</v>
      </c>
      <c r="C19" s="25" t="s">
        <v>104</v>
      </c>
      <c r="D19" s="25" t="s">
        <v>81</v>
      </c>
      <c r="E19" s="24">
        <v>4</v>
      </c>
      <c r="F19" s="24">
        <v>4</v>
      </c>
      <c r="G19" s="26">
        <f t="shared" si="0"/>
        <v>4</v>
      </c>
      <c r="H19" s="24">
        <v>3</v>
      </c>
      <c r="I19" s="24">
        <v>4</v>
      </c>
      <c r="J19" s="24">
        <v>4</v>
      </c>
      <c r="K19" s="24">
        <v>2</v>
      </c>
      <c r="L19" s="24">
        <v>3</v>
      </c>
      <c r="M19" s="24">
        <v>3</v>
      </c>
      <c r="N19" s="26">
        <f t="shared" si="1"/>
        <v>3.1666666666666665</v>
      </c>
      <c r="O19" s="26">
        <f t="shared" si="2"/>
        <v>12.666666666666666</v>
      </c>
      <c r="P19" s="24" t="str">
        <f t="shared" si="3"/>
        <v>Moderate</v>
      </c>
      <c r="Q19" s="24" t="s">
        <v>32</v>
      </c>
      <c r="R19" s="25" t="s">
        <v>105</v>
      </c>
      <c r="S19" s="24">
        <v>3</v>
      </c>
      <c r="T19" s="26">
        <v>2.5</v>
      </c>
      <c r="U19" s="26">
        <f t="shared" si="4"/>
        <v>7.5</v>
      </c>
      <c r="V19" s="24" t="str">
        <f t="shared" si="5"/>
        <v>Moderate</v>
      </c>
      <c r="W19" s="25" t="s">
        <v>34</v>
      </c>
      <c r="X19" s="24" t="s">
        <v>35</v>
      </c>
    </row>
    <row r="20" spans="1:24" ht="96" customHeight="1" x14ac:dyDescent="0.25">
      <c r="A20" s="27" t="s">
        <v>106</v>
      </c>
      <c r="B20" s="27" t="s">
        <v>103</v>
      </c>
      <c r="C20" s="28" t="s">
        <v>107</v>
      </c>
      <c r="D20" s="28" t="s">
        <v>108</v>
      </c>
      <c r="E20" s="27">
        <v>3</v>
      </c>
      <c r="F20" s="27">
        <v>3</v>
      </c>
      <c r="G20" s="29">
        <f t="shared" si="0"/>
        <v>3</v>
      </c>
      <c r="H20" s="27">
        <v>3</v>
      </c>
      <c r="I20" s="27">
        <v>3</v>
      </c>
      <c r="J20" s="27">
        <v>5</v>
      </c>
      <c r="K20" s="27">
        <v>3</v>
      </c>
      <c r="L20" s="27">
        <v>4</v>
      </c>
      <c r="M20" s="27">
        <v>4</v>
      </c>
      <c r="N20" s="29">
        <f t="shared" si="1"/>
        <v>3.6666666666666665</v>
      </c>
      <c r="O20" s="29">
        <f t="shared" si="2"/>
        <v>11</v>
      </c>
      <c r="P20" s="27" t="str">
        <f t="shared" si="3"/>
        <v>Moderate</v>
      </c>
      <c r="Q20" s="27" t="s">
        <v>32</v>
      </c>
      <c r="R20" s="28" t="s">
        <v>109</v>
      </c>
      <c r="S20" s="27">
        <v>2</v>
      </c>
      <c r="T20" s="29">
        <v>3.5</v>
      </c>
      <c r="U20" s="29">
        <f t="shared" si="4"/>
        <v>7</v>
      </c>
      <c r="V20" s="27" t="str">
        <f t="shared" si="5"/>
        <v>Moderate</v>
      </c>
      <c r="W20" s="28" t="s">
        <v>63</v>
      </c>
      <c r="X20" s="27" t="s">
        <v>35</v>
      </c>
    </row>
    <row r="21" spans="1:24" ht="96" customHeight="1" x14ac:dyDescent="0.25">
      <c r="A21" s="24" t="s">
        <v>110</v>
      </c>
      <c r="B21" s="24" t="s">
        <v>47</v>
      </c>
      <c r="C21" s="25" t="s">
        <v>111</v>
      </c>
      <c r="D21" s="25" t="s">
        <v>49</v>
      </c>
      <c r="E21" s="24">
        <v>4</v>
      </c>
      <c r="F21" s="24">
        <v>4</v>
      </c>
      <c r="G21" s="26">
        <f t="shared" si="0"/>
        <v>4</v>
      </c>
      <c r="H21" s="24">
        <v>4</v>
      </c>
      <c r="I21" s="24">
        <v>3</v>
      </c>
      <c r="J21" s="24">
        <v>2</v>
      </c>
      <c r="K21" s="24">
        <v>3</v>
      </c>
      <c r="L21" s="24">
        <v>3</v>
      </c>
      <c r="M21" s="24">
        <v>4</v>
      </c>
      <c r="N21" s="26">
        <f t="shared" si="1"/>
        <v>3.1666666666666665</v>
      </c>
      <c r="O21" s="26">
        <f t="shared" si="2"/>
        <v>12.666666666666666</v>
      </c>
      <c r="P21" s="24" t="str">
        <f t="shared" si="3"/>
        <v>Moderate</v>
      </c>
      <c r="Q21" s="24" t="s">
        <v>32</v>
      </c>
      <c r="R21" s="25" t="s">
        <v>112</v>
      </c>
      <c r="S21" s="24">
        <v>3</v>
      </c>
      <c r="T21" s="26">
        <v>2.5</v>
      </c>
      <c r="U21" s="26">
        <f t="shared" si="4"/>
        <v>7.5</v>
      </c>
      <c r="V21" s="24" t="str">
        <f t="shared" si="5"/>
        <v>Moderate</v>
      </c>
      <c r="W21" s="25" t="s">
        <v>113</v>
      </c>
      <c r="X21" s="24" t="s">
        <v>35</v>
      </c>
    </row>
    <row r="22" spans="1:24" ht="96" customHeight="1" x14ac:dyDescent="0.25">
      <c r="A22" s="27" t="s">
        <v>114</v>
      </c>
      <c r="B22" s="27" t="s">
        <v>59</v>
      </c>
      <c r="C22" s="28" t="s">
        <v>115</v>
      </c>
      <c r="D22" s="28" t="s">
        <v>116</v>
      </c>
      <c r="E22" s="27">
        <v>2</v>
      </c>
      <c r="F22" s="27">
        <v>2</v>
      </c>
      <c r="G22" s="29">
        <f t="shared" si="0"/>
        <v>2</v>
      </c>
      <c r="H22" s="27">
        <v>3</v>
      </c>
      <c r="I22" s="27">
        <v>2</v>
      </c>
      <c r="J22" s="27">
        <v>2</v>
      </c>
      <c r="K22" s="27">
        <v>4</v>
      </c>
      <c r="L22" s="27">
        <v>4</v>
      </c>
      <c r="M22" s="27">
        <v>3</v>
      </c>
      <c r="N22" s="29">
        <f t="shared" si="1"/>
        <v>3</v>
      </c>
      <c r="O22" s="29">
        <f t="shared" si="2"/>
        <v>6</v>
      </c>
      <c r="P22" s="27" t="str">
        <f t="shared" si="3"/>
        <v>Moderate</v>
      </c>
      <c r="Q22" s="27" t="s">
        <v>32</v>
      </c>
      <c r="R22" s="28" t="s">
        <v>117</v>
      </c>
      <c r="S22" s="27">
        <v>2</v>
      </c>
      <c r="T22" s="29">
        <v>2</v>
      </c>
      <c r="U22" s="29">
        <f t="shared" si="4"/>
        <v>4</v>
      </c>
      <c r="V22" s="27" t="str">
        <f t="shared" si="5"/>
        <v>Low</v>
      </c>
      <c r="W22" s="28" t="s">
        <v>118</v>
      </c>
      <c r="X22" s="27" t="s">
        <v>35</v>
      </c>
    </row>
    <row r="23" spans="1:24" ht="108" customHeight="1" x14ac:dyDescent="0.25">
      <c r="A23" s="24" t="s">
        <v>119</v>
      </c>
      <c r="B23" s="24" t="s">
        <v>75</v>
      </c>
      <c r="C23" s="25" t="s">
        <v>120</v>
      </c>
      <c r="D23" s="25" t="s">
        <v>81</v>
      </c>
      <c r="E23" s="24">
        <v>3</v>
      </c>
      <c r="F23" s="24">
        <v>3</v>
      </c>
      <c r="G23" s="26">
        <f t="shared" si="0"/>
        <v>3</v>
      </c>
      <c r="H23" s="24">
        <v>3</v>
      </c>
      <c r="I23" s="24">
        <v>4</v>
      </c>
      <c r="J23" s="24">
        <v>4</v>
      </c>
      <c r="K23" s="24">
        <v>3</v>
      </c>
      <c r="L23" s="24">
        <v>3</v>
      </c>
      <c r="M23" s="24">
        <v>3</v>
      </c>
      <c r="N23" s="26">
        <f t="shared" si="1"/>
        <v>3.3333333333333335</v>
      </c>
      <c r="O23" s="26">
        <f t="shared" si="2"/>
        <v>10</v>
      </c>
      <c r="P23" s="24" t="str">
        <f t="shared" si="3"/>
        <v>Moderate</v>
      </c>
      <c r="Q23" s="24" t="s">
        <v>32</v>
      </c>
      <c r="R23" s="25" t="s">
        <v>121</v>
      </c>
      <c r="S23" s="24">
        <v>2</v>
      </c>
      <c r="T23" s="26">
        <v>2.5</v>
      </c>
      <c r="U23" s="26">
        <f t="shared" si="4"/>
        <v>5</v>
      </c>
      <c r="V23" s="24" t="str">
        <f t="shared" si="5"/>
        <v>Moderate</v>
      </c>
      <c r="W23" s="25" t="s">
        <v>122</v>
      </c>
      <c r="X23" s="24" t="s">
        <v>35</v>
      </c>
    </row>
    <row r="24" spans="1:24" ht="96" customHeight="1" x14ac:dyDescent="0.25">
      <c r="A24" s="27" t="s">
        <v>123</v>
      </c>
      <c r="B24" s="27" t="s">
        <v>29</v>
      </c>
      <c r="C24" s="28" t="s">
        <v>124</v>
      </c>
      <c r="D24" s="28" t="s">
        <v>100</v>
      </c>
      <c r="E24" s="27">
        <v>4</v>
      </c>
      <c r="F24" s="27">
        <v>4</v>
      </c>
      <c r="G24" s="29">
        <f t="shared" si="0"/>
        <v>4</v>
      </c>
      <c r="H24" s="27">
        <v>5</v>
      </c>
      <c r="I24" s="27">
        <v>3</v>
      </c>
      <c r="J24" s="27">
        <v>1</v>
      </c>
      <c r="K24" s="27">
        <v>3</v>
      </c>
      <c r="L24" s="27">
        <v>4</v>
      </c>
      <c r="M24" s="27">
        <v>3</v>
      </c>
      <c r="N24" s="29">
        <f t="shared" si="1"/>
        <v>3.1666666666666665</v>
      </c>
      <c r="O24" s="29">
        <f t="shared" si="2"/>
        <v>12.666666666666666</v>
      </c>
      <c r="P24" s="27" t="str">
        <f t="shared" si="3"/>
        <v>Moderate</v>
      </c>
      <c r="Q24" s="27" t="s">
        <v>32</v>
      </c>
      <c r="R24" s="28" t="s">
        <v>125</v>
      </c>
      <c r="S24" s="27">
        <v>3</v>
      </c>
      <c r="T24" s="29">
        <v>2.5</v>
      </c>
      <c r="U24" s="29">
        <f t="shared" si="4"/>
        <v>7.5</v>
      </c>
      <c r="V24" s="27" t="str">
        <f t="shared" si="5"/>
        <v>Moderate</v>
      </c>
      <c r="W24" s="28" t="s">
        <v>45</v>
      </c>
      <c r="X24" s="27" t="s">
        <v>35</v>
      </c>
    </row>
  </sheetData>
  <mergeCells count="5">
    <mergeCell ref="O3:P3"/>
    <mergeCell ref="S3:V3"/>
    <mergeCell ref="A2:X2"/>
    <mergeCell ref="H3:N3"/>
    <mergeCell ref="E3:G3"/>
  </mergeCells>
  <conditionalFormatting sqref="O5:O24">
    <cfRule type="cellIs" dxfId="15" priority="9" operator="greaterThanOrEqual">
      <formula>17</formula>
    </cfRule>
    <cfRule type="cellIs" dxfId="14" priority="10" operator="between">
      <formula>13</formula>
      <formula>16.99</formula>
    </cfRule>
    <cfRule type="cellIs" dxfId="13" priority="11" operator="between">
      <formula>5</formula>
      <formula>12.99</formula>
    </cfRule>
    <cfRule type="cellIs" dxfId="12" priority="12" operator="between">
      <formula>1</formula>
      <formula>4.99</formula>
    </cfRule>
  </conditionalFormatting>
  <conditionalFormatting sqref="P5:P24">
    <cfRule type="cellIs" dxfId="11" priority="1" operator="equal">
      <formula>"Critical"</formula>
    </cfRule>
    <cfRule type="cellIs" dxfId="10" priority="2" operator="equal">
      <formula>"High"</formula>
    </cfRule>
    <cfRule type="cellIs" dxfId="9" priority="3" operator="equal">
      <formula>"Moderate"</formula>
    </cfRule>
    <cfRule type="cellIs" dxfId="8" priority="4" operator="equal">
      <formula>"Low"</formula>
    </cfRule>
  </conditionalFormatting>
  <conditionalFormatting sqref="U5:U24">
    <cfRule type="cellIs" dxfId="7" priority="13" operator="greaterThanOrEqual">
      <formula>17</formula>
    </cfRule>
    <cfRule type="cellIs" dxfId="6" priority="14" operator="between">
      <formula>13</formula>
      <formula>16.99</formula>
    </cfRule>
    <cfRule type="cellIs" dxfId="5" priority="15" operator="between">
      <formula>5</formula>
      <formula>12.99</formula>
    </cfRule>
    <cfRule type="cellIs" dxfId="4" priority="16" operator="between">
      <formula>1</formula>
      <formula>4.99</formula>
    </cfRule>
  </conditionalFormatting>
  <conditionalFormatting sqref="V5:V24">
    <cfRule type="cellIs" dxfId="3" priority="5" operator="equal">
      <formula>"Critical"</formula>
    </cfRule>
    <cfRule type="cellIs" dxfId="2" priority="6" operator="equal">
      <formula>"High"</formula>
    </cfRule>
    <cfRule type="cellIs" dxfId="1" priority="7" operator="equal">
      <formula>"Moderate"</formula>
    </cfRule>
    <cfRule type="cellIs" dxfId="0" priority="8" operator="equal">
      <formula>"Low"</formula>
    </cfRule>
  </conditionalFormatting>
  <pageMargins left="0.75" right="0.75" top="1" bottom="1" header="0.511811023622047" footer="0.511811023622047"/>
  <pageSetup paperSize="9"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showGridLines="0" zoomScaleNormal="100" workbookViewId="0"/>
  </sheetViews>
  <sheetFormatPr defaultColWidth="8.7109375" defaultRowHeight="15" customHeight="1" x14ac:dyDescent="0.25"/>
  <cols>
    <col min="1" max="1" width="14" customWidth="1"/>
    <col min="2" max="2" width="20" customWidth="1"/>
    <col min="3" max="10" width="14" customWidth="1"/>
  </cols>
  <sheetData>
    <row r="1" spans="1:10" ht="53.25" customHeight="1" x14ac:dyDescent="0.25">
      <c r="A1" s="30"/>
      <c r="B1" s="30"/>
      <c r="C1" s="30"/>
      <c r="D1" s="30"/>
      <c r="E1" s="30"/>
      <c r="F1" s="30"/>
      <c r="G1" s="30"/>
      <c r="H1" s="30"/>
      <c r="I1" s="30"/>
      <c r="J1" s="30"/>
    </row>
    <row r="2" spans="1:10" ht="24" customHeight="1" x14ac:dyDescent="0.25">
      <c r="A2" s="38" t="s">
        <v>224</v>
      </c>
      <c r="B2" s="36"/>
      <c r="C2" s="36"/>
      <c r="D2" s="36"/>
      <c r="E2" s="36"/>
      <c r="F2" s="36"/>
      <c r="G2" s="36"/>
      <c r="H2" s="36"/>
      <c r="I2" s="36"/>
      <c r="J2" s="36"/>
    </row>
    <row r="3" spans="1:10" ht="15" customHeight="1" x14ac:dyDescent="0.25">
      <c r="A3" s="30"/>
      <c r="B3" s="30"/>
      <c r="C3" s="30"/>
      <c r="D3" s="30"/>
      <c r="E3" s="30"/>
      <c r="F3" s="30"/>
      <c r="G3" s="30"/>
      <c r="H3" s="30"/>
      <c r="I3" s="30"/>
      <c r="J3" s="30"/>
    </row>
    <row r="4" spans="1:10" ht="15" customHeight="1" x14ac:dyDescent="0.25">
      <c r="A4" s="30"/>
      <c r="B4" s="58" t="s">
        <v>225</v>
      </c>
      <c r="C4" s="36"/>
      <c r="D4" s="36"/>
      <c r="E4" s="36"/>
      <c r="F4" s="36"/>
      <c r="G4" s="36"/>
      <c r="H4" s="36"/>
      <c r="I4" s="36"/>
      <c r="J4" s="30"/>
    </row>
    <row r="5" spans="1:10" ht="15" customHeight="1" x14ac:dyDescent="0.25">
      <c r="A5" s="30"/>
      <c r="B5" s="11" t="s">
        <v>226</v>
      </c>
      <c r="C5" s="30"/>
      <c r="D5" s="11" t="s">
        <v>227</v>
      </c>
      <c r="E5" s="30"/>
      <c r="F5" s="11" t="s">
        <v>228</v>
      </c>
      <c r="G5" s="30"/>
      <c r="H5" s="11" t="s">
        <v>229</v>
      </c>
      <c r="I5" s="30"/>
      <c r="J5" s="30"/>
    </row>
    <row r="6" spans="1:10" ht="17.25" customHeight="1" x14ac:dyDescent="0.3">
      <c r="A6" s="30"/>
      <c r="B6" s="12">
        <f>COUNTA('Risk Assessment'!A5:A24)</f>
        <v>20</v>
      </c>
      <c r="C6" s="30"/>
      <c r="D6" s="12">
        <f>COUNTIF('Risk Assessment'!P5:P24,"Critical")</f>
        <v>1</v>
      </c>
      <c r="E6" s="30"/>
      <c r="F6" s="12">
        <f>COUNTIF('Risk Assessment'!P5:P24,"High")</f>
        <v>4</v>
      </c>
      <c r="G6" s="30"/>
      <c r="H6" s="12">
        <f>COUNTIF('Risk Assessment'!P5:P24,"Moderate")</f>
        <v>15</v>
      </c>
      <c r="I6" s="30"/>
      <c r="J6" s="30"/>
    </row>
    <row r="7" spans="1:10" ht="15" customHeight="1" x14ac:dyDescent="0.25">
      <c r="A7" s="30"/>
      <c r="B7" s="30"/>
      <c r="C7" s="30"/>
      <c r="D7" s="30"/>
      <c r="E7" s="30"/>
      <c r="F7" s="30"/>
      <c r="G7" s="30"/>
      <c r="H7" s="30"/>
      <c r="I7" s="30"/>
      <c r="J7" s="30"/>
    </row>
    <row r="8" spans="1:10" ht="15" customHeight="1" x14ac:dyDescent="0.25">
      <c r="A8" s="30"/>
      <c r="B8" s="13" t="s">
        <v>230</v>
      </c>
      <c r="C8" s="30"/>
      <c r="D8" s="13" t="s">
        <v>231</v>
      </c>
      <c r="E8" s="30"/>
      <c r="F8" s="13" t="s">
        <v>232</v>
      </c>
      <c r="G8" s="30"/>
      <c r="H8" s="30"/>
      <c r="I8" s="30"/>
      <c r="J8" s="30"/>
    </row>
    <row r="9" spans="1:10" ht="17.25" customHeight="1" x14ac:dyDescent="0.3">
      <c r="A9" s="30"/>
      <c r="B9" s="14">
        <f>AVERAGE('Risk Assessment'!O5:O24)</f>
        <v>12.158333333333331</v>
      </c>
      <c r="C9" s="30"/>
      <c r="D9" s="14">
        <f>MAX('Risk Assessment'!O5:O24)</f>
        <v>24.166666666666664</v>
      </c>
      <c r="E9" s="30"/>
      <c r="F9" s="15">
        <f>COUNTIF('Risk Assessment'!P5:P24,"Low")</f>
        <v>0</v>
      </c>
      <c r="G9" s="30"/>
      <c r="H9" s="30"/>
      <c r="I9" s="30"/>
      <c r="J9" s="30"/>
    </row>
    <row r="10" spans="1:10" ht="15" customHeight="1" x14ac:dyDescent="0.25">
      <c r="A10" s="30"/>
      <c r="B10" s="30"/>
      <c r="C10" s="30"/>
      <c r="D10" s="30"/>
      <c r="E10" s="30"/>
      <c r="F10" s="30"/>
      <c r="G10" s="30"/>
      <c r="H10" s="30"/>
      <c r="I10" s="30"/>
      <c r="J10" s="30"/>
    </row>
    <row r="11" spans="1:10" ht="15" customHeight="1" x14ac:dyDescent="0.25">
      <c r="A11" s="30"/>
      <c r="B11" s="58" t="s">
        <v>233</v>
      </c>
      <c r="C11" s="36"/>
      <c r="D11" s="36"/>
      <c r="E11" s="36"/>
      <c r="F11" s="36"/>
      <c r="G11" s="36"/>
      <c r="H11" s="36"/>
      <c r="I11" s="36"/>
      <c r="J11" s="30"/>
    </row>
    <row r="12" spans="1:10" ht="15" customHeight="1" x14ac:dyDescent="0.25">
      <c r="A12" s="30"/>
      <c r="B12" s="61" t="s">
        <v>222</v>
      </c>
      <c r="C12" s="36"/>
      <c r="D12" s="36"/>
      <c r="E12" s="16">
        <f>COUNTIF('Risk Assessment'!P5:P24,"Critical")</f>
        <v>1</v>
      </c>
      <c r="F12" s="30"/>
      <c r="G12" s="30"/>
      <c r="H12" s="30"/>
      <c r="I12" s="30"/>
      <c r="J12" s="30"/>
    </row>
    <row r="13" spans="1:10" ht="15" customHeight="1" x14ac:dyDescent="0.25">
      <c r="A13" s="30"/>
      <c r="B13" s="52" t="s">
        <v>220</v>
      </c>
      <c r="C13" s="36"/>
      <c r="D13" s="36"/>
      <c r="E13" s="16">
        <f>COUNTIF('Risk Assessment'!P5:P24,"High")</f>
        <v>4</v>
      </c>
      <c r="F13" s="30"/>
      <c r="G13" s="30"/>
      <c r="H13" s="30"/>
      <c r="I13" s="30"/>
      <c r="J13" s="30"/>
    </row>
    <row r="14" spans="1:10" ht="15" customHeight="1" x14ac:dyDescent="0.25">
      <c r="A14" s="30"/>
      <c r="B14" s="57" t="s">
        <v>218</v>
      </c>
      <c r="C14" s="36"/>
      <c r="D14" s="36"/>
      <c r="E14" s="16">
        <f>COUNTIF('Risk Assessment'!P5:P24,"Moderate")</f>
        <v>15</v>
      </c>
      <c r="F14" s="30"/>
      <c r="G14" s="30"/>
      <c r="H14" s="30"/>
      <c r="I14" s="30"/>
      <c r="J14" s="30"/>
    </row>
    <row r="15" spans="1:10" ht="15" customHeight="1" x14ac:dyDescent="0.25">
      <c r="A15" s="30"/>
      <c r="B15" s="60" t="s">
        <v>216</v>
      </c>
      <c r="C15" s="36"/>
      <c r="D15" s="36"/>
      <c r="E15" s="16">
        <f>COUNTIF('Risk Assessment'!P5:P24,"Low")</f>
        <v>0</v>
      </c>
      <c r="F15" s="30"/>
      <c r="G15" s="30"/>
      <c r="H15" s="30"/>
      <c r="I15" s="30"/>
      <c r="J15" s="30"/>
    </row>
    <row r="16" spans="1:10" ht="15" customHeight="1" x14ac:dyDescent="0.25">
      <c r="A16" s="30"/>
      <c r="B16" s="30"/>
      <c r="C16" s="30"/>
      <c r="D16" s="30"/>
      <c r="E16" s="30"/>
      <c r="F16" s="30"/>
      <c r="G16" s="30"/>
      <c r="H16" s="30"/>
      <c r="I16" s="30"/>
      <c r="J16" s="30"/>
    </row>
    <row r="17" spans="1:10" ht="15" customHeight="1" x14ac:dyDescent="0.25">
      <c r="A17" s="30"/>
      <c r="B17" s="58" t="s">
        <v>234</v>
      </c>
      <c r="C17" s="36"/>
      <c r="D17" s="36"/>
      <c r="E17" s="36"/>
      <c r="F17" s="36"/>
      <c r="G17" s="36"/>
      <c r="H17" s="36"/>
      <c r="I17" s="36"/>
      <c r="J17" s="30"/>
    </row>
    <row r="18" spans="1:10" ht="15" customHeight="1" x14ac:dyDescent="0.25">
      <c r="A18" s="30"/>
      <c r="B18" s="1" t="s">
        <v>235</v>
      </c>
      <c r="C18" s="1" t="s">
        <v>236</v>
      </c>
      <c r="D18" s="1" t="s">
        <v>237</v>
      </c>
      <c r="E18" s="1" t="s">
        <v>238</v>
      </c>
      <c r="F18" s="30"/>
      <c r="G18" s="30"/>
      <c r="H18" s="30"/>
      <c r="I18" s="30"/>
      <c r="J18" s="30"/>
    </row>
    <row r="19" spans="1:10" ht="15" customHeight="1" x14ac:dyDescent="0.25">
      <c r="A19" s="30"/>
      <c r="B19" s="17" t="s">
        <v>29</v>
      </c>
      <c r="C19" s="18">
        <f>COUNTIF('Risk Assessment'!B5:B24,"POLITICAL")</f>
        <v>4</v>
      </c>
      <c r="D19" s="19">
        <f>IFERROR(AVERAGEIF('Risk Assessment'!B5:B24,"POLITICAL",'Risk Assessment'!O5:O24),0)</f>
        <v>16.875</v>
      </c>
      <c r="E19" s="19">
        <f ca="1">IFERROR(_xludf.aggregate(14,6,'Risk Assessment'!O5:O24/('Risk Assessment'!B5:B24="POLITICAL"),1),0)</f>
        <v>0</v>
      </c>
      <c r="F19" s="30"/>
      <c r="G19" s="30"/>
      <c r="H19" s="30"/>
      <c r="I19" s="30"/>
      <c r="J19" s="30"/>
    </row>
    <row r="20" spans="1:10" ht="15" customHeight="1" x14ac:dyDescent="0.25">
      <c r="A20" s="30"/>
      <c r="B20" s="20" t="s">
        <v>47</v>
      </c>
      <c r="C20" s="21">
        <f>COUNTIF('Risk Assessment'!B5:B24,"ECONOMIC")</f>
        <v>3</v>
      </c>
      <c r="D20" s="22">
        <f>IFERROR(AVERAGEIF('Risk Assessment'!B5:B24,"ECONOMIC",'Risk Assessment'!O5:O24),0)</f>
        <v>12.555555555555555</v>
      </c>
      <c r="E20" s="22">
        <f ca="1">IFERROR(_xludf.aggregate(14,6,'Risk Assessment'!O5:O24/('Risk Assessment'!B5:B24="ECONOMIC"),1),0)</f>
        <v>0</v>
      </c>
      <c r="F20" s="30"/>
      <c r="G20" s="30"/>
      <c r="H20" s="30"/>
      <c r="I20" s="30"/>
      <c r="J20" s="30"/>
    </row>
    <row r="21" spans="1:10" ht="15" customHeight="1" x14ac:dyDescent="0.25">
      <c r="A21" s="30"/>
      <c r="B21" s="17" t="s">
        <v>59</v>
      </c>
      <c r="C21" s="18">
        <f>COUNTIF('Risk Assessment'!B5:B24,"SOCIAL")</f>
        <v>4</v>
      </c>
      <c r="D21" s="19">
        <f>IFERROR(AVERAGEIF('Risk Assessment'!B5:B24,"SOCIAL",'Risk Assessment'!O5:O24),0)</f>
        <v>9.875</v>
      </c>
      <c r="E21" s="19">
        <f ca="1">IFERROR(_xludf.aggregate(14,6,'Risk Assessment'!O5:O24/('Risk Assessment'!B5:B24="SOCIAL"),1),0)</f>
        <v>0</v>
      </c>
      <c r="F21" s="30"/>
      <c r="G21" s="30"/>
      <c r="H21" s="30"/>
      <c r="I21" s="30"/>
      <c r="J21" s="30"/>
    </row>
    <row r="22" spans="1:10" ht="15" customHeight="1" x14ac:dyDescent="0.25">
      <c r="A22" s="30"/>
      <c r="B22" s="20" t="s">
        <v>75</v>
      </c>
      <c r="C22" s="21">
        <f>COUNTIF('Risk Assessment'!B5:B24,"TECHNOLOGICAL")</f>
        <v>3</v>
      </c>
      <c r="D22" s="22">
        <f>IFERROR(AVERAGEIF('Risk Assessment'!B5:B24,"TECHNOLOGICAL",'Risk Assessment'!O5:O24),0)</f>
        <v>10.972222222222223</v>
      </c>
      <c r="E22" s="22">
        <f ca="1">IFERROR(_xludf.aggregate(14,6,'Risk Assessment'!O5:O24/('Risk Assessment'!B5:B24="TECHNOLOGICAL"),1),0)</f>
        <v>0</v>
      </c>
      <c r="F22" s="30"/>
      <c r="G22" s="30"/>
      <c r="H22" s="30"/>
      <c r="I22" s="30"/>
      <c r="J22" s="30"/>
    </row>
    <row r="23" spans="1:10" ht="15" customHeight="1" x14ac:dyDescent="0.25">
      <c r="A23" s="30"/>
      <c r="B23" s="17" t="s">
        <v>84</v>
      </c>
      <c r="C23" s="18">
        <f>COUNTIF('Risk Assessment'!B5:B24,"LEGAL")</f>
        <v>4</v>
      </c>
      <c r="D23" s="19">
        <f>IFERROR(AVERAGEIF('Risk Assessment'!B5:B24,"LEGAL",'Risk Assessment'!O5:O24),0)</f>
        <v>10.479166666666666</v>
      </c>
      <c r="E23" s="19">
        <f ca="1">IFERROR(_xludf.aggregate(14,6,'Risk Assessment'!O5:O24/('Risk Assessment'!B5:B24="LEGAL"),1),0)</f>
        <v>0</v>
      </c>
      <c r="F23" s="30"/>
      <c r="G23" s="30"/>
      <c r="H23" s="30"/>
      <c r="I23" s="30"/>
      <c r="J23" s="30"/>
    </row>
    <row r="24" spans="1:10" ht="15" customHeight="1" x14ac:dyDescent="0.25">
      <c r="A24" s="30"/>
      <c r="B24" s="20" t="s">
        <v>103</v>
      </c>
      <c r="C24" s="21">
        <f>COUNTIF('Risk Assessment'!B5:B24,"ENVIRONMENTAL")</f>
        <v>2</v>
      </c>
      <c r="D24" s="22">
        <f>IFERROR(AVERAGEIF('Risk Assessment'!B5:B24,"ENVIRONMENTAL",'Risk Assessment'!O5:O24),0)</f>
        <v>11.833333333333332</v>
      </c>
      <c r="E24" s="22">
        <f ca="1">IFERROR(_xludf.aggregate(14,6,'Risk Assessment'!O5:O24/('Risk Assessment'!B5:B24="ENVIRONMENTAL"),1),0)</f>
        <v>0</v>
      </c>
      <c r="F24" s="30"/>
      <c r="G24" s="30"/>
      <c r="H24" s="30"/>
      <c r="I24" s="30"/>
      <c r="J24" s="30"/>
    </row>
  </sheetData>
  <mergeCells count="8">
    <mergeCell ref="A2:J2"/>
    <mergeCell ref="B12:D12"/>
    <mergeCell ref="B4:I4"/>
    <mergeCell ref="B17:I17"/>
    <mergeCell ref="B14:D14"/>
    <mergeCell ref="B15:D15"/>
    <mergeCell ref="B11:I11"/>
    <mergeCell ref="B13:D13"/>
  </mergeCells>
  <pageMargins left="0.75" right="0.75" top="1" bottom="1"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Methodology</vt:lpstr>
      <vt:lpstr>Risk Assessment</vt:lpstr>
      <vt:lpstr>Risk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 Watts</cp:lastModifiedBy>
  <cp:revision>0</cp:revision>
  <dcterms:created xsi:type="dcterms:W3CDTF">2026-03-23T06:16:24Z</dcterms:created>
  <dcterms:modified xsi:type="dcterms:W3CDTF">2026-03-31T14:29:33Z</dcterms:modified>
  <dc:language>en-US</dc:language>
</cp:coreProperties>
</file>