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
    </mc:Choice>
  </mc:AlternateContent>
  <xr:revisionPtr revIDLastSave="5" documentId="11_3CB0E3947141C170A0548B9E523C757BB351C5AB" xr6:coauthVersionLast="47" xr6:coauthVersionMax="47" xr10:uidLastSave="{48FAEF0A-77C3-4A37-97C6-FFF18243F3DF}"/>
  <bookViews>
    <workbookView xWindow="-120" yWindow="-120" windowWidth="77040" windowHeight="21120" tabRatio="500"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0" i="4" l="1"/>
  <c r="M20" i="4" s="1"/>
  <c r="G20" i="4"/>
  <c r="H20" i="4" s="1"/>
  <c r="L19" i="4"/>
  <c r="M19" i="4" s="1"/>
  <c r="H19" i="4"/>
  <c r="G19" i="4"/>
  <c r="L18" i="4"/>
  <c r="M18" i="4" s="1"/>
  <c r="G18" i="4"/>
  <c r="H18" i="4" s="1"/>
  <c r="L17" i="4"/>
  <c r="M17" i="4" s="1"/>
  <c r="G17" i="4"/>
  <c r="H17" i="4" s="1"/>
  <c r="L16" i="4"/>
  <c r="M16" i="4" s="1"/>
  <c r="G16" i="4"/>
  <c r="H16" i="4" s="1"/>
  <c r="L15" i="4"/>
  <c r="M15" i="4" s="1"/>
  <c r="G15" i="4"/>
  <c r="H15" i="4" s="1"/>
  <c r="L14" i="4"/>
  <c r="M14" i="4" s="1"/>
  <c r="G14" i="4"/>
  <c r="H14" i="4" s="1"/>
  <c r="L13" i="4"/>
  <c r="M13" i="4" s="1"/>
  <c r="G13" i="4"/>
  <c r="H13" i="4" s="1"/>
  <c r="L12" i="4"/>
  <c r="M12" i="4" s="1"/>
  <c r="G12" i="4"/>
  <c r="H12" i="4" s="1"/>
  <c r="L11" i="4"/>
  <c r="M11" i="4" s="1"/>
  <c r="G11" i="4"/>
  <c r="H11" i="4" s="1"/>
  <c r="L10" i="4"/>
  <c r="M10" i="4" s="1"/>
  <c r="G10" i="4"/>
  <c r="H10" i="4" s="1"/>
  <c r="L9" i="4"/>
  <c r="M9" i="4" s="1"/>
  <c r="G9" i="4"/>
  <c r="H9" i="4" s="1"/>
  <c r="L8" i="4"/>
  <c r="M8" i="4" s="1"/>
  <c r="G8" i="4"/>
  <c r="H8" i="4" s="1"/>
  <c r="L7" i="4"/>
  <c r="M7" i="4" s="1"/>
  <c r="G7" i="4"/>
  <c r="H7" i="4" s="1"/>
  <c r="L6" i="4"/>
  <c r="M6" i="4" s="1"/>
  <c r="G6" i="4"/>
  <c r="H6" i="4" s="1"/>
  <c r="L5" i="4"/>
  <c r="M5" i="4" s="1"/>
  <c r="G5" i="4"/>
  <c r="H5" i="4" s="1"/>
  <c r="D29" i="1"/>
  <c r="D26" i="1"/>
  <c r="D25" i="1"/>
  <c r="D24" i="1"/>
  <c r="C6" i="1"/>
  <c r="D12" i="1" l="1"/>
  <c r="E12" i="1" s="1"/>
  <c r="D6" i="1"/>
  <c r="D11" i="1"/>
  <c r="E11" i="1" s="1"/>
  <c r="D10" i="1"/>
  <c r="E10" i="1" s="1"/>
  <c r="G6" i="1"/>
  <c r="D13" i="1"/>
  <c r="E13" i="1" s="1"/>
  <c r="F6" i="1"/>
  <c r="E6" i="1"/>
  <c r="D28" i="1"/>
  <c r="D19" i="1"/>
  <c r="E19" i="1" s="1"/>
  <c r="D18" i="1"/>
  <c r="E18" i="1" s="1"/>
  <c r="D17" i="1"/>
  <c r="E17" i="1" s="1"/>
  <c r="D20" i="1"/>
  <c r="E20" i="1" s="1"/>
  <c r="D27" i="1"/>
</calcChain>
</file>

<file path=xl/sharedStrings.xml><?xml version="1.0" encoding="utf-8"?>
<sst xmlns="http://schemas.openxmlformats.org/spreadsheetml/2006/main" count="250" uniqueCount="200">
  <si>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</si>
  <si>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</si>
  <si>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</si>
  <si>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</si>
  <si>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</si>
  <si>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</si>
  <si>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</si>
  <si>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</si>
  <si>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</si>
  <si>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</si>
  <si>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</si>
  <si>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</si>
  <si>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</si>
  <si>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</si>
  <si>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</si>
  <si>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</si>
  <si>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</si>
  <si>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</si>
  <si>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</si>
  <si>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</si>
  <si>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</si>
  <si>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</si>
  <si>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</si>
  <si>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</si>
  <si>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</si>
  <si>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</si>
  <si>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</si>
  <si>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SM/HSE/RA/004</t>
  </si>
  <si>
    <t>Version:</t>
  </si>
  <si>
    <t>1.0</t>
  </si>
  <si>
    <t>Effective Date:</t>
  </si>
  <si>
    <t>15 March 2026</t>
  </si>
  <si>
    <t>Review Date:</t>
  </si>
  <si>
    <t>15 September 2026</t>
  </si>
  <si>
    <t>Assessed by:</t>
  </si>
  <si>
    <t>Group Compliance Director</t>
  </si>
  <si>
    <t>Status:</t>
  </si>
  <si>
    <t>Active</t>
  </si>
  <si>
    <t>SAFETY RISK ASSESSMENT – WEAPONS HANDLING &amp; ARMOURY OPERATIONS</t>
  </si>
  <si>
    <t>RISK MANAGEMENT INFORMATION</t>
  </si>
  <si>
    <t>Risk Assessment ID:</t>
  </si>
  <si>
    <t>RA-004</t>
  </si>
  <si>
    <t>Location:</t>
  </si>
  <si>
    <t>Vessel-based armouries – all operational regions (IOR, WAF, PG)</t>
  </si>
  <si>
    <t>Activity Description:</t>
  </si>
  <si>
    <t>The storage, issue, maintenance, cleaning, and control of firearms and ammunition within vessel-based armouries. Includes weapons handling during issue and return, armoury security, ammunition management, weapons cleaning, and daily inventory procedures.</t>
  </si>
  <si>
    <t>Contributors:</t>
  </si>
  <si>
    <t>Senior Operations Manager, Vessel Managers, Armourers</t>
  </si>
  <si>
    <t>Responsible Persons:</t>
  </si>
  <si>
    <t>Senior Operations Manager, Vessel Managers, Team Leaders, Armourers, Team Members</t>
  </si>
  <si>
    <t>Management have day-to-day responsibility for health and safety and must be aware of the hazards and control measures in this assessment. They must ensure all staff are aware of the findings and that adequate training and supervision is in place.</t>
  </si>
  <si>
    <t>Team Leaders, Armourers and Team Members are to ensure they have read the risk assessment, understood and acknowledged the controls, and follow any instructions given.</t>
  </si>
  <si>
    <t>COMMUNICATION &amp; CONSULTATION / RECORDING &amp; REPORTING / MONITORING &amp; REVIEW</t>
  </si>
  <si>
    <t>This risk assessment must be shared with all personnel engaged with the activity. All personnel must confirm they have read and understood the assessment before deployment. A record of this must be maintained.</t>
  </si>
  <si>
    <t>Monitoring and supervision: Seagull Maritime must monitor the activities of all personnel through regular checks, toolbox talks, and debrief reports.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</si>
  <si>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</si>
  <si>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</si>
  <si>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</si>
  <si>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</si>
  <si>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</si>
  <si>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</si>
  <si>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</si>
  <si>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</si>
  <si>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</si>
  <si>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</si>
  <si>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</si>
  <si>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</si>
  <si>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</si>
  <si>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</si>
  <si>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</si>
  <si>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</si>
  <si>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</si>
  <si>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</si>
  <si>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</si>
  <si>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</si>
  <si>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</si>
  <si>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</si>
  <si>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</si>
  <si>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</si>
  <si>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</si>
  <si>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</si>
  <si>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</si>
  <si>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</si>
  <si>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</si>
  <si>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</si>
  <si>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</si>
  <si>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</si>
  <si>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</si>
  <si>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</si>
  <si>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</si>
  <si>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</si>
  <si>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</si>
  <si>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</si>
  <si>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</si>
  <si>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</si>
  <si>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</si>
  <si>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</si>
  <si>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</si>
  <si>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</si>
  <si>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</si>
  <si>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</si>
  <si>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</si>
  <si>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</si>
  <si>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</si>
  <si>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</si>
  <si>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</si>
  <si>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</si>
  <si>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</si>
  <si>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</si>
  <si>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</si>
  <si>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</si>
  <si>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</si>
  <si>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</si>
  <si>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</si>
  <si>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</si>
  <si>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</si>
  <si>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</si>
  <si>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</si>
  <si>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</si>
  <si>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</si>
  <si>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</si>
  <si>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</si>
  <si>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</si>
  <si>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</si>
  <si>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WA-001</t>
  </si>
  <si>
    <t>Negligent discharge of firearm</t>
  </si>
  <si>
    <t>Accidental discharge during handling, cleaning, issue, or return may cause serious injury or death.</t>
  </si>
  <si>
    <t>Security Team / Vessel Crew</t>
  </si>
  <si>
    <t>All weapons cleared and verified safe before entering armoury.
Weapons handling SOPs followed at all times.
Designated safe direction maintained during all handling.
Armourer fully trained and assessed as competent.
Weapons condition checks at every issue and return.
No loaded weapons permitted inside armoury.</t>
  </si>
  <si>
    <t>Open</t>
  </si>
  <si>
    <t>WA-002</t>
  </si>
  <si>
    <t>Unauthorised access to armoury</t>
  </si>
  <si>
    <t>Unauthorised personnel accessing weapons storage may result in theft, misuse, injury, or loss of certification.</t>
  </si>
  <si>
    <t>Security Team / Vessel Crew / Client Personnel</t>
  </si>
  <si>
    <t>Armoury secured with controlled access – key held by Team Leader only.
Access log maintained for all entries.
Authorised persons signage displayed.
Client personnel prohibited from armoury area.
Daily security inspections of armoury locks and seals.
Armoury CCTV or monitoring where available.</t>
  </si>
  <si>
    <t>WA-003</t>
  </si>
  <si>
    <t>Manual handling – weapons and ammunition</t>
  </si>
  <si>
    <t>Lifting, carrying, or moving heavy weapons cases and ammunition boxes may cause musculoskeletal injuries including back strain, shoulder injury, or crush injuries.</t>
  </si>
  <si>
    <t>Security Team / Armourer</t>
  </si>
  <si>
    <t>Personnel trained in safe manual handling techniques.
Heavy items stored at low level.
Two-person lift required for heavy cases.
Walkways and access routes kept clear.
Appropriate footwear worn at all times.
Equipment trolley available for heavy loads.</t>
  </si>
  <si>
    <t>WA-004</t>
  </si>
  <si>
    <t>Falling objects – weapons racks / storage</t>
  </si>
  <si>
    <t>Improperly secured weapons, ammunition boxes, or equipment may fall during vessel movement, causing crush or impact injuries.</t>
  </si>
  <si>
    <t>All weapons secured in racks with retention straps or clips.
Ammunition boxes fitted with restraints to prevent movement at sea.
Heavy items stored at low level.
Racks inspected for structural integrity and secure mounting.
Armoury stowage checked before sailing and during heavy weather.</t>
  </si>
  <si>
    <t>WA-005</t>
  </si>
  <si>
    <t>Fire in armoury</t>
  </si>
  <si>
    <t>Fire caused by electrical fault, smoking, or external source in or near the armoury may ignite ammunition or propellants, causing explosion, burns, or toxic fume exposure.</t>
  </si>
  <si>
    <t>No smoking in or near armoury – signage displayed.
Fire detection and suppression equipment maintained in armoury.
Electrical systems inspected regularly.
Ammunition stored in approved fire-resistant containers.
Fire drill includes armoury-specific response procedures.
Armoury included in vessel fire risk assessment.</t>
  </si>
  <si>
    <t>WA-006</t>
  </si>
  <si>
    <t>Electrical hazards</t>
  </si>
  <si>
    <t>Faulty wiring, damaged cables, or defective electrical equipment in the armoury may cause electric shock or burns.</t>
  </si>
  <si>
    <t>Personnel report defective plugs, sockets, and cables immediately.
Defective equipment taken out of service and labelled.
Portable appliance testing conducted where applicable.
No unauthorised modifications to electrical systems.
Armoury lighting maintained and inspected.</t>
  </si>
  <si>
    <t>WA-007</t>
  </si>
  <si>
    <t>Ammunition management – incorrect storage</t>
  </si>
  <si>
    <t>Incorrect storage of ammunition (mixed types, damaged rounds, exposure to heat) may cause accidental detonation, misfires, or degradation affecting weapon safety.</t>
  </si>
  <si>
    <t>Ammunition stored separately from weapons in approved containers.
Ammunition types segregated and clearly labelled.
Damaged or suspect ammunition quarantined and disposed of per procedure.
Temperature and humidity monitored in armoury where practicable.
Ammunition inventory conducted daily with discrepancies reported immediately.</t>
  </si>
  <si>
    <t>WA-008</t>
  </si>
  <si>
    <t>Weapons cleaning – chemical exposure</t>
  </si>
  <si>
    <t>Solvents, lubricants, and cleaning chemicals used during weapons maintenance may cause skin irritation, respiratory issues, or eye injury.</t>
  </si>
  <si>
    <t>Material safety data sheets available for all cleaning chemicals.
Adequate ventilation maintained during cleaning operations.
Gloves and eye protection worn when handling solvents.
Chemicals stored in original labelled containers.
Personnel briefed on safe use and first aid measures.</t>
  </si>
  <si>
    <t>WA-009</t>
  </si>
  <si>
    <t>Weapons cleaning – mechanical injury</t>
  </si>
  <si>
    <t>Moving parts, springs, and small components during weapons stripping and assembly may cause cuts, pinch injuries, or eye injury from flying parts.</t>
  </si>
  <si>
    <t>Weapons always cleared and verified safe before stripping.
Cleaning conducted on designated bench with adequate lighting.
Eye protection available.
Personnel trained in correct stripping and assembly procedures.
Small parts contained in tray to prevent loss or projection.</t>
  </si>
  <si>
    <t>WA-010</t>
  </si>
  <si>
    <t>Heat stress in armoury</t>
  </si>
  <si>
    <t>Working in an enclosed, poorly ventilated armoury in hot climates may cause heat exhaustion, dehydration, or heat stroke.</t>
  </si>
  <si>
    <t>Air conditioning or forced ventilation provided where possible.
Personnel encouraged to hydrate regularly.
Work periods limited in extreme heat with rest breaks in cooler areas.
Personnel trained to recognise heat stress symptoms.
Armoury door may be opened for ventilation when secure conditions permit.</t>
  </si>
  <si>
    <t>WA-011</t>
  </si>
  <si>
    <t>Noise exposure</t>
  </si>
  <si>
    <t>Weapons testing, mechanical work, or proximity to engine rooms may expose armoury personnel to harmful noise levels causing hearing damage.</t>
  </si>
  <si>
    <t>Hearing protection issued for high-noise activities.
Personnel briefed on noise hazards.
Exposure duration limited where possible.
Armoury location assessed for ambient noise levels.
Hearing protection available and maintained in armoury.</t>
  </si>
  <si>
    <t>WA-012</t>
  </si>
  <si>
    <t>Standing for prolonged periods</t>
  </si>
  <si>
    <t>Extended periods working in the armoury while standing may cause musculoskeletal issues including back pain, joint problems, and circulatory issues.</t>
  </si>
  <si>
    <t>Armourer</t>
  </si>
  <si>
    <t>Chair or stool provided in armoury.
Armoury duties rotated where possible.
Personnel briefed on posture and regular movement.
Anti-fatigue matting provided where practicable.</t>
  </si>
  <si>
    <t>WA-013</t>
  </si>
  <si>
    <t>Client personnel interference</t>
  </si>
  <si>
    <t>Client vessel crew entering or interfering with armoury operations may create unsafe conditions, distraction, or accidental contact with weapons.</t>
  </si>
  <si>
    <t>Authorised persons signage prominently displayed.
Armoury door secured when armourer not present.
Client crew briefed during induction on restricted areas.
Team Leader addresses any non-compliance immediately.
Incidents of unauthorised access reported and logged.</t>
  </si>
  <si>
    <t>WA-014</t>
  </si>
  <si>
    <t>Inventory discrepancy – lost or unaccounted weapons</t>
  </si>
  <si>
    <t>Failure to maintain accurate weapons and ammunition inventory may result in lost weapons, legal breach, regulatory sanction, or loss of operating licence.</t>
  </si>
  <si>
    <t>Security Team / Company</t>
  </si>
  <si>
    <t>Daily weapons and ammunition count conducted and recorded.
Serial numbers verified against register at every issue and return.
Discrepancies reported immediately to operations and compliance.
Weapons register maintained with full audit trail.
Handover procedure between armourers includes joint count and sign-off.</t>
  </si>
  <si>
    <t>WA-015</t>
  </si>
  <si>
    <t>Dangerous machinery – maintenance equipment</t>
  </si>
  <si>
    <t>Use of drills, lathes, or power tools for weapons or armoury maintenance may cause cuts, crush injuries, or entanglement.</t>
  </si>
  <si>
    <t>Machinery operated per manufacturer instructions only.
Only qualified personnel authorised to use power tools.
Guards and safety devices maintained on all equipment.
PPE worn when operating machinery.
Equipment inspected before use.</t>
  </si>
  <si>
    <t>WA-016</t>
  </si>
  <si>
    <t>Lone working in armoury</t>
  </si>
  <si>
    <t>Working alone in the armoury with weapons and ammunition presents increased risk from accidental discharge, medical emergency, or injury with no immediate assistance available.</t>
  </si>
  <si>
    <t>Lone working policy applied to armoury duties.
Regular check-ins required during lone armoury work.
Communication device carried at all times.
Emergency alarm or call system accessible from armoury.
Buddy system implemented for high-risk armoury tasks (weapons cleaning, heavy lifts).</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</si>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</sst>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7">
    <xf numFmtId="0" fontId="0" fillId="0" borderId="0" xfId="0"/>
    <xf numFmtId="0" fontId="4" fillId="0" borderId="3" xfId="0" applyFont="1" applyBorder="1"/>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vertical="center"/>
    </xf>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9" fillId="0" borderId="3" xfId="0" applyFont="1" applyBorder="1"/>
    <xf numFmtId="0" fontId="0" fillId="0" borderId="0" xfId="0" applyBorder="1"/>
    <xf numFmtId="0" fontId="0" fillId="0" borderId="4" xfId="0" applyBorder="1"/>
    <xf numFmtId="0" fontId="9" fillId="0" borderId="1" xfId="0" applyFont="1" applyBorder="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tabSelected="1" zoomScaleNormal="100" workbookViewId="0">
      <selection sqref="A1:C1"/>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12"/>
      <c r="B1" s="12"/>
      <c r="C1" s="12"/>
    </row>
    <row r="2" spans="1:6" ht="26.25" customHeight="1" x14ac:dyDescent="0.25">
      <c r="A2" s="11" t="s">
        <v>38</v>
      </c>
      <c r="B2" s="11"/>
      <c r="C2" s="11"/>
      <c r="D2" s="11"/>
      <c r="E2" s="11"/>
      <c r="F2" s="11"/>
    </row>
    <row r="4" spans="1:6" ht="15.75" customHeight="1" x14ac:dyDescent="0.25">
      <c r="A4" s="29" t="s">
        <v>39</v>
      </c>
    </row>
    <row r="6" spans="1:6" ht="15.75" customHeight="1" x14ac:dyDescent="0.25">
      <c r="A6" s="27" t="s">
        <v>40</v>
      </c>
      <c r="B6" s="28" t="s">
        <v>41</v>
      </c>
      <c r="C6" s="30" t="s">
        <v>42</v>
      </c>
      <c r="D6" s="28" t="s">
        <v>43</v>
      </c>
    </row>
    <row r="7" spans="1:6" ht="38.25" customHeight="1" x14ac:dyDescent="0.25">
      <c r="A7" s="27" t="s">
        <v>44</v>
      </c>
      <c r="B7" s="10" t="s">
        <v>45</v>
      </c>
      <c r="C7" s="10"/>
      <c r="D7" s="10"/>
    </row>
    <row r="8" spans="1:6" ht="15.75" customHeight="1" x14ac:dyDescent="0.25">
      <c r="A8" s="27" t="s">
        <v>34</v>
      </c>
      <c r="B8" s="10" t="s">
        <v>35</v>
      </c>
      <c r="C8" s="10"/>
      <c r="D8" s="10"/>
    </row>
    <row r="9" spans="1:6" ht="15.75" customHeight="1" x14ac:dyDescent="0.25">
      <c r="A9" s="27" t="s">
        <v>46</v>
      </c>
      <c r="B9" s="10" t="s">
        <v>47</v>
      </c>
      <c r="C9" s="10"/>
      <c r="D9" s="10"/>
    </row>
    <row r="10" spans="1:6" ht="15.75" customHeight="1" x14ac:dyDescent="0.25">
      <c r="A10" s="27" t="s">
        <v>30</v>
      </c>
      <c r="B10" s="10" t="s">
        <v>31</v>
      </c>
      <c r="C10" s="10"/>
      <c r="D10" s="10"/>
    </row>
    <row r="11" spans="1:6" ht="30" customHeight="1" x14ac:dyDescent="0.25">
      <c r="A11" s="9" t="s">
        <v>48</v>
      </c>
      <c r="B11" s="10" t="s">
        <v>49</v>
      </c>
      <c r="C11" s="10"/>
      <c r="D11" s="10"/>
    </row>
    <row r="12" spans="1:6" ht="30" customHeight="1" x14ac:dyDescent="0.25">
      <c r="A12" s="9"/>
      <c r="B12" s="10" t="s">
        <v>50</v>
      </c>
      <c r="C12" s="10"/>
      <c r="D12" s="10"/>
    </row>
    <row r="13" spans="1:6" ht="30" customHeight="1" x14ac:dyDescent="0.25">
      <c r="A13" s="9"/>
      <c r="B13" s="10" t="s">
        <v>51</v>
      </c>
      <c r="C13" s="10"/>
      <c r="D13" s="10"/>
    </row>
    <row r="14" spans="1:6" ht="30" customHeight="1" x14ac:dyDescent="0.25">
      <c r="A14" s="9"/>
    </row>
    <row r="15" spans="1:6" ht="15.75" customHeight="1" x14ac:dyDescent="0.25">
      <c r="A15" s="27" t="s">
        <v>32</v>
      </c>
      <c r="B15" s="10" t="s">
        <v>33</v>
      </c>
      <c r="C15" s="10"/>
      <c r="D15" s="10"/>
    </row>
    <row r="17" spans="1:4" ht="15.75" x14ac:dyDescent="0.25">
      <c r="A17" s="8" t="s">
        <v>52</v>
      </c>
      <c r="B17" s="8"/>
      <c r="C17" s="8"/>
      <c r="D17" s="8"/>
    </row>
    <row r="18" spans="1:4" ht="22.35" customHeight="1" x14ac:dyDescent="0.25">
      <c r="A18" s="7" t="s">
        <v>53</v>
      </c>
      <c r="B18" s="7"/>
      <c r="C18" s="7"/>
      <c r="D18" s="7"/>
    </row>
    <row r="19" spans="1:4" ht="22.35" customHeight="1" x14ac:dyDescent="0.25">
      <c r="A19" s="7" t="s">
        <v>54</v>
      </c>
      <c r="B19" s="7"/>
      <c r="C19" s="7"/>
      <c r="D19" s="7"/>
    </row>
    <row r="20" spans="1:4" ht="22.35" customHeight="1" x14ac:dyDescent="0.25">
      <c r="A20" s="7" t="s">
        <v>55</v>
      </c>
      <c r="B20" s="7"/>
      <c r="C20" s="7"/>
      <c r="D20" s="7"/>
    </row>
    <row r="22" spans="1:4" ht="15.75" x14ac:dyDescent="0.25">
      <c r="A22" s="13" t="s">
        <v>56</v>
      </c>
      <c r="B22" s="13"/>
      <c r="C22" s="13"/>
      <c r="D22" s="13"/>
    </row>
    <row r="23" spans="1:4" ht="60" customHeight="1" x14ac:dyDescent="0.25">
      <c r="A23" s="7" t="s">
        <v>45</v>
      </c>
      <c r="B23" s="7"/>
      <c r="C23" s="7"/>
      <c r="D23" s="7"/>
    </row>
  </sheetData>
  <mergeCells count="17">
    <mergeCell ref="A22:D22"/>
    <mergeCell ref="A23:D23"/>
    <mergeCell ref="B15:D15"/>
    <mergeCell ref="A17:D17"/>
    <mergeCell ref="A18:D18"/>
    <mergeCell ref="A19:D19"/>
    <mergeCell ref="A20:D20"/>
    <mergeCell ref="B10:D10"/>
    <mergeCell ref="A11:A14"/>
    <mergeCell ref="B11:D11"/>
    <mergeCell ref="B12:D12"/>
    <mergeCell ref="B13:D13"/>
    <mergeCell ref="A1:C1"/>
    <mergeCell ref="A2:F2"/>
    <mergeCell ref="B7:D7"/>
    <mergeCell ref="B8:D8"/>
    <mergeCell ref="B9:D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topLeftCell="A5" zoomScaleNormal="100" workbookViewId="0">
      <selection activeCell="A27" sqref="A27:C27"/>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4" t="s">
        <v>113</v>
      </c>
      <c r="B2" s="14"/>
      <c r="C2" s="14"/>
      <c r="D2" s="14"/>
      <c r="E2" s="14"/>
      <c r="F2" s="14"/>
      <c r="G2" s="14"/>
      <c r="H2" s="14"/>
      <c r="I2" s="14"/>
      <c r="J2" s="14"/>
      <c r="K2" s="14"/>
      <c r="L2" s="14"/>
      <c r="M2" s="14"/>
      <c r="N2" s="14"/>
    </row>
    <row r="4" spans="1:14" ht="24" customHeight="1" x14ac:dyDescent="0.25">
      <c r="A4" s="16" t="s">
        <v>114</v>
      </c>
      <c r="B4" s="16" t="s">
        <v>115</v>
      </c>
      <c r="C4" s="16" t="s">
        <v>116</v>
      </c>
      <c r="D4" s="16" t="s">
        <v>117</v>
      </c>
      <c r="E4" s="16" t="s">
        <v>59</v>
      </c>
      <c r="F4" s="16" t="s">
        <v>60</v>
      </c>
      <c r="G4" s="16" t="s">
        <v>118</v>
      </c>
      <c r="H4" s="16" t="s">
        <v>8</v>
      </c>
      <c r="I4" s="16" t="s">
        <v>119</v>
      </c>
      <c r="J4" s="16" t="s">
        <v>120</v>
      </c>
      <c r="K4" s="16" t="s">
        <v>121</v>
      </c>
      <c r="L4" s="16" t="s">
        <v>122</v>
      </c>
      <c r="M4" s="16" t="s">
        <v>8</v>
      </c>
      <c r="N4" s="16" t="s">
        <v>123</v>
      </c>
    </row>
    <row r="5" spans="1:14" ht="93.75" customHeight="1" x14ac:dyDescent="0.25">
      <c r="A5" s="19" t="s">
        <v>124</v>
      </c>
      <c r="B5" s="25" t="s">
        <v>125</v>
      </c>
      <c r="C5" s="28" t="s">
        <v>126</v>
      </c>
      <c r="D5" s="31" t="s">
        <v>127</v>
      </c>
      <c r="E5" s="19">
        <v>2</v>
      </c>
      <c r="F5" s="19">
        <v>5</v>
      </c>
      <c r="G5" s="19">
        <f t="shared" ref="G5:G20" si="0">E5*F5</f>
        <v>10</v>
      </c>
      <c r="H5" s="19" t="str">
        <f t="shared" ref="H5:H20" si="1">IF(G5&lt;=4,"Low",IF(G5&lt;=9,"Medium",IF(G5&lt;=15,"High","Critical")))</f>
        <v>High</v>
      </c>
      <c r="I5" s="28" t="s">
        <v>128</v>
      </c>
      <c r="J5" s="19">
        <v>1</v>
      </c>
      <c r="K5" s="19">
        <v>5</v>
      </c>
      <c r="L5" s="19">
        <f t="shared" ref="L5:L20" si="2">J5*K5</f>
        <v>5</v>
      </c>
      <c r="M5" s="19" t="str">
        <f t="shared" ref="M5:M20" si="3">IF(L5="","",IF(L5&lt;=4,"Low",IF(L5&lt;=9,"Medium",IF(L5&lt;=15,"High","Critical"))))</f>
        <v>Medium</v>
      </c>
      <c r="N5" s="31" t="s">
        <v>129</v>
      </c>
    </row>
    <row r="6" spans="1:14" ht="93.75" customHeight="1" x14ac:dyDescent="0.25">
      <c r="A6" s="19" t="s">
        <v>130</v>
      </c>
      <c r="B6" s="25" t="s">
        <v>131</v>
      </c>
      <c r="C6" s="28" t="s">
        <v>132</v>
      </c>
      <c r="D6" s="31" t="s">
        <v>133</v>
      </c>
      <c r="E6" s="19">
        <v>2</v>
      </c>
      <c r="F6" s="19">
        <v>5</v>
      </c>
      <c r="G6" s="19">
        <f t="shared" si="0"/>
        <v>10</v>
      </c>
      <c r="H6" s="19" t="str">
        <f t="shared" si="1"/>
        <v>High</v>
      </c>
      <c r="I6" s="28" t="s">
        <v>134</v>
      </c>
      <c r="J6" s="19">
        <v>1</v>
      </c>
      <c r="K6" s="19">
        <v>5</v>
      </c>
      <c r="L6" s="19">
        <f t="shared" si="2"/>
        <v>5</v>
      </c>
      <c r="M6" s="19" t="str">
        <f t="shared" si="3"/>
        <v>Medium</v>
      </c>
      <c r="N6" s="31" t="s">
        <v>129</v>
      </c>
    </row>
    <row r="7" spans="1:14" ht="93.75" customHeight="1" x14ac:dyDescent="0.25">
      <c r="A7" s="19" t="s">
        <v>135</v>
      </c>
      <c r="B7" s="25" t="s">
        <v>136</v>
      </c>
      <c r="C7" s="28" t="s">
        <v>137</v>
      </c>
      <c r="D7" s="31" t="s">
        <v>138</v>
      </c>
      <c r="E7" s="19">
        <v>2</v>
      </c>
      <c r="F7" s="19">
        <v>3</v>
      </c>
      <c r="G7" s="19">
        <f t="shared" si="0"/>
        <v>6</v>
      </c>
      <c r="H7" s="19" t="str">
        <f t="shared" si="1"/>
        <v>Medium</v>
      </c>
      <c r="I7" s="28" t="s">
        <v>139</v>
      </c>
      <c r="J7" s="19">
        <v>1</v>
      </c>
      <c r="K7" s="19">
        <v>3</v>
      </c>
      <c r="L7" s="19">
        <f t="shared" si="2"/>
        <v>3</v>
      </c>
      <c r="M7" s="19" t="str">
        <f t="shared" si="3"/>
        <v>Low</v>
      </c>
      <c r="N7" s="31" t="s">
        <v>129</v>
      </c>
    </row>
    <row r="8" spans="1:14" ht="81" customHeight="1" x14ac:dyDescent="0.25">
      <c r="A8" s="19" t="s">
        <v>140</v>
      </c>
      <c r="B8" s="25" t="s">
        <v>141</v>
      </c>
      <c r="C8" s="28" t="s">
        <v>142</v>
      </c>
      <c r="D8" s="31" t="s">
        <v>138</v>
      </c>
      <c r="E8" s="19">
        <v>2</v>
      </c>
      <c r="F8" s="19">
        <v>5</v>
      </c>
      <c r="G8" s="19">
        <f t="shared" si="0"/>
        <v>10</v>
      </c>
      <c r="H8" s="19" t="str">
        <f t="shared" si="1"/>
        <v>High</v>
      </c>
      <c r="I8" s="28" t="s">
        <v>143</v>
      </c>
      <c r="J8" s="19">
        <v>1</v>
      </c>
      <c r="K8" s="19">
        <v>5</v>
      </c>
      <c r="L8" s="19">
        <f t="shared" si="2"/>
        <v>5</v>
      </c>
      <c r="M8" s="19" t="str">
        <f t="shared" si="3"/>
        <v>Medium</v>
      </c>
      <c r="N8" s="31" t="s">
        <v>129</v>
      </c>
    </row>
    <row r="9" spans="1:14" ht="93.75" customHeight="1" x14ac:dyDescent="0.25">
      <c r="A9" s="19" t="s">
        <v>144</v>
      </c>
      <c r="B9" s="25" t="s">
        <v>145</v>
      </c>
      <c r="C9" s="28" t="s">
        <v>146</v>
      </c>
      <c r="D9" s="31" t="s">
        <v>127</v>
      </c>
      <c r="E9" s="19">
        <v>2</v>
      </c>
      <c r="F9" s="19">
        <v>5</v>
      </c>
      <c r="G9" s="19">
        <f t="shared" si="0"/>
        <v>10</v>
      </c>
      <c r="H9" s="19" t="str">
        <f t="shared" si="1"/>
        <v>High</v>
      </c>
      <c r="I9" s="28" t="s">
        <v>147</v>
      </c>
      <c r="J9" s="19">
        <v>1</v>
      </c>
      <c r="K9" s="19">
        <v>5</v>
      </c>
      <c r="L9" s="19">
        <f t="shared" si="2"/>
        <v>5</v>
      </c>
      <c r="M9" s="19" t="str">
        <f t="shared" si="3"/>
        <v>Medium</v>
      </c>
      <c r="N9" s="31" t="s">
        <v>129</v>
      </c>
    </row>
    <row r="10" spans="1:14" ht="81" customHeight="1" x14ac:dyDescent="0.25">
      <c r="A10" s="19" t="s">
        <v>148</v>
      </c>
      <c r="B10" s="25" t="s">
        <v>149</v>
      </c>
      <c r="C10" s="28" t="s">
        <v>150</v>
      </c>
      <c r="D10" s="31" t="s">
        <v>138</v>
      </c>
      <c r="E10" s="19">
        <v>1</v>
      </c>
      <c r="F10" s="19">
        <v>4</v>
      </c>
      <c r="G10" s="19">
        <f t="shared" si="0"/>
        <v>4</v>
      </c>
      <c r="H10" s="19" t="str">
        <f t="shared" si="1"/>
        <v>Low</v>
      </c>
      <c r="I10" s="28" t="s">
        <v>151</v>
      </c>
      <c r="J10" s="19">
        <v>1</v>
      </c>
      <c r="K10" s="19">
        <v>4</v>
      </c>
      <c r="L10" s="19">
        <f t="shared" si="2"/>
        <v>4</v>
      </c>
      <c r="M10" s="19" t="str">
        <f t="shared" si="3"/>
        <v>Low</v>
      </c>
      <c r="N10" s="31" t="s">
        <v>129</v>
      </c>
    </row>
    <row r="11" spans="1:14" ht="81" customHeight="1" x14ac:dyDescent="0.25">
      <c r="A11" s="19" t="s">
        <v>152</v>
      </c>
      <c r="B11" s="25" t="s">
        <v>153</v>
      </c>
      <c r="C11" s="28" t="s">
        <v>154</v>
      </c>
      <c r="D11" s="31" t="s">
        <v>138</v>
      </c>
      <c r="E11" s="19">
        <v>2</v>
      </c>
      <c r="F11" s="19">
        <v>5</v>
      </c>
      <c r="G11" s="19">
        <f t="shared" si="0"/>
        <v>10</v>
      </c>
      <c r="H11" s="19" t="str">
        <f t="shared" si="1"/>
        <v>High</v>
      </c>
      <c r="I11" s="28" t="s">
        <v>155</v>
      </c>
      <c r="J11" s="19">
        <v>1</v>
      </c>
      <c r="K11" s="19">
        <v>5</v>
      </c>
      <c r="L11" s="19">
        <f t="shared" si="2"/>
        <v>5</v>
      </c>
      <c r="M11" s="19" t="str">
        <f t="shared" si="3"/>
        <v>Medium</v>
      </c>
      <c r="N11" s="31" t="s">
        <v>129</v>
      </c>
    </row>
    <row r="12" spans="1:14" ht="81" customHeight="1" x14ac:dyDescent="0.25">
      <c r="A12" s="19" t="s">
        <v>156</v>
      </c>
      <c r="B12" s="25" t="s">
        <v>157</v>
      </c>
      <c r="C12" s="28" t="s">
        <v>158</v>
      </c>
      <c r="D12" s="31" t="s">
        <v>138</v>
      </c>
      <c r="E12" s="19">
        <v>2</v>
      </c>
      <c r="F12" s="19">
        <v>3</v>
      </c>
      <c r="G12" s="19">
        <f t="shared" si="0"/>
        <v>6</v>
      </c>
      <c r="H12" s="19" t="str">
        <f t="shared" si="1"/>
        <v>Medium</v>
      </c>
      <c r="I12" s="28" t="s">
        <v>159</v>
      </c>
      <c r="J12" s="19">
        <v>1</v>
      </c>
      <c r="K12" s="19">
        <v>3</v>
      </c>
      <c r="L12" s="19">
        <f t="shared" si="2"/>
        <v>3</v>
      </c>
      <c r="M12" s="19" t="str">
        <f t="shared" si="3"/>
        <v>Low</v>
      </c>
      <c r="N12" s="31" t="s">
        <v>129</v>
      </c>
    </row>
    <row r="13" spans="1:14" ht="81" customHeight="1" x14ac:dyDescent="0.25">
      <c r="A13" s="19" t="s">
        <v>160</v>
      </c>
      <c r="B13" s="25" t="s">
        <v>161</v>
      </c>
      <c r="C13" s="28" t="s">
        <v>162</v>
      </c>
      <c r="D13" s="31" t="s">
        <v>138</v>
      </c>
      <c r="E13" s="19">
        <v>2</v>
      </c>
      <c r="F13" s="19">
        <v>3</v>
      </c>
      <c r="G13" s="19">
        <f t="shared" si="0"/>
        <v>6</v>
      </c>
      <c r="H13" s="19" t="str">
        <f t="shared" si="1"/>
        <v>Medium</v>
      </c>
      <c r="I13" s="28" t="s">
        <v>163</v>
      </c>
      <c r="J13" s="19">
        <v>1</v>
      </c>
      <c r="K13" s="19">
        <v>3</v>
      </c>
      <c r="L13" s="19">
        <f t="shared" si="2"/>
        <v>3</v>
      </c>
      <c r="M13" s="19" t="str">
        <f t="shared" si="3"/>
        <v>Low</v>
      </c>
      <c r="N13" s="31" t="s">
        <v>129</v>
      </c>
    </row>
    <row r="14" spans="1:14" ht="81" customHeight="1" x14ac:dyDescent="0.25">
      <c r="A14" s="19" t="s">
        <v>164</v>
      </c>
      <c r="B14" s="25" t="s">
        <v>165</v>
      </c>
      <c r="C14" s="28" t="s">
        <v>166</v>
      </c>
      <c r="D14" s="31" t="s">
        <v>138</v>
      </c>
      <c r="E14" s="19">
        <v>3</v>
      </c>
      <c r="F14" s="19">
        <v>4</v>
      </c>
      <c r="G14" s="19">
        <f t="shared" si="0"/>
        <v>12</v>
      </c>
      <c r="H14" s="19" t="str">
        <f t="shared" si="1"/>
        <v>High</v>
      </c>
      <c r="I14" s="28" t="s">
        <v>167</v>
      </c>
      <c r="J14" s="19">
        <v>1</v>
      </c>
      <c r="K14" s="19">
        <v>4</v>
      </c>
      <c r="L14" s="19">
        <f t="shared" si="2"/>
        <v>4</v>
      </c>
      <c r="M14" s="19" t="str">
        <f t="shared" si="3"/>
        <v>Low</v>
      </c>
      <c r="N14" s="31" t="s">
        <v>129</v>
      </c>
    </row>
    <row r="15" spans="1:14" ht="81" customHeight="1" x14ac:dyDescent="0.25">
      <c r="A15" s="19" t="s">
        <v>168</v>
      </c>
      <c r="B15" s="25" t="s">
        <v>169</v>
      </c>
      <c r="C15" s="28" t="s">
        <v>170</v>
      </c>
      <c r="D15" s="31" t="s">
        <v>138</v>
      </c>
      <c r="E15" s="19">
        <v>2</v>
      </c>
      <c r="F15" s="19">
        <v>4</v>
      </c>
      <c r="G15" s="19">
        <f t="shared" si="0"/>
        <v>8</v>
      </c>
      <c r="H15" s="19" t="str">
        <f t="shared" si="1"/>
        <v>Medium</v>
      </c>
      <c r="I15" s="28" t="s">
        <v>171</v>
      </c>
      <c r="J15" s="19">
        <v>1</v>
      </c>
      <c r="K15" s="19">
        <v>4</v>
      </c>
      <c r="L15" s="19">
        <f t="shared" si="2"/>
        <v>4</v>
      </c>
      <c r="M15" s="19" t="str">
        <f t="shared" si="3"/>
        <v>Low</v>
      </c>
      <c r="N15" s="31" t="s">
        <v>129</v>
      </c>
    </row>
    <row r="16" spans="1:14" ht="67.5" customHeight="1" x14ac:dyDescent="0.25">
      <c r="A16" s="19" t="s">
        <v>172</v>
      </c>
      <c r="B16" s="25" t="s">
        <v>173</v>
      </c>
      <c r="C16" s="28" t="s">
        <v>174</v>
      </c>
      <c r="D16" s="31" t="s">
        <v>175</v>
      </c>
      <c r="E16" s="19">
        <v>2</v>
      </c>
      <c r="F16" s="19">
        <v>3</v>
      </c>
      <c r="G16" s="19">
        <f t="shared" si="0"/>
        <v>6</v>
      </c>
      <c r="H16" s="19" t="str">
        <f t="shared" si="1"/>
        <v>Medium</v>
      </c>
      <c r="I16" s="28" t="s">
        <v>176</v>
      </c>
      <c r="J16" s="19">
        <v>1</v>
      </c>
      <c r="K16" s="19">
        <v>3</v>
      </c>
      <c r="L16" s="19">
        <f t="shared" si="2"/>
        <v>3</v>
      </c>
      <c r="M16" s="19" t="str">
        <f t="shared" si="3"/>
        <v>Low</v>
      </c>
      <c r="N16" s="31" t="s">
        <v>129</v>
      </c>
    </row>
    <row r="17" spans="1:14" ht="81" customHeight="1" x14ac:dyDescent="0.25">
      <c r="A17" s="19" t="s">
        <v>177</v>
      </c>
      <c r="B17" s="25" t="s">
        <v>178</v>
      </c>
      <c r="C17" s="28" t="s">
        <v>179</v>
      </c>
      <c r="D17" s="31" t="s">
        <v>127</v>
      </c>
      <c r="E17" s="19">
        <v>2</v>
      </c>
      <c r="F17" s="19">
        <v>5</v>
      </c>
      <c r="G17" s="19">
        <f t="shared" si="0"/>
        <v>10</v>
      </c>
      <c r="H17" s="19" t="str">
        <f t="shared" si="1"/>
        <v>High</v>
      </c>
      <c r="I17" s="28" t="s">
        <v>180</v>
      </c>
      <c r="J17" s="19">
        <v>1</v>
      </c>
      <c r="K17" s="19">
        <v>5</v>
      </c>
      <c r="L17" s="19">
        <f t="shared" si="2"/>
        <v>5</v>
      </c>
      <c r="M17" s="19" t="str">
        <f t="shared" si="3"/>
        <v>Medium</v>
      </c>
      <c r="N17" s="31" t="s">
        <v>129</v>
      </c>
    </row>
    <row r="18" spans="1:14" ht="81" customHeight="1" x14ac:dyDescent="0.25">
      <c r="A18" s="19" t="s">
        <v>181</v>
      </c>
      <c r="B18" s="25" t="s">
        <v>182</v>
      </c>
      <c r="C18" s="28" t="s">
        <v>183</v>
      </c>
      <c r="D18" s="31" t="s">
        <v>184</v>
      </c>
      <c r="E18" s="19">
        <v>2</v>
      </c>
      <c r="F18" s="19">
        <v>5</v>
      </c>
      <c r="G18" s="19">
        <f t="shared" si="0"/>
        <v>10</v>
      </c>
      <c r="H18" s="19" t="str">
        <f t="shared" si="1"/>
        <v>High</v>
      </c>
      <c r="I18" s="28" t="s">
        <v>185</v>
      </c>
      <c r="J18" s="19">
        <v>1</v>
      </c>
      <c r="K18" s="19">
        <v>5</v>
      </c>
      <c r="L18" s="19">
        <f t="shared" si="2"/>
        <v>5</v>
      </c>
      <c r="M18" s="19" t="str">
        <f t="shared" si="3"/>
        <v>Medium</v>
      </c>
      <c r="N18" s="31" t="s">
        <v>129</v>
      </c>
    </row>
    <row r="19" spans="1:14" ht="81" customHeight="1" x14ac:dyDescent="0.25">
      <c r="A19" s="19" t="s">
        <v>186</v>
      </c>
      <c r="B19" s="25" t="s">
        <v>187</v>
      </c>
      <c r="C19" s="28" t="s">
        <v>188</v>
      </c>
      <c r="D19" s="31" t="s">
        <v>138</v>
      </c>
      <c r="E19" s="19">
        <v>1</v>
      </c>
      <c r="F19" s="19">
        <v>5</v>
      </c>
      <c r="G19" s="19">
        <f t="shared" si="0"/>
        <v>5</v>
      </c>
      <c r="H19" s="19" t="str">
        <f t="shared" si="1"/>
        <v>Medium</v>
      </c>
      <c r="I19" s="28" t="s">
        <v>189</v>
      </c>
      <c r="J19" s="19">
        <v>1</v>
      </c>
      <c r="K19" s="19">
        <v>5</v>
      </c>
      <c r="L19" s="19">
        <f t="shared" si="2"/>
        <v>5</v>
      </c>
      <c r="M19" s="19" t="str">
        <f t="shared" si="3"/>
        <v>Medium</v>
      </c>
      <c r="N19" s="31" t="s">
        <v>129</v>
      </c>
    </row>
    <row r="20" spans="1:14" ht="81" customHeight="1" x14ac:dyDescent="0.25">
      <c r="A20" s="19" t="s">
        <v>190</v>
      </c>
      <c r="B20" s="25" t="s">
        <v>191</v>
      </c>
      <c r="C20" s="28" t="s">
        <v>192</v>
      </c>
      <c r="D20" s="31" t="s">
        <v>175</v>
      </c>
      <c r="E20" s="19">
        <v>2</v>
      </c>
      <c r="F20" s="19">
        <v>5</v>
      </c>
      <c r="G20" s="19">
        <f t="shared" si="0"/>
        <v>10</v>
      </c>
      <c r="H20" s="19" t="str">
        <f t="shared" si="1"/>
        <v>High</v>
      </c>
      <c r="I20" s="28" t="s">
        <v>193</v>
      </c>
      <c r="J20" s="19">
        <v>1</v>
      </c>
      <c r="K20" s="19">
        <v>5</v>
      </c>
      <c r="L20" s="19">
        <f t="shared" si="2"/>
        <v>5</v>
      </c>
      <c r="M20" s="19" t="str">
        <f t="shared" si="3"/>
        <v>Medium</v>
      </c>
      <c r="N20" s="31" t="s">
        <v>129</v>
      </c>
    </row>
    <row r="23" spans="1:14" ht="15" customHeight="1" x14ac:dyDescent="0.25">
      <c r="A23" s="2" t="s">
        <v>194</v>
      </c>
      <c r="B23" s="2"/>
      <c r="C23" s="2"/>
      <c r="D23" s="2"/>
      <c r="E23" s="2"/>
      <c r="F23" s="2"/>
      <c r="G23" s="2"/>
      <c r="H23" s="2"/>
      <c r="I23" s="2"/>
      <c r="J23" s="2"/>
      <c r="K23" s="2"/>
      <c r="L23" s="2"/>
      <c r="M23" s="2"/>
      <c r="N23" s="2"/>
    </row>
    <row r="24" spans="1:14" x14ac:dyDescent="0.25">
      <c r="D24" s="34"/>
      <c r="E24" s="34"/>
      <c r="F24" s="34"/>
      <c r="G24" s="34"/>
      <c r="H24" s="35"/>
    </row>
    <row r="25" spans="1:14" x14ac:dyDescent="0.25">
      <c r="A25" s="1" t="s">
        <v>195</v>
      </c>
      <c r="B25" s="1"/>
      <c r="C25" s="1"/>
      <c r="D25" s="33"/>
      <c r="E25" s="33"/>
      <c r="F25" s="33"/>
      <c r="G25" s="33"/>
      <c r="H25" s="36"/>
    </row>
    <row r="26" spans="1:14" x14ac:dyDescent="0.25">
      <c r="A26" s="1" t="s">
        <v>196</v>
      </c>
      <c r="B26" s="1"/>
      <c r="C26" s="1"/>
      <c r="D26" s="33"/>
      <c r="E26" s="33"/>
      <c r="F26" s="33"/>
      <c r="G26" s="33"/>
      <c r="H26" s="36"/>
    </row>
    <row r="27" spans="1:14" x14ac:dyDescent="0.25">
      <c r="A27" s="1" t="s">
        <v>197</v>
      </c>
      <c r="B27" s="1"/>
      <c r="C27" s="1"/>
      <c r="D27" s="33"/>
      <c r="E27" s="33"/>
      <c r="F27" s="33"/>
      <c r="G27" s="33"/>
      <c r="H27" s="36"/>
    </row>
    <row r="28" spans="1:14" x14ac:dyDescent="0.25">
      <c r="A28" s="1" t="s">
        <v>198</v>
      </c>
      <c r="B28" s="1"/>
      <c r="C28" s="1"/>
      <c r="D28" s="33"/>
      <c r="E28" s="33"/>
      <c r="F28" s="33"/>
      <c r="G28" s="33"/>
      <c r="H28" s="36"/>
    </row>
    <row r="29" spans="1:14" x14ac:dyDescent="0.25">
      <c r="A29" s="1" t="s">
        <v>196</v>
      </c>
      <c r="B29" s="1"/>
      <c r="C29" s="1"/>
      <c r="D29" s="33"/>
      <c r="E29" s="33"/>
      <c r="F29" s="33"/>
      <c r="G29" s="33"/>
      <c r="H29" s="36"/>
    </row>
    <row r="30" spans="1:14" x14ac:dyDescent="0.25">
      <c r="A30" s="1" t="s">
        <v>197</v>
      </c>
      <c r="B30" s="1"/>
      <c r="C30" s="1"/>
      <c r="D30" s="33"/>
      <c r="E30" s="33"/>
      <c r="F30" s="33"/>
      <c r="G30" s="33"/>
      <c r="H30" s="36"/>
    </row>
    <row r="31" spans="1:14" x14ac:dyDescent="0.25">
      <c r="A31" s="1" t="s">
        <v>199</v>
      </c>
      <c r="B31" s="1"/>
      <c r="C31" s="1"/>
      <c r="D31" s="33"/>
      <c r="E31" s="33"/>
      <c r="F31" s="33"/>
      <c r="G31" s="33"/>
      <c r="H31" s="36"/>
    </row>
  </sheetData>
  <mergeCells count="16">
    <mergeCell ref="A30:C30"/>
    <mergeCell ref="D30:H30"/>
    <mergeCell ref="A31:C31"/>
    <mergeCell ref="D31:H31"/>
    <mergeCell ref="A27:C27"/>
    <mergeCell ref="D27:H27"/>
    <mergeCell ref="A28:C28"/>
    <mergeCell ref="D28:H28"/>
    <mergeCell ref="A29:C29"/>
    <mergeCell ref="D29:H29"/>
    <mergeCell ref="A2:N2"/>
    <mergeCell ref="A23:N23"/>
    <mergeCell ref="A25:C25"/>
    <mergeCell ref="D25:H25"/>
    <mergeCell ref="A26:C26"/>
    <mergeCell ref="D26:H26"/>
  </mergeCells>
  <conditionalFormatting sqref="E5:F20">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20">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20">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20">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20">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20">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20 J5:K20" xr:uid="{00000000-0002-0000-0300-000000000000}">
      <formula1>"1,2,3,4,5"</formula1>
      <formula2>0</formula2>
    </dataValidation>
    <dataValidation type="list" allowBlank="1" errorTitle="Invalid Status" error="Please select Open, Closed, or In Progress" sqref="N5:N20"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election activeCell="G40" sqref="G40"/>
    </sheetView>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4" t="s">
        <v>0</v>
      </c>
      <c r="B2" s="14"/>
      <c r="C2" s="14"/>
      <c r="D2" s="14"/>
      <c r="E2" s="14"/>
      <c r="F2" s="14"/>
      <c r="G2" s="14"/>
    </row>
    <row r="4" spans="1:7" ht="15.75" x14ac:dyDescent="0.25">
      <c r="B4" s="15" t="s">
        <v>1</v>
      </c>
    </row>
    <row r="5" spans="1:7" ht="24" x14ac:dyDescent="0.25">
      <c r="C5" s="16" t="s">
        <v>2</v>
      </c>
      <c r="D5" s="16" t="s">
        <v>3</v>
      </c>
      <c r="E5" s="16" t="s">
        <v>4</v>
      </c>
      <c r="F5" s="16" t="s">
        <v>5</v>
      </c>
      <c r="G5" s="16" t="s">
        <v>6</v>
      </c>
    </row>
    <row r="6" spans="1:7" ht="36" customHeight="1" x14ac:dyDescent="0.25">
      <c r="C6" s="17">
        <f>COUNTA('Risk Assessment'!A5:A20)</f>
        <v>16</v>
      </c>
      <c r="D6" s="17">
        <f>COUNTIF('Risk Assessment'!H5:H20,"Critical")</f>
        <v>0</v>
      </c>
      <c r="E6" s="17">
        <f>COUNTIF('Risk Assessment'!H5:H20,"High")</f>
        <v>9</v>
      </c>
      <c r="F6" s="17">
        <f>COUNTIF('Risk Assessment'!H5:H20,"Medium")</f>
        <v>6</v>
      </c>
      <c r="G6" s="17">
        <f>COUNTIF('Risk Assessment'!H5:H20,"Low")</f>
        <v>1</v>
      </c>
    </row>
    <row r="8" spans="1:7" ht="15.75" x14ac:dyDescent="0.25">
      <c r="B8" s="13" t="s">
        <v>7</v>
      </c>
      <c r="C8" s="13"/>
      <c r="D8" s="13"/>
      <c r="E8" s="13"/>
      <c r="F8" s="13"/>
      <c r="G8" s="13"/>
    </row>
    <row r="9" spans="1:7" x14ac:dyDescent="0.25">
      <c r="C9" s="16" t="s">
        <v>8</v>
      </c>
      <c r="D9" s="16" t="s">
        <v>9</v>
      </c>
      <c r="E9" s="16" t="s">
        <v>10</v>
      </c>
    </row>
    <row r="10" spans="1:7" x14ac:dyDescent="0.25">
      <c r="C10" s="18" t="s">
        <v>11</v>
      </c>
      <c r="D10" s="19">
        <f>COUNTIF('Risk Assessment'!H5:H20,"Critical")</f>
        <v>0</v>
      </c>
      <c r="E10" s="19" t="str">
        <f>IF(D10=0,"0%",TEXT(D10/C6,"0%"))</f>
        <v>0%</v>
      </c>
    </row>
    <row r="11" spans="1:7" x14ac:dyDescent="0.25">
      <c r="C11" s="20" t="s">
        <v>12</v>
      </c>
      <c r="D11" s="19">
        <f>COUNTIF('Risk Assessment'!H5:H20,"High")</f>
        <v>9</v>
      </c>
      <c r="E11" s="19" t="str">
        <f>IF(D11=0,"0%",TEXT(D11/C6,"0%"))</f>
        <v>56%</v>
      </c>
    </row>
    <row r="12" spans="1:7" x14ac:dyDescent="0.25">
      <c r="C12" s="21" t="s">
        <v>13</v>
      </c>
      <c r="D12" s="19">
        <f>COUNTIF('Risk Assessment'!H5:H20,"Medium")</f>
        <v>6</v>
      </c>
      <c r="E12" s="19" t="str">
        <f>IF(D12=0,"0%",TEXT(D12/C6,"0%"))</f>
        <v>38%</v>
      </c>
    </row>
    <row r="13" spans="1:7" x14ac:dyDescent="0.25">
      <c r="C13" s="22" t="s">
        <v>14</v>
      </c>
      <c r="D13" s="19">
        <f>COUNTIF('Risk Assessment'!H5:H20,"Low")</f>
        <v>1</v>
      </c>
      <c r="E13" s="19" t="str">
        <f>IF(D13=0,"0%",TEXT(D13/C6,"0%"))</f>
        <v>6%</v>
      </c>
    </row>
    <row r="15" spans="1:7" ht="15.75" x14ac:dyDescent="0.25">
      <c r="B15" s="13" t="s">
        <v>15</v>
      </c>
      <c r="C15" s="13"/>
      <c r="D15" s="13"/>
      <c r="E15" s="13"/>
      <c r="F15" s="13"/>
      <c r="G15" s="13"/>
    </row>
    <row r="16" spans="1:7" x14ac:dyDescent="0.25">
      <c r="C16" s="16" t="s">
        <v>8</v>
      </c>
      <c r="D16" s="16" t="s">
        <v>9</v>
      </c>
      <c r="E16" s="16" t="s">
        <v>10</v>
      </c>
    </row>
    <row r="17" spans="2:7" x14ac:dyDescent="0.25">
      <c r="C17" s="18" t="s">
        <v>11</v>
      </c>
      <c r="D17" s="19">
        <f>COUNTIF('Risk Assessment'!M5:M20,"Critical")</f>
        <v>0</v>
      </c>
      <c r="E17" s="19" t="str">
        <f>IF(D17=0,"0%",TEXT(D17/C6,"0%"))</f>
        <v>0%</v>
      </c>
    </row>
    <row r="18" spans="2:7" x14ac:dyDescent="0.25">
      <c r="C18" s="20" t="s">
        <v>12</v>
      </c>
      <c r="D18" s="19">
        <f>COUNTIF('Risk Assessment'!M5:M20,"High")</f>
        <v>0</v>
      </c>
      <c r="E18" s="19" t="str">
        <f>IF(D18=0,"0%",TEXT(D18/C6,"0%"))</f>
        <v>0%</v>
      </c>
    </row>
    <row r="19" spans="2:7" x14ac:dyDescent="0.25">
      <c r="C19" s="21" t="s">
        <v>13</v>
      </c>
      <c r="D19" s="19">
        <f>COUNTIF('Risk Assessment'!M5:M20,"Medium")</f>
        <v>9</v>
      </c>
      <c r="E19" s="19" t="str">
        <f>IF(D19=0,"0%",TEXT(D19/C6,"0%"))</f>
        <v>56%</v>
      </c>
    </row>
    <row r="20" spans="2:7" x14ac:dyDescent="0.25">
      <c r="C20" s="22" t="s">
        <v>14</v>
      </c>
      <c r="D20" s="19">
        <f>COUNTIF('Risk Assessment'!M5:M20,"Low")</f>
        <v>7</v>
      </c>
      <c r="E20" s="19" t="str">
        <f>IF(D20=0,"0%",TEXT(D20/C6,"0%"))</f>
        <v>44%</v>
      </c>
    </row>
    <row r="22" spans="2:7" ht="15.75" x14ac:dyDescent="0.25">
      <c r="B22" s="13" t="s">
        <v>16</v>
      </c>
      <c r="C22" s="13"/>
      <c r="D22" s="13"/>
      <c r="E22" s="13"/>
      <c r="F22" s="13"/>
      <c r="G22" s="13"/>
    </row>
    <row r="23" spans="2:7" x14ac:dyDescent="0.25">
      <c r="C23" s="16" t="s">
        <v>17</v>
      </c>
      <c r="D23" s="16" t="s">
        <v>18</v>
      </c>
    </row>
    <row r="24" spans="2:7" ht="21.75" customHeight="1" x14ac:dyDescent="0.25">
      <c r="C24" s="23" t="s">
        <v>19</v>
      </c>
      <c r="D24" s="24">
        <f>ROUND(AVERAGE('Risk Assessment'!G5:G20),1)</f>
        <v>8.3000000000000007</v>
      </c>
    </row>
    <row r="25" spans="2:7" ht="21.75" customHeight="1" x14ac:dyDescent="0.25">
      <c r="C25" s="25" t="s">
        <v>20</v>
      </c>
      <c r="D25" s="26">
        <f>ROUND(AVERAGE('Risk Assessment'!L5:L20),1)</f>
        <v>4.3</v>
      </c>
    </row>
    <row r="26" spans="2:7" ht="21.75" customHeight="1" x14ac:dyDescent="0.25">
      <c r="C26" s="23" t="s">
        <v>21</v>
      </c>
      <c r="D26" s="24" t="str">
        <f>TEXT(1-(AVERAGE('Risk Assessment'!L5:L20)/AVERAGE('Risk Assessment'!G5:G20)),"0%")</f>
        <v>48%</v>
      </c>
    </row>
    <row r="27" spans="2:7" ht="21.75" customHeight="1" x14ac:dyDescent="0.25">
      <c r="C27" s="25" t="s">
        <v>22</v>
      </c>
      <c r="D27" s="26">
        <f>COUNTIF('Risk Assessment'!M5:M20,"Critical")</f>
        <v>0</v>
      </c>
    </row>
    <row r="28" spans="2:7" ht="21.75" customHeight="1" x14ac:dyDescent="0.25">
      <c r="C28" s="23" t="s">
        <v>23</v>
      </c>
      <c r="D28" s="24">
        <f>COUNTIF('Risk Assessment'!M5:M20,"High")</f>
        <v>0</v>
      </c>
    </row>
    <row r="29" spans="2:7" ht="21.75" customHeight="1" x14ac:dyDescent="0.25">
      <c r="C29" s="25" t="s">
        <v>24</v>
      </c>
      <c r="D29" s="26">
        <f>COUNTIF('Risk Assessment'!N5:N20,"Open")</f>
        <v>16</v>
      </c>
    </row>
    <row r="31" spans="2:7" ht="15.75" x14ac:dyDescent="0.25">
      <c r="B31" s="15" t="s">
        <v>25</v>
      </c>
    </row>
    <row r="32" spans="2:7" ht="24" x14ac:dyDescent="0.25">
      <c r="C32" s="27" t="s">
        <v>26</v>
      </c>
      <c r="D32" s="28" t="s">
        <v>27</v>
      </c>
    </row>
    <row r="33" spans="3:4" x14ac:dyDescent="0.25">
      <c r="C33" s="27" t="s">
        <v>28</v>
      </c>
      <c r="D33" s="28" t="s">
        <v>29</v>
      </c>
    </row>
    <row r="34" spans="3:4" x14ac:dyDescent="0.25">
      <c r="C34" s="27" t="s">
        <v>30</v>
      </c>
      <c r="D34" s="28" t="s">
        <v>31</v>
      </c>
    </row>
    <row r="35" spans="3:4" x14ac:dyDescent="0.25">
      <c r="C35" s="27" t="s">
        <v>32</v>
      </c>
      <c r="D35" s="28" t="s">
        <v>33</v>
      </c>
    </row>
    <row r="36" spans="3:4" ht="24" x14ac:dyDescent="0.25">
      <c r="C36" s="27" t="s">
        <v>34</v>
      </c>
      <c r="D36" s="28" t="s">
        <v>35</v>
      </c>
    </row>
    <row r="37" spans="3:4" x14ac:dyDescent="0.25">
      <c r="C37" s="27" t="s">
        <v>36</v>
      </c>
      <c r="D37" s="28"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S15" sqref="S15"/>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12"/>
      <c r="B1" s="12"/>
      <c r="C1" s="12"/>
    </row>
    <row r="2" spans="1:8" ht="26.25" customHeight="1" x14ac:dyDescent="0.4">
      <c r="A2" s="14" t="s">
        <v>57</v>
      </c>
      <c r="B2" s="14"/>
      <c r="C2" s="14"/>
      <c r="D2" s="14"/>
      <c r="E2" s="14"/>
      <c r="F2" s="14"/>
    </row>
    <row r="4" spans="1:8" x14ac:dyDescent="0.25">
      <c r="B4" s="6" t="s">
        <v>58</v>
      </c>
      <c r="C4" s="6"/>
      <c r="D4" s="6"/>
      <c r="E4" s="6"/>
      <c r="F4" s="6"/>
    </row>
    <row r="6" spans="1:8" x14ac:dyDescent="0.25">
      <c r="B6" s="6" t="s">
        <v>59</v>
      </c>
      <c r="C6" s="6"/>
      <c r="E6" s="6" t="s">
        <v>60</v>
      </c>
      <c r="F6" s="6"/>
    </row>
    <row r="7" spans="1:8" x14ac:dyDescent="0.25">
      <c r="B7" s="31">
        <v>1</v>
      </c>
      <c r="C7" s="28" t="s">
        <v>61</v>
      </c>
      <c r="E7" s="31">
        <v>1</v>
      </c>
      <c r="F7" s="28" t="s">
        <v>62</v>
      </c>
    </row>
    <row r="8" spans="1:8" ht="24" x14ac:dyDescent="0.25">
      <c r="B8" s="31">
        <v>2</v>
      </c>
      <c r="C8" s="28" t="s">
        <v>63</v>
      </c>
      <c r="E8" s="31">
        <v>2</v>
      </c>
      <c r="F8" s="28" t="s">
        <v>64</v>
      </c>
    </row>
    <row r="9" spans="1:8" ht="24" x14ac:dyDescent="0.25">
      <c r="B9" s="31">
        <v>3</v>
      </c>
      <c r="C9" s="28" t="s">
        <v>65</v>
      </c>
      <c r="E9" s="31">
        <v>3</v>
      </c>
      <c r="F9" s="28" t="s">
        <v>66</v>
      </c>
    </row>
    <row r="10" spans="1:8" x14ac:dyDescent="0.25">
      <c r="B10" s="31">
        <v>4</v>
      </c>
      <c r="C10" s="28" t="s">
        <v>67</v>
      </c>
      <c r="E10" s="31">
        <v>4</v>
      </c>
      <c r="F10" s="28" t="s">
        <v>68</v>
      </c>
    </row>
    <row r="11" spans="1:8" x14ac:dyDescent="0.25">
      <c r="B11" s="31">
        <v>5</v>
      </c>
      <c r="C11" s="28" t="s">
        <v>69</v>
      </c>
      <c r="E11" s="31">
        <v>5</v>
      </c>
      <c r="F11" s="28" t="s">
        <v>70</v>
      </c>
    </row>
    <row r="14" spans="1:8" ht="15.75" x14ac:dyDescent="0.25">
      <c r="A14" s="15" t="s">
        <v>71</v>
      </c>
    </row>
    <row r="16" spans="1:8" ht="15" customHeight="1" x14ac:dyDescent="0.25">
      <c r="B16" s="5" t="s">
        <v>72</v>
      </c>
      <c r="C16" s="5"/>
      <c r="D16" s="32" t="s">
        <v>73</v>
      </c>
      <c r="E16" s="32" t="s">
        <v>74</v>
      </c>
      <c r="F16" s="32" t="s">
        <v>75</v>
      </c>
      <c r="G16" s="32" t="s">
        <v>76</v>
      </c>
      <c r="H16" s="32" t="s">
        <v>77</v>
      </c>
    </row>
    <row r="17" spans="1:8" ht="15" customHeight="1" x14ac:dyDescent="0.25">
      <c r="B17" s="5" t="s">
        <v>78</v>
      </c>
      <c r="C17" s="5"/>
      <c r="D17" s="21">
        <v>5</v>
      </c>
      <c r="E17" s="20">
        <v>10</v>
      </c>
      <c r="F17" s="20">
        <v>15</v>
      </c>
      <c r="G17" s="18">
        <v>20</v>
      </c>
      <c r="H17" s="18">
        <v>25</v>
      </c>
    </row>
    <row r="18" spans="1:8" ht="15" customHeight="1" x14ac:dyDescent="0.25">
      <c r="B18" s="5" t="s">
        <v>79</v>
      </c>
      <c r="C18" s="5"/>
      <c r="D18" s="22">
        <v>4</v>
      </c>
      <c r="E18" s="21">
        <v>8</v>
      </c>
      <c r="F18" s="20">
        <v>12</v>
      </c>
      <c r="G18" s="18">
        <v>16</v>
      </c>
      <c r="H18" s="18">
        <v>20</v>
      </c>
    </row>
    <row r="19" spans="1:8" ht="15" customHeight="1" x14ac:dyDescent="0.25">
      <c r="B19" s="5" t="s">
        <v>80</v>
      </c>
      <c r="C19" s="5"/>
      <c r="D19" s="22">
        <v>3</v>
      </c>
      <c r="E19" s="21">
        <v>6</v>
      </c>
      <c r="F19" s="21">
        <v>9</v>
      </c>
      <c r="G19" s="20">
        <v>12</v>
      </c>
      <c r="H19" s="20">
        <v>15</v>
      </c>
    </row>
    <row r="20" spans="1:8" ht="15" customHeight="1" x14ac:dyDescent="0.25">
      <c r="B20" s="5" t="s">
        <v>81</v>
      </c>
      <c r="C20" s="5"/>
      <c r="D20" s="22">
        <v>2</v>
      </c>
      <c r="E20" s="22">
        <v>4</v>
      </c>
      <c r="F20" s="21">
        <v>6</v>
      </c>
      <c r="G20" s="21">
        <v>8</v>
      </c>
      <c r="H20" s="20">
        <v>10</v>
      </c>
    </row>
    <row r="21" spans="1:8" ht="15" customHeight="1" x14ac:dyDescent="0.25">
      <c r="B21" s="5" t="s">
        <v>82</v>
      </c>
      <c r="C21" s="5"/>
      <c r="D21" s="22">
        <v>1</v>
      </c>
      <c r="E21" s="22">
        <v>2</v>
      </c>
      <c r="F21" s="22">
        <v>3</v>
      </c>
      <c r="G21" s="22">
        <v>4</v>
      </c>
      <c r="H21" s="21">
        <v>5</v>
      </c>
    </row>
    <row r="23" spans="1:8" x14ac:dyDescent="0.25">
      <c r="B23" s="6" t="s">
        <v>83</v>
      </c>
      <c r="C23" s="6"/>
      <c r="D23" s="6"/>
      <c r="E23" s="6"/>
      <c r="F23" s="6"/>
    </row>
    <row r="24" spans="1:8" x14ac:dyDescent="0.25">
      <c r="B24" s="6" t="s">
        <v>84</v>
      </c>
      <c r="C24" s="6"/>
      <c r="D24" s="6"/>
      <c r="E24" s="6"/>
      <c r="F24" s="6"/>
    </row>
    <row r="26" spans="1:8" ht="15.75" x14ac:dyDescent="0.25">
      <c r="A26" s="13" t="s">
        <v>85</v>
      </c>
      <c r="B26" s="13"/>
      <c r="C26" s="13"/>
      <c r="D26" s="13"/>
      <c r="E26" s="13"/>
      <c r="F26" s="13"/>
    </row>
    <row r="27" spans="1:8" ht="15" customHeight="1" x14ac:dyDescent="0.25">
      <c r="B27" s="19" t="s">
        <v>86</v>
      </c>
      <c r="C27" s="22" t="s">
        <v>14</v>
      </c>
      <c r="D27" s="4" t="s">
        <v>87</v>
      </c>
      <c r="E27" s="4"/>
      <c r="F27" s="10"/>
    </row>
    <row r="28" spans="1:8" ht="15" customHeight="1" x14ac:dyDescent="0.25">
      <c r="B28" s="19" t="s">
        <v>88</v>
      </c>
      <c r="C28" s="21" t="s">
        <v>13</v>
      </c>
      <c r="D28" s="4" t="s">
        <v>89</v>
      </c>
      <c r="E28" s="4"/>
      <c r="F28" s="10"/>
    </row>
    <row r="29" spans="1:8" ht="22.35" customHeight="1" x14ac:dyDescent="0.25">
      <c r="B29" s="19" t="s">
        <v>90</v>
      </c>
      <c r="C29" s="20" t="s">
        <v>12</v>
      </c>
      <c r="D29" s="4" t="s">
        <v>91</v>
      </c>
      <c r="E29" s="4"/>
      <c r="F29" s="10"/>
    </row>
    <row r="30" spans="1:8" ht="32.85" customHeight="1" x14ac:dyDescent="0.25">
      <c r="B30" s="19" t="s">
        <v>92</v>
      </c>
      <c r="C30" s="18" t="s">
        <v>11</v>
      </c>
      <c r="D30" s="4" t="s">
        <v>93</v>
      </c>
      <c r="E30" s="4"/>
      <c r="F30" s="10"/>
    </row>
    <row r="32" spans="1:8" ht="15.75" x14ac:dyDescent="0.25">
      <c r="A32" s="15" t="s">
        <v>94</v>
      </c>
    </row>
    <row r="33" spans="2:6" ht="15" customHeight="1" x14ac:dyDescent="0.25">
      <c r="B33" s="16" t="s">
        <v>95</v>
      </c>
      <c r="C33" s="16" t="s">
        <v>96</v>
      </c>
      <c r="D33" s="3" t="s">
        <v>97</v>
      </c>
      <c r="E33" s="3"/>
      <c r="F33" s="5"/>
    </row>
    <row r="34" spans="2:6" ht="22.35" customHeight="1" x14ac:dyDescent="0.25">
      <c r="B34" s="31" t="s">
        <v>98</v>
      </c>
      <c r="C34" s="25" t="s">
        <v>99</v>
      </c>
      <c r="D34" s="4" t="s">
        <v>100</v>
      </c>
      <c r="E34" s="4"/>
      <c r="F34" s="10"/>
    </row>
    <row r="35" spans="2:6" ht="22.35" customHeight="1" x14ac:dyDescent="0.25">
      <c r="B35" s="31" t="s">
        <v>101</v>
      </c>
      <c r="C35" s="25" t="s">
        <v>102</v>
      </c>
      <c r="D35" s="4" t="s">
        <v>103</v>
      </c>
      <c r="E35" s="4"/>
      <c r="F35" s="10"/>
    </row>
    <row r="36" spans="2:6" ht="22.35" customHeight="1" x14ac:dyDescent="0.25">
      <c r="B36" s="31" t="s">
        <v>104</v>
      </c>
      <c r="C36" s="25" t="s">
        <v>105</v>
      </c>
      <c r="D36" s="4" t="s">
        <v>106</v>
      </c>
      <c r="E36" s="4"/>
      <c r="F36" s="10"/>
    </row>
    <row r="37" spans="2:6" ht="22.35" customHeight="1" x14ac:dyDescent="0.25">
      <c r="B37" s="31" t="s">
        <v>107</v>
      </c>
      <c r="C37" s="25" t="s">
        <v>108</v>
      </c>
      <c r="D37" s="4" t="s">
        <v>109</v>
      </c>
      <c r="E37" s="4"/>
      <c r="F37" s="10"/>
    </row>
    <row r="38" spans="2:6" ht="22.35" customHeight="1" x14ac:dyDescent="0.25">
      <c r="B38" s="31" t="s">
        <v>110</v>
      </c>
      <c r="C38" s="25" t="s">
        <v>111</v>
      </c>
      <c r="D38" s="4" t="s">
        <v>112</v>
      </c>
      <c r="E38" s="4"/>
      <c r="F38" s="10"/>
    </row>
  </sheetData>
  <mergeCells count="24">
    <mergeCell ref="D35:F35"/>
    <mergeCell ref="D36:F36"/>
    <mergeCell ref="D37:F37"/>
    <mergeCell ref="D38:F38"/>
    <mergeCell ref="D28:F28"/>
    <mergeCell ref="D29:F29"/>
    <mergeCell ref="D30:F30"/>
    <mergeCell ref="D33:F33"/>
    <mergeCell ref="D34:F34"/>
    <mergeCell ref="B21:C21"/>
    <mergeCell ref="B23:F23"/>
    <mergeCell ref="B24:F24"/>
    <mergeCell ref="A26:F26"/>
    <mergeCell ref="D27:F27"/>
    <mergeCell ref="B16:C16"/>
    <mergeCell ref="B17:C17"/>
    <mergeCell ref="B18:C18"/>
    <mergeCell ref="B19:C19"/>
    <mergeCell ref="B20:C20"/>
    <mergeCell ref="A1:C1"/>
    <mergeCell ref="A2:F2"/>
    <mergeCell ref="B4:F4"/>
    <mergeCell ref="B6:C6"/>
    <mergeCell ref="E6:F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2026-03-31T09:20:28Z</dcterms:created>
  <dcterms:modified xsi:type="dcterms:W3CDTF">2026-03-31T14:01:46Z</dcterms:modified>
  <dc:language>en-US</dc:language>
</cp:coreProperties>
</file>