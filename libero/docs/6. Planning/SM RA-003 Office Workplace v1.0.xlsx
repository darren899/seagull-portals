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
    </mc:Choice>
  </mc:AlternateContent>
  <xr:revisionPtr revIDLastSave="6" documentId="11_FF36ED3C590B4D35D2DFE10DF416552380F839E3" xr6:coauthVersionLast="47" xr6:coauthVersionMax="47" xr10:uidLastSave="{995E1A71-8AEF-4243-98D8-BEAF027D2AA0}"/>
  <bookViews>
    <workbookView xWindow="-120" yWindow="-120" windowWidth="77040" windowHeight="21120" tabRatio="500" activeTab="3"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8" i="4" l="1"/>
  <c r="M18" i="4" s="1"/>
  <c r="G18" i="4"/>
  <c r="H18" i="4" s="1"/>
  <c r="M17" i="4"/>
  <c r="L17" i="4"/>
  <c r="G17" i="4"/>
  <c r="H17" i="4" s="1"/>
  <c r="L16" i="4"/>
  <c r="M16" i="4" s="1"/>
  <c r="G16" i="4"/>
  <c r="H16" i="4" s="1"/>
  <c r="L15" i="4"/>
  <c r="M15" i="4" s="1"/>
  <c r="G15" i="4"/>
  <c r="H15" i="4" s="1"/>
  <c r="L14" i="4"/>
  <c r="M14" i="4" s="1"/>
  <c r="G14" i="4"/>
  <c r="H14" i="4" s="1"/>
  <c r="L13" i="4"/>
  <c r="M13" i="4" s="1"/>
  <c r="G13" i="4"/>
  <c r="H13" i="4" s="1"/>
  <c r="L12" i="4"/>
  <c r="M12" i="4" s="1"/>
  <c r="G12" i="4"/>
  <c r="H12" i="4" s="1"/>
  <c r="L11" i="4"/>
  <c r="M11" i="4" s="1"/>
  <c r="G11" i="4"/>
  <c r="H11" i="4" s="1"/>
  <c r="L10" i="4"/>
  <c r="M10" i="4" s="1"/>
  <c r="G10" i="4"/>
  <c r="H10" i="4" s="1"/>
  <c r="L9" i="4"/>
  <c r="M9" i="4" s="1"/>
  <c r="G9" i="4"/>
  <c r="H9" i="4" s="1"/>
  <c r="L8" i="4"/>
  <c r="M8" i="4" s="1"/>
  <c r="G8" i="4"/>
  <c r="H8" i="4" s="1"/>
  <c r="L7" i="4"/>
  <c r="M7" i="4" s="1"/>
  <c r="G7" i="4"/>
  <c r="H7" i="4" s="1"/>
  <c r="L6" i="4"/>
  <c r="M6" i="4" s="1"/>
  <c r="G6" i="4"/>
  <c r="H6" i="4" s="1"/>
  <c r="L5" i="4"/>
  <c r="D26" i="1" s="1"/>
  <c r="G5" i="4"/>
  <c r="D24" i="1" s="1"/>
  <c r="D29" i="1"/>
  <c r="C6" i="1"/>
  <c r="H5" i="4" l="1"/>
  <c r="D25" i="1"/>
  <c r="M5" i="4"/>
  <c r="E6" i="1" l="1"/>
  <c r="D12" i="1"/>
  <c r="E12" i="1" s="1"/>
  <c r="D6" i="1"/>
  <c r="D11" i="1"/>
  <c r="E11" i="1" s="1"/>
  <c r="D10" i="1"/>
  <c r="E10" i="1" s="1"/>
  <c r="D13" i="1"/>
  <c r="E13" i="1" s="1"/>
  <c r="F6" i="1"/>
  <c r="G6" i="1"/>
  <c r="D28" i="1"/>
  <c r="D19" i="1"/>
  <c r="E19" i="1" s="1"/>
  <c r="D27" i="1"/>
  <c r="D17" i="1"/>
  <c r="E17" i="1" s="1"/>
  <c r="D18" i="1"/>
  <c r="E18" i="1" s="1"/>
  <c r="D20" i="1"/>
  <c r="E20" i="1" s="1"/>
</calcChain>
</file>

<file path=xl/sharedStrings.xml><?xml version="1.0" encoding="utf-8"?>
<sst xmlns="http://schemas.openxmlformats.org/spreadsheetml/2006/main" count="239" uniqueCount="193">
  <si>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</si>
  <si>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</si>
  <si>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</si>
  <si>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</si>
  <si>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</si>
  <si>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</si>
  <si>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</si>
  <si>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</si>
  <si>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</si>
  <si>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</si>
  <si>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</si>
  <si>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</si>
  <si>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</si>
  <si>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</si>
  <si>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</si>
  <si>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</si>
  <si>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</si>
  <si>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</si>
  <si>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</si>
  <si>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</si>
  <si>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</si>
  <si>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</si>
  <si>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</si>
  <si>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</si>
  <si>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</si>
  <si>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</si>
  <si>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</si>
  <si>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SM/HSE/RA/007</t>
  </si>
  <si>
    <t>Version:</t>
  </si>
  <si>
    <t>1.0</t>
  </si>
  <si>
    <t>Effective Date:</t>
  </si>
  <si>
    <t>15 March 2026</t>
  </si>
  <si>
    <t>Review Date:</t>
  </si>
  <si>
    <t>15 September 2026</t>
  </si>
  <si>
    <t>Assessed by:</t>
  </si>
  <si>
    <t>Group Compliance Director</t>
  </si>
  <si>
    <t>Status:</t>
  </si>
  <si>
    <t>Active</t>
  </si>
  <si>
    <t>SAFETY RISK ASSESSMENT – OFFICE WORKPLACE</t>
  </si>
  <si>
    <t>RISK MANAGEMENT INFORMATION</t>
  </si>
  <si>
    <t>Risk Assessment ID:</t>
  </si>
  <si>
    <t>RA-007</t>
  </si>
  <si>
    <t>Location:</t>
  </si>
  <si>
    <t>Dubai (UAE), Piraeus (Greece), Lagos (Nigeria)</t>
  </si>
  <si>
    <t>Activity Description:</t>
  </si>
  <si>
    <t>Office-based work at Seagull Maritime office locations including desk work, meetings, visitor management, use of office equipment, and general building occupation. Covers all office-based personnel including management, administration, and visiting contractors.</t>
  </si>
  <si>
    <t>Contributors:</t>
  </si>
  <si>
    <t>Office Managers</t>
  </si>
  <si>
    <t>Responsible Persons:</t>
  </si>
  <si>
    <t>Office Manager, Line Managers, All Office Personnel</t>
  </si>
  <si>
    <t>Management have day-to-day responsibility for health and safety and must be aware of the hazards and control measures in this assessment. They must ensure all staff are aware of the findings and that adequate training and supervision is in place.</t>
  </si>
  <si>
    <t>All office personnel are to ensure they have read the risk assessment, understood and acknowledged the controls, and follow any instructions given.</t>
  </si>
  <si>
    <t>Visitors and contractors are respectfully requested to comply with all office safety procedures and to notify staff of any concerns they may have.</t>
  </si>
  <si>
    <t>COMMUNICATION &amp; CONSULTATION / RECORDING &amp; REPORTING / MONITORING &amp; REVIEW</t>
  </si>
  <si>
    <t>This risk assessment must be shared with all personnel engaged with the activity. All personnel must confirm they have read and understood the assessment. A record of this must be maintained.</t>
  </si>
  <si>
    <t>Monitoring and supervision: Seagull Maritime must monitor the activities of all personnel through regular checks, toolbox talks, and incident/near-miss reporting.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</si>
  <si>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</si>
  <si>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</si>
  <si>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</si>
  <si>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</si>
  <si>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</si>
  <si>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</si>
  <si>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</si>
  <si>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</si>
  <si>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</si>
  <si>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</si>
  <si>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</si>
  <si>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</si>
  <si>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</si>
  <si>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</si>
  <si>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</si>
  <si>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</si>
  <si>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</si>
  <si>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</si>
  <si>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</si>
  <si>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</si>
  <si>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</si>
  <si>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</si>
  <si>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</si>
  <si>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</si>
  <si>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</si>
  <si>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</si>
  <si>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</si>
  <si>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</si>
  <si>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</si>
  <si>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</si>
  <si>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</si>
  <si>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</si>
  <si>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</si>
  <si>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</si>
  <si>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</si>
  <si>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</si>
  <si>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</si>
  <si>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</si>
  <si>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</si>
  <si>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</si>
  <si>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</si>
  <si>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</si>
  <si>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</si>
  <si>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</si>
  <si>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</si>
  <si>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</si>
  <si>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</si>
  <si>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</si>
  <si>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</si>
  <si>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</si>
  <si>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</si>
  <si>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</si>
  <si>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</si>
  <si>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</si>
  <si>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</si>
  <si>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</si>
  <si>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</si>
  <si>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</si>
  <si>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</si>
  <si>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</si>
  <si>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</si>
  <si>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</si>
  <si>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</si>
  <si>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</si>
  <si>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</si>
  <si>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</si>
  <si>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</si>
  <si>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</si>
  <si>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</si>
  <si>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OW-001</t>
  </si>
  <si>
    <t>Display screen equipment (DSE)</t>
  </si>
  <si>
    <t>Prolonged use of computers, laptops, and monitors may cause eye strain, headaches, repetitive strain injury, or musculoskeletal disorders.</t>
  </si>
  <si>
    <t>All Office Personnel</t>
  </si>
  <si>
    <t>DSE assessment conducted for all regular users.
Workstations set up to ensure correct posture.
Regular breaks encouraged – at least 5 minutes every hour.
Adjustable chairs, monitor stands, and keyboard trays available.
Personnel informed of DSE risks and self-assessment process.
Eye tests offered where required.</t>
  </si>
  <si>
    <t>Open</t>
  </si>
  <si>
    <t>OW-002</t>
  </si>
  <si>
    <t>Slips, trips, and falls</t>
  </si>
  <si>
    <t>Wet floors, trailing cables, uneven surfaces, or obstructed walkways may cause slips, trips, or falls resulting in injury.</t>
  </si>
  <si>
    <t>All Office Personnel / Visitors</t>
  </si>
  <si>
    <t>Floors kept clean and dry – wet floor signs used when cleaning.
Cable management in place to prevent trailing cables.
Walkways kept clear of obstructions.
Adequate lighting in all circulation areas.
Damaged flooring reported and repaired promptly.
Spills cleaned immediately.</t>
  </si>
  <si>
    <t>OW-003</t>
  </si>
  <si>
    <t>Fire</t>
  </si>
  <si>
    <t>Fire from electrical fault, kitchen equipment, or external source may cause burns, smoke inhalation, or entrapment.</t>
  </si>
  <si>
    <t>Fire risk assessment completed for each office location.
Fire detection and alarm systems installed and tested.
Fire extinguishers positioned and regularly serviced.
Evacuation plan displayed and drilled at least annually.
Designated fire wardens appointed.
Electrical equipment PAT tested where applicable.</t>
  </si>
  <si>
    <t>OW-004</t>
  </si>
  <si>
    <t>Electrical hazards</t>
  </si>
  <si>
    <t>Faulty wiring, overloaded sockets, or defective equipment may cause electric shock, burns, or fire.</t>
  </si>
  <si>
    <t>Personnel report defective plugs, sockets, and cables immediately.
Overloading of power sockets prohibited.
Portable appliance testing conducted per schedule.
Defective equipment taken out of service and labelled.
No unauthorised modifications to electrical systems.</t>
  </si>
  <si>
    <t>OW-005</t>
  </si>
  <si>
    <t>Manual handling</t>
  </si>
  <si>
    <t>Moving office furniture, supplies, or equipment may cause back strain, muscle injury, or crush injuries.</t>
  </si>
  <si>
    <t>Personnel briefed on safe manual handling techniques.
Mechanical aids available for heavy items.
Two-person lift for items over 15kg.
Deliveries managed to avoid congestion in corridors.
Storage areas organised with heavy items at accessible height.</t>
  </si>
  <si>
    <t>OW-006</t>
  </si>
  <si>
    <t>Workplace stress</t>
  </si>
  <si>
    <t>High workload, tight deadlines, role ambiguity, or interpersonal conflict may cause stress, anxiety, or burnout affecting mental health and work performance.</t>
  </si>
  <si>
    <t>Workload monitored by line managers.
Regular one-to-one meetings and check-ins.
Employees encouraged to raise concerns without fear of reprisal.
Flexible working arrangements available where practicable.
Access to employee assistance or wellbeing support.
Holiday and rest days monitored to prevent burnout.</t>
  </si>
  <si>
    <t>OW-007</t>
  </si>
  <si>
    <t>Working at height</t>
  </si>
  <si>
    <t>Use of step ladders, chairs, or desks to reach high shelving or change lighting may result in falls and injury.</t>
  </si>
  <si>
    <t>Step ladders available and used for reaching high items – never chairs or desks.
Step ladders inspected before use.
Personnel trained in safe ladder use.
Items regularly needed stored at accessible height.
Lighting and maintenance at height conducted by competent person.</t>
  </si>
  <si>
    <t>OW-008</t>
  </si>
  <si>
    <t>Poor indoor air quality</t>
  </si>
  <si>
    <t>Inadequate ventilation, dust, or air conditioning issues may cause headaches, respiratory irritation, or discomfort.</t>
  </si>
  <si>
    <t>HVAC systems maintained and serviced regularly.
Air filters changed per schedule.
Windows opened for ventilation where possible.
Complaints about air quality investigated promptly.
Workplace temperature monitored.</t>
  </si>
  <si>
    <t>OW-009</t>
  </si>
  <si>
    <t>Lone working</t>
  </si>
  <si>
    <t>Personnel working alone in the office outside normal hours may be at increased risk from medical emergency, security incident, or inability to raise the alarm.</t>
  </si>
  <si>
    <t>Lone working policy in place.
Personnel inform a colleague or manager when working alone.
Regular check-in required during lone working.
Mobile phone carried at all times.
Office security measures (access control, CCTV) maintained.
First aid kit accessible.</t>
  </si>
  <si>
    <t>OW-010</t>
  </si>
  <si>
    <t>Visitor and contractor management</t>
  </si>
  <si>
    <t>Visitors or contractors unfamiliar with the building may be at risk from hazards, or may introduce hazards to the workplace.</t>
  </si>
  <si>
    <t>All Office Personnel / Visitors / Contractors</t>
  </si>
  <si>
    <t>All visitors signed in and escorted.
Contractors provided with site-specific safety briefing.
Emergency procedures communicated to all visitors.
Visitor badges issued for identification.
Contractor risk assessments reviewed before work commences.</t>
  </si>
  <si>
    <t>OW-011</t>
  </si>
  <si>
    <t>Security – unauthorised access</t>
  </si>
  <si>
    <t>Unauthorised persons entering the office may pose a security threat to personnel, confidential information, or property.</t>
  </si>
  <si>
    <t>Access control system in place (key card/fob/code).
Reception or front desk manages visitor entry.
Unfamiliar persons challenged politely.
CCTV installed where appropriate.
Sensitive documents and equipment secured when unattended.
Security incidents reported immediately.</t>
  </si>
  <si>
    <t>OW-012</t>
  </si>
  <si>
    <t>Kitchen/welfare area hazards</t>
  </si>
  <si>
    <t>Use of kettles, microwaves, toasters, and kitchen equipment may cause burns, scalds, or fire.</t>
  </si>
  <si>
    <t>Kitchen equipment maintained and inspected.
Personnel briefed on safe use of appliances.
Spills cleaned immediately.
Smoke detector installed in kitchen area.
Fire extinguisher accessible.
Appliances unplugged when not in use where appropriate.</t>
  </si>
  <si>
    <t>OW-013</t>
  </si>
  <si>
    <t>Lagos-specific – road traffic and personal security</t>
  </si>
  <si>
    <t>Personnel travelling to/from the Lagos office face elevated risks from road traffic accidents, armed robbery, carjacking, and general crime.</t>
  </si>
  <si>
    <t>Lagos Office Personnel</t>
  </si>
  <si>
    <t>Company transport provided for commuting where practicable.
Travel risk assessment completed for Lagos.
Personnel briefed on personal security awareness.
Emergency contact numbers issued.
Travel routes and timings varied where possible.
Personnel advised to avoid carrying valuables or displaying wealth.</t>
  </si>
  <si>
    <t>OW-014</t>
  </si>
  <si>
    <t>Heat stress – Dubai and Lagos offices</t>
  </si>
  <si>
    <t>Extreme ambient temperatures in Dubai and Lagos may cause heat-related illness when travelling to/from office or during air conditioning failure.</t>
  </si>
  <si>
    <t>Dubai and Lagos Office Personnel</t>
  </si>
  <si>
    <t>Office air conditioning maintained.
Drinking water freely available.
Personnel briefed on heat stress symptoms.
Outdoor exposure minimised during peak heat hours.
Contingency plan for air conditioning failure (flexible working/early release).</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</si>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</sst>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diagonal/>
    </border>
  </borders>
  <cellStyleXfs count="1">
    <xf numFmtId="0" fontId="0" fillId="0" borderId="0"/>
  </cellStyleXfs>
  <cellXfs count="37">
    <xf numFmtId="0" fontId="0" fillId="0" borderId="0" xfId="0"/>
    <xf numFmtId="0" fontId="4" fillId="0" borderId="3" xfId="0" applyFont="1" applyBorder="1"/>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9" fillId="0" borderId="3" xfId="0" applyFont="1" applyBorder="1" applyAlignment="1">
      <alignment horizontal="left" vertical="center" wrapText="1"/>
    </xf>
    <xf numFmtId="0" fontId="3" fillId="2" borderId="1" xfId="0" applyFont="1" applyFill="1" applyBorder="1" applyAlignment="1">
      <alignment horizontal="center" vertical="center" wrapText="1"/>
    </xf>
    <xf numFmtId="0" fontId="4" fillId="0" borderId="0" xfId="0" applyFont="1"/>
    <xf numFmtId="0" fontId="9" fillId="0" borderId="0" xfId="0" applyFont="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9" fillId="0" borderId="1" xfId="0" applyFont="1" applyBorder="1" applyAlignment="1">
      <alignment horizontal="left" vertical="center" wrapText="1"/>
    </xf>
    <xf numFmtId="0" fontId="1" fillId="0" borderId="0" xfId="0" applyFont="1" applyAlignment="1">
      <alignment vertical="center"/>
    </xf>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9" fillId="0" borderId="3" xfId="0" applyFont="1" applyBorder="1"/>
    <xf numFmtId="0" fontId="0" fillId="0" borderId="0" xfId="0" applyBorder="1"/>
    <xf numFmtId="0" fontId="0" fillId="0" borderId="4" xfId="0" applyBorder="1"/>
    <xf numFmtId="0" fontId="9" fillId="0" borderId="1" xfId="0" applyFont="1" applyBorder="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1295235</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zoomScaleNormal="100" workbookViewId="0">
      <selection sqref="A1:C1"/>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12"/>
      <c r="B1" s="12"/>
      <c r="C1" s="12"/>
    </row>
    <row r="2" spans="1:6" ht="26.25" customHeight="1" x14ac:dyDescent="0.25">
      <c r="A2" s="11" t="s">
        <v>38</v>
      </c>
      <c r="B2" s="11"/>
      <c r="C2" s="11"/>
      <c r="D2" s="11"/>
      <c r="E2" s="11"/>
      <c r="F2" s="11"/>
    </row>
    <row r="4" spans="1:6" ht="15.75" customHeight="1" x14ac:dyDescent="0.25">
      <c r="A4" s="29" t="s">
        <v>39</v>
      </c>
    </row>
    <row r="6" spans="1:6" ht="15.75" customHeight="1" x14ac:dyDescent="0.25">
      <c r="A6" s="27" t="s">
        <v>40</v>
      </c>
      <c r="B6" s="28" t="s">
        <v>41</v>
      </c>
      <c r="C6" s="30" t="s">
        <v>42</v>
      </c>
      <c r="D6" s="28" t="s">
        <v>43</v>
      </c>
    </row>
    <row r="7" spans="1:6" ht="38.25" customHeight="1" x14ac:dyDescent="0.25">
      <c r="A7" s="27" t="s">
        <v>44</v>
      </c>
      <c r="B7" s="10" t="s">
        <v>45</v>
      </c>
      <c r="C7" s="10"/>
      <c r="D7" s="10"/>
    </row>
    <row r="8" spans="1:6" ht="15.75" customHeight="1" x14ac:dyDescent="0.25">
      <c r="A8" s="27" t="s">
        <v>34</v>
      </c>
      <c r="B8" s="10" t="s">
        <v>35</v>
      </c>
      <c r="C8" s="10"/>
      <c r="D8" s="10"/>
    </row>
    <row r="9" spans="1:6" ht="15.75" customHeight="1" x14ac:dyDescent="0.25">
      <c r="A9" s="27" t="s">
        <v>46</v>
      </c>
      <c r="B9" s="10" t="s">
        <v>47</v>
      </c>
      <c r="C9" s="10"/>
      <c r="D9" s="10"/>
    </row>
    <row r="10" spans="1:6" ht="15.75" customHeight="1" x14ac:dyDescent="0.25">
      <c r="A10" s="27" t="s">
        <v>30</v>
      </c>
      <c r="B10" s="10" t="s">
        <v>31</v>
      </c>
      <c r="C10" s="10"/>
      <c r="D10" s="10"/>
    </row>
    <row r="11" spans="1:6" ht="30" customHeight="1" x14ac:dyDescent="0.25">
      <c r="A11" s="9" t="s">
        <v>48</v>
      </c>
      <c r="B11" s="10" t="s">
        <v>49</v>
      </c>
      <c r="C11" s="10"/>
      <c r="D11" s="10"/>
    </row>
    <row r="12" spans="1:6" ht="30" customHeight="1" x14ac:dyDescent="0.25">
      <c r="A12" s="9"/>
      <c r="B12" s="10" t="s">
        <v>50</v>
      </c>
      <c r="C12" s="10"/>
      <c r="D12" s="10"/>
    </row>
    <row r="13" spans="1:6" ht="30" customHeight="1" x14ac:dyDescent="0.25">
      <c r="A13" s="9"/>
      <c r="B13" s="10" t="s">
        <v>51</v>
      </c>
      <c r="C13" s="10"/>
      <c r="D13" s="10"/>
    </row>
    <row r="14" spans="1:6" ht="30" customHeight="1" x14ac:dyDescent="0.25">
      <c r="A14" s="9"/>
      <c r="B14" s="10" t="s">
        <v>52</v>
      </c>
      <c r="C14" s="10"/>
      <c r="D14" s="10"/>
    </row>
    <row r="15" spans="1:6" ht="15.75" customHeight="1" x14ac:dyDescent="0.25">
      <c r="A15" s="27" t="s">
        <v>32</v>
      </c>
      <c r="B15" s="10" t="s">
        <v>33</v>
      </c>
      <c r="C15" s="10"/>
      <c r="D15" s="10"/>
    </row>
    <row r="17" spans="1:4" ht="15.75" x14ac:dyDescent="0.25">
      <c r="A17" s="8" t="s">
        <v>53</v>
      </c>
      <c r="B17" s="8"/>
      <c r="C17" s="8"/>
      <c r="D17" s="8"/>
    </row>
    <row r="18" spans="1:4" ht="22.35" customHeight="1" x14ac:dyDescent="0.25">
      <c r="A18" s="7" t="s">
        <v>54</v>
      </c>
      <c r="B18" s="7"/>
      <c r="C18" s="7"/>
      <c r="D18" s="7"/>
    </row>
    <row r="19" spans="1:4" ht="22.35" customHeight="1" x14ac:dyDescent="0.25">
      <c r="A19" s="7" t="s">
        <v>55</v>
      </c>
      <c r="B19" s="7"/>
      <c r="C19" s="7"/>
      <c r="D19" s="7"/>
    </row>
    <row r="20" spans="1:4" ht="22.35" customHeight="1" x14ac:dyDescent="0.25">
      <c r="A20" s="7" t="s">
        <v>56</v>
      </c>
      <c r="B20" s="7"/>
      <c r="C20" s="7"/>
      <c r="D20" s="7"/>
    </row>
    <row r="22" spans="1:4" ht="15.75" x14ac:dyDescent="0.25">
      <c r="A22" s="13" t="s">
        <v>57</v>
      </c>
      <c r="B22" s="13"/>
      <c r="C22" s="13"/>
      <c r="D22" s="13"/>
    </row>
    <row r="23" spans="1:4" ht="60" customHeight="1" x14ac:dyDescent="0.25">
      <c r="A23" s="7" t="s">
        <v>45</v>
      </c>
      <c r="B23" s="7"/>
      <c r="C23" s="7"/>
      <c r="D23" s="7"/>
    </row>
  </sheetData>
  <mergeCells count="18">
    <mergeCell ref="A22:D22"/>
    <mergeCell ref="A23:D23"/>
    <mergeCell ref="B15:D15"/>
    <mergeCell ref="A17:D17"/>
    <mergeCell ref="A18:D18"/>
    <mergeCell ref="A19:D19"/>
    <mergeCell ref="A20:D20"/>
    <mergeCell ref="B10:D10"/>
    <mergeCell ref="A11:A14"/>
    <mergeCell ref="B11:D11"/>
    <mergeCell ref="B12:D12"/>
    <mergeCell ref="B13:D13"/>
    <mergeCell ref="B14:D14"/>
    <mergeCell ref="A1:C1"/>
    <mergeCell ref="A2:F2"/>
    <mergeCell ref="B7:D7"/>
    <mergeCell ref="B8:D8"/>
    <mergeCell ref="B9:D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9"/>
  <sheetViews>
    <sheetView showGridLines="0" topLeftCell="A12" zoomScaleNormal="100" workbookViewId="0">
      <selection activeCell="D29" sqref="D22:H29"/>
    </sheetView>
  </sheetViews>
  <sheetFormatPr defaultColWidth="8.7109375" defaultRowHeight="15" x14ac:dyDescent="0.25"/>
  <cols>
    <col min="1" max="1" width="8.710937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14" t="s">
        <v>114</v>
      </c>
      <c r="B2" s="14"/>
      <c r="C2" s="14"/>
      <c r="D2" s="14"/>
      <c r="E2" s="14"/>
      <c r="F2" s="14"/>
      <c r="G2" s="14"/>
      <c r="H2" s="14"/>
      <c r="I2" s="14"/>
      <c r="J2" s="14"/>
      <c r="K2" s="14"/>
      <c r="L2" s="14"/>
      <c r="M2" s="14"/>
      <c r="N2" s="14"/>
    </row>
    <row r="4" spans="1:14" ht="24" customHeight="1" x14ac:dyDescent="0.25">
      <c r="A4" s="16" t="s">
        <v>115</v>
      </c>
      <c r="B4" s="16" t="s">
        <v>116</v>
      </c>
      <c r="C4" s="16" t="s">
        <v>117</v>
      </c>
      <c r="D4" s="16" t="s">
        <v>118</v>
      </c>
      <c r="E4" s="16" t="s">
        <v>60</v>
      </c>
      <c r="F4" s="16" t="s">
        <v>61</v>
      </c>
      <c r="G4" s="16" t="s">
        <v>119</v>
      </c>
      <c r="H4" s="16" t="s">
        <v>8</v>
      </c>
      <c r="I4" s="16" t="s">
        <v>120</v>
      </c>
      <c r="J4" s="16" t="s">
        <v>121</v>
      </c>
      <c r="K4" s="16" t="s">
        <v>122</v>
      </c>
      <c r="L4" s="16" t="s">
        <v>123</v>
      </c>
      <c r="M4" s="16" t="s">
        <v>8</v>
      </c>
      <c r="N4" s="16" t="s">
        <v>124</v>
      </c>
    </row>
    <row r="5" spans="1:14" ht="93.75" customHeight="1" x14ac:dyDescent="0.25">
      <c r="A5" s="19" t="s">
        <v>125</v>
      </c>
      <c r="B5" s="25" t="s">
        <v>126</v>
      </c>
      <c r="C5" s="28" t="s">
        <v>127</v>
      </c>
      <c r="D5" s="31" t="s">
        <v>128</v>
      </c>
      <c r="E5" s="19">
        <v>3</v>
      </c>
      <c r="F5" s="19">
        <v>3</v>
      </c>
      <c r="G5" s="19">
        <f t="shared" ref="G5:G18" si="0">E5*F5</f>
        <v>9</v>
      </c>
      <c r="H5" s="19" t="str">
        <f t="shared" ref="H5:H18" si="1">IF(G5&lt;=4,"Low",IF(G5&lt;=9,"Medium",IF(G5&lt;=15,"High","Critical")))</f>
        <v>Medium</v>
      </c>
      <c r="I5" s="28" t="s">
        <v>129</v>
      </c>
      <c r="J5" s="19">
        <v>1</v>
      </c>
      <c r="K5" s="19">
        <v>3</v>
      </c>
      <c r="L5" s="19">
        <f t="shared" ref="L5:L18" si="2">J5*K5</f>
        <v>3</v>
      </c>
      <c r="M5" s="19" t="str">
        <f t="shared" ref="M5:M18" si="3">IF(L5="","",IF(L5&lt;=4,"Low",IF(L5&lt;=9,"Medium",IF(L5&lt;=15,"High","Critical"))))</f>
        <v>Low</v>
      </c>
      <c r="N5" s="31" t="s">
        <v>130</v>
      </c>
    </row>
    <row r="6" spans="1:14" ht="93.75" customHeight="1" x14ac:dyDescent="0.25">
      <c r="A6" s="19" t="s">
        <v>131</v>
      </c>
      <c r="B6" s="25" t="s">
        <v>132</v>
      </c>
      <c r="C6" s="28" t="s">
        <v>133</v>
      </c>
      <c r="D6" s="31" t="s">
        <v>134</v>
      </c>
      <c r="E6" s="19">
        <v>2</v>
      </c>
      <c r="F6" s="19">
        <v>3</v>
      </c>
      <c r="G6" s="19">
        <f t="shared" si="0"/>
        <v>6</v>
      </c>
      <c r="H6" s="19" t="str">
        <f t="shared" si="1"/>
        <v>Medium</v>
      </c>
      <c r="I6" s="28" t="s">
        <v>135</v>
      </c>
      <c r="J6" s="19">
        <v>1</v>
      </c>
      <c r="K6" s="19">
        <v>3</v>
      </c>
      <c r="L6" s="19">
        <f t="shared" si="2"/>
        <v>3</v>
      </c>
      <c r="M6" s="19" t="str">
        <f t="shared" si="3"/>
        <v>Low</v>
      </c>
      <c r="N6" s="31" t="s">
        <v>130</v>
      </c>
    </row>
    <row r="7" spans="1:14" ht="93.75" customHeight="1" x14ac:dyDescent="0.25">
      <c r="A7" s="19" t="s">
        <v>136</v>
      </c>
      <c r="B7" s="25" t="s">
        <v>137</v>
      </c>
      <c r="C7" s="28" t="s">
        <v>138</v>
      </c>
      <c r="D7" s="31" t="s">
        <v>134</v>
      </c>
      <c r="E7" s="19">
        <v>1</v>
      </c>
      <c r="F7" s="19">
        <v>5</v>
      </c>
      <c r="G7" s="19">
        <f t="shared" si="0"/>
        <v>5</v>
      </c>
      <c r="H7" s="19" t="str">
        <f t="shared" si="1"/>
        <v>Medium</v>
      </c>
      <c r="I7" s="28" t="s">
        <v>139</v>
      </c>
      <c r="J7" s="19">
        <v>1</v>
      </c>
      <c r="K7" s="19">
        <v>5</v>
      </c>
      <c r="L7" s="19">
        <f t="shared" si="2"/>
        <v>5</v>
      </c>
      <c r="M7" s="19" t="str">
        <f t="shared" si="3"/>
        <v>Medium</v>
      </c>
      <c r="N7" s="31" t="s">
        <v>130</v>
      </c>
    </row>
    <row r="8" spans="1:14" ht="81" customHeight="1" x14ac:dyDescent="0.25">
      <c r="A8" s="19" t="s">
        <v>140</v>
      </c>
      <c r="B8" s="25" t="s">
        <v>141</v>
      </c>
      <c r="C8" s="28" t="s">
        <v>142</v>
      </c>
      <c r="D8" s="31" t="s">
        <v>128</v>
      </c>
      <c r="E8" s="19">
        <v>1</v>
      </c>
      <c r="F8" s="19">
        <v>4</v>
      </c>
      <c r="G8" s="19">
        <f t="shared" si="0"/>
        <v>4</v>
      </c>
      <c r="H8" s="19" t="str">
        <f t="shared" si="1"/>
        <v>Low</v>
      </c>
      <c r="I8" s="28" t="s">
        <v>143</v>
      </c>
      <c r="J8" s="19">
        <v>1</v>
      </c>
      <c r="K8" s="19">
        <v>4</v>
      </c>
      <c r="L8" s="19">
        <f t="shared" si="2"/>
        <v>4</v>
      </c>
      <c r="M8" s="19" t="str">
        <f t="shared" si="3"/>
        <v>Low</v>
      </c>
      <c r="N8" s="31" t="s">
        <v>130</v>
      </c>
    </row>
    <row r="9" spans="1:14" ht="81" customHeight="1" x14ac:dyDescent="0.25">
      <c r="A9" s="19" t="s">
        <v>144</v>
      </c>
      <c r="B9" s="25" t="s">
        <v>145</v>
      </c>
      <c r="C9" s="28" t="s">
        <v>146</v>
      </c>
      <c r="D9" s="31" t="s">
        <v>128</v>
      </c>
      <c r="E9" s="19">
        <v>2</v>
      </c>
      <c r="F9" s="19">
        <v>3</v>
      </c>
      <c r="G9" s="19">
        <f t="shared" si="0"/>
        <v>6</v>
      </c>
      <c r="H9" s="19" t="str">
        <f t="shared" si="1"/>
        <v>Medium</v>
      </c>
      <c r="I9" s="28" t="s">
        <v>147</v>
      </c>
      <c r="J9" s="19">
        <v>1</v>
      </c>
      <c r="K9" s="19">
        <v>3</v>
      </c>
      <c r="L9" s="19">
        <f t="shared" si="2"/>
        <v>3</v>
      </c>
      <c r="M9" s="19" t="str">
        <f t="shared" si="3"/>
        <v>Low</v>
      </c>
      <c r="N9" s="31" t="s">
        <v>130</v>
      </c>
    </row>
    <row r="10" spans="1:14" ht="93.75" customHeight="1" x14ac:dyDescent="0.25">
      <c r="A10" s="19" t="s">
        <v>148</v>
      </c>
      <c r="B10" s="25" t="s">
        <v>149</v>
      </c>
      <c r="C10" s="28" t="s">
        <v>150</v>
      </c>
      <c r="D10" s="31" t="s">
        <v>128</v>
      </c>
      <c r="E10" s="19">
        <v>3</v>
      </c>
      <c r="F10" s="19">
        <v>3</v>
      </c>
      <c r="G10" s="19">
        <f t="shared" si="0"/>
        <v>9</v>
      </c>
      <c r="H10" s="19" t="str">
        <f t="shared" si="1"/>
        <v>Medium</v>
      </c>
      <c r="I10" s="28" t="s">
        <v>151</v>
      </c>
      <c r="J10" s="19">
        <v>1</v>
      </c>
      <c r="K10" s="19">
        <v>3</v>
      </c>
      <c r="L10" s="19">
        <f t="shared" si="2"/>
        <v>3</v>
      </c>
      <c r="M10" s="19" t="str">
        <f t="shared" si="3"/>
        <v>Low</v>
      </c>
      <c r="N10" s="31" t="s">
        <v>130</v>
      </c>
    </row>
    <row r="11" spans="1:14" ht="81" customHeight="1" x14ac:dyDescent="0.25">
      <c r="A11" s="19" t="s">
        <v>152</v>
      </c>
      <c r="B11" s="25" t="s">
        <v>153</v>
      </c>
      <c r="C11" s="28" t="s">
        <v>154</v>
      </c>
      <c r="D11" s="31" t="s">
        <v>128</v>
      </c>
      <c r="E11" s="19">
        <v>2</v>
      </c>
      <c r="F11" s="19">
        <v>4</v>
      </c>
      <c r="G11" s="19">
        <f t="shared" si="0"/>
        <v>8</v>
      </c>
      <c r="H11" s="19" t="str">
        <f t="shared" si="1"/>
        <v>Medium</v>
      </c>
      <c r="I11" s="28" t="s">
        <v>155</v>
      </c>
      <c r="J11" s="19">
        <v>1</v>
      </c>
      <c r="K11" s="19">
        <v>4</v>
      </c>
      <c r="L11" s="19">
        <f t="shared" si="2"/>
        <v>4</v>
      </c>
      <c r="M11" s="19" t="str">
        <f t="shared" si="3"/>
        <v>Low</v>
      </c>
      <c r="N11" s="31" t="s">
        <v>130</v>
      </c>
    </row>
    <row r="12" spans="1:14" ht="81" customHeight="1" x14ac:dyDescent="0.25">
      <c r="A12" s="19" t="s">
        <v>156</v>
      </c>
      <c r="B12" s="25" t="s">
        <v>157</v>
      </c>
      <c r="C12" s="28" t="s">
        <v>158</v>
      </c>
      <c r="D12" s="31" t="s">
        <v>128</v>
      </c>
      <c r="E12" s="19">
        <v>2</v>
      </c>
      <c r="F12" s="19">
        <v>2</v>
      </c>
      <c r="G12" s="19">
        <f t="shared" si="0"/>
        <v>4</v>
      </c>
      <c r="H12" s="19" t="str">
        <f t="shared" si="1"/>
        <v>Low</v>
      </c>
      <c r="I12" s="28" t="s">
        <v>159</v>
      </c>
      <c r="J12" s="19">
        <v>1</v>
      </c>
      <c r="K12" s="19">
        <v>2</v>
      </c>
      <c r="L12" s="19">
        <f t="shared" si="2"/>
        <v>2</v>
      </c>
      <c r="M12" s="19" t="str">
        <f t="shared" si="3"/>
        <v>Low</v>
      </c>
      <c r="N12" s="31" t="s">
        <v>130</v>
      </c>
    </row>
    <row r="13" spans="1:14" ht="93.75" customHeight="1" x14ac:dyDescent="0.25">
      <c r="A13" s="19" t="s">
        <v>160</v>
      </c>
      <c r="B13" s="25" t="s">
        <v>161</v>
      </c>
      <c r="C13" s="28" t="s">
        <v>162</v>
      </c>
      <c r="D13" s="31" t="s">
        <v>128</v>
      </c>
      <c r="E13" s="19">
        <v>2</v>
      </c>
      <c r="F13" s="19">
        <v>4</v>
      </c>
      <c r="G13" s="19">
        <f t="shared" si="0"/>
        <v>8</v>
      </c>
      <c r="H13" s="19" t="str">
        <f t="shared" si="1"/>
        <v>Medium</v>
      </c>
      <c r="I13" s="28" t="s">
        <v>163</v>
      </c>
      <c r="J13" s="19">
        <v>1</v>
      </c>
      <c r="K13" s="19">
        <v>4</v>
      </c>
      <c r="L13" s="19">
        <f t="shared" si="2"/>
        <v>4</v>
      </c>
      <c r="M13" s="19" t="str">
        <f t="shared" si="3"/>
        <v>Low</v>
      </c>
      <c r="N13" s="31" t="s">
        <v>130</v>
      </c>
    </row>
    <row r="14" spans="1:14" ht="81" customHeight="1" x14ac:dyDescent="0.25">
      <c r="A14" s="19" t="s">
        <v>164</v>
      </c>
      <c r="B14" s="25" t="s">
        <v>165</v>
      </c>
      <c r="C14" s="28" t="s">
        <v>166</v>
      </c>
      <c r="D14" s="31" t="s">
        <v>167</v>
      </c>
      <c r="E14" s="19">
        <v>2</v>
      </c>
      <c r="F14" s="19">
        <v>3</v>
      </c>
      <c r="G14" s="19">
        <f t="shared" si="0"/>
        <v>6</v>
      </c>
      <c r="H14" s="19" t="str">
        <f t="shared" si="1"/>
        <v>Medium</v>
      </c>
      <c r="I14" s="28" t="s">
        <v>168</v>
      </c>
      <c r="J14" s="19">
        <v>1</v>
      </c>
      <c r="K14" s="19">
        <v>3</v>
      </c>
      <c r="L14" s="19">
        <f t="shared" si="2"/>
        <v>3</v>
      </c>
      <c r="M14" s="19" t="str">
        <f t="shared" si="3"/>
        <v>Low</v>
      </c>
      <c r="N14" s="31" t="s">
        <v>130</v>
      </c>
    </row>
    <row r="15" spans="1:14" ht="93.75" customHeight="1" x14ac:dyDescent="0.25">
      <c r="A15" s="19" t="s">
        <v>169</v>
      </c>
      <c r="B15" s="25" t="s">
        <v>170</v>
      </c>
      <c r="C15" s="28" t="s">
        <v>171</v>
      </c>
      <c r="D15" s="31" t="s">
        <v>128</v>
      </c>
      <c r="E15" s="19">
        <v>2</v>
      </c>
      <c r="F15" s="19">
        <v>4</v>
      </c>
      <c r="G15" s="19">
        <f t="shared" si="0"/>
        <v>8</v>
      </c>
      <c r="H15" s="19" t="str">
        <f t="shared" si="1"/>
        <v>Medium</v>
      </c>
      <c r="I15" s="28" t="s">
        <v>172</v>
      </c>
      <c r="J15" s="19">
        <v>1</v>
      </c>
      <c r="K15" s="19">
        <v>4</v>
      </c>
      <c r="L15" s="19">
        <f t="shared" si="2"/>
        <v>4</v>
      </c>
      <c r="M15" s="19" t="str">
        <f t="shared" si="3"/>
        <v>Low</v>
      </c>
      <c r="N15" s="31" t="s">
        <v>130</v>
      </c>
    </row>
    <row r="16" spans="1:14" ht="93.75" customHeight="1" x14ac:dyDescent="0.25">
      <c r="A16" s="19" t="s">
        <v>173</v>
      </c>
      <c r="B16" s="25" t="s">
        <v>174</v>
      </c>
      <c r="C16" s="28" t="s">
        <v>175</v>
      </c>
      <c r="D16" s="31" t="s">
        <v>128</v>
      </c>
      <c r="E16" s="19">
        <v>2</v>
      </c>
      <c r="F16" s="19">
        <v>3</v>
      </c>
      <c r="G16" s="19">
        <f t="shared" si="0"/>
        <v>6</v>
      </c>
      <c r="H16" s="19" t="str">
        <f t="shared" si="1"/>
        <v>Medium</v>
      </c>
      <c r="I16" s="28" t="s">
        <v>176</v>
      </c>
      <c r="J16" s="19">
        <v>1</v>
      </c>
      <c r="K16" s="19">
        <v>3</v>
      </c>
      <c r="L16" s="19">
        <f t="shared" si="2"/>
        <v>3</v>
      </c>
      <c r="M16" s="19" t="str">
        <f t="shared" si="3"/>
        <v>Low</v>
      </c>
      <c r="N16" s="31" t="s">
        <v>130</v>
      </c>
    </row>
    <row r="17" spans="1:14" ht="93.75" customHeight="1" x14ac:dyDescent="0.25">
      <c r="A17" s="19" t="s">
        <v>177</v>
      </c>
      <c r="B17" s="25" t="s">
        <v>178</v>
      </c>
      <c r="C17" s="28" t="s">
        <v>179</v>
      </c>
      <c r="D17" s="31" t="s">
        <v>180</v>
      </c>
      <c r="E17" s="19">
        <v>3</v>
      </c>
      <c r="F17" s="19">
        <v>4</v>
      </c>
      <c r="G17" s="19">
        <f t="shared" si="0"/>
        <v>12</v>
      </c>
      <c r="H17" s="19" t="str">
        <f t="shared" si="1"/>
        <v>High</v>
      </c>
      <c r="I17" s="28" t="s">
        <v>181</v>
      </c>
      <c r="J17" s="19">
        <v>1</v>
      </c>
      <c r="K17" s="19">
        <v>4</v>
      </c>
      <c r="L17" s="19">
        <f t="shared" si="2"/>
        <v>4</v>
      </c>
      <c r="M17" s="19" t="str">
        <f t="shared" si="3"/>
        <v>Low</v>
      </c>
      <c r="N17" s="31" t="s">
        <v>130</v>
      </c>
    </row>
    <row r="18" spans="1:14" ht="81" customHeight="1" x14ac:dyDescent="0.25">
      <c r="A18" s="19" t="s">
        <v>182</v>
      </c>
      <c r="B18" s="25" t="s">
        <v>183</v>
      </c>
      <c r="C18" s="28" t="s">
        <v>184</v>
      </c>
      <c r="D18" s="31" t="s">
        <v>185</v>
      </c>
      <c r="E18" s="19">
        <v>2</v>
      </c>
      <c r="F18" s="19">
        <v>3</v>
      </c>
      <c r="G18" s="19">
        <f t="shared" si="0"/>
        <v>6</v>
      </c>
      <c r="H18" s="19" t="str">
        <f t="shared" si="1"/>
        <v>Medium</v>
      </c>
      <c r="I18" s="28" t="s">
        <v>186</v>
      </c>
      <c r="J18" s="19">
        <v>1</v>
      </c>
      <c r="K18" s="19">
        <v>3</v>
      </c>
      <c r="L18" s="19">
        <f t="shared" si="2"/>
        <v>3</v>
      </c>
      <c r="M18" s="19" t="str">
        <f t="shared" si="3"/>
        <v>Low</v>
      </c>
      <c r="N18" s="31" t="s">
        <v>130</v>
      </c>
    </row>
    <row r="21" spans="1:14" ht="15" customHeight="1" x14ac:dyDescent="0.25">
      <c r="A21" s="2" t="s">
        <v>187</v>
      </c>
      <c r="B21" s="2"/>
      <c r="C21" s="2"/>
      <c r="D21" s="2"/>
      <c r="E21" s="2"/>
      <c r="F21" s="2"/>
      <c r="G21" s="2"/>
      <c r="H21" s="2"/>
      <c r="I21" s="2"/>
      <c r="J21" s="2"/>
      <c r="K21" s="2"/>
      <c r="L21" s="2"/>
      <c r="M21" s="2"/>
      <c r="N21" s="2"/>
    </row>
    <row r="22" spans="1:14" x14ac:dyDescent="0.25">
      <c r="D22" s="34"/>
      <c r="E22" s="34"/>
      <c r="F22" s="34"/>
      <c r="G22" s="34"/>
      <c r="H22" s="35"/>
    </row>
    <row r="23" spans="1:14" x14ac:dyDescent="0.25">
      <c r="A23" s="1" t="s">
        <v>188</v>
      </c>
      <c r="B23" s="1"/>
      <c r="C23" s="1"/>
      <c r="D23" s="33"/>
      <c r="E23" s="33"/>
      <c r="F23" s="33"/>
      <c r="G23" s="33"/>
      <c r="H23" s="36"/>
    </row>
    <row r="24" spans="1:14" x14ac:dyDescent="0.25">
      <c r="A24" s="1" t="s">
        <v>189</v>
      </c>
      <c r="B24" s="1"/>
      <c r="C24" s="1"/>
      <c r="D24" s="33"/>
      <c r="E24" s="33"/>
      <c r="F24" s="33"/>
      <c r="G24" s="33"/>
      <c r="H24" s="36"/>
    </row>
    <row r="25" spans="1:14" x14ac:dyDescent="0.25">
      <c r="A25" s="1" t="s">
        <v>190</v>
      </c>
      <c r="B25" s="1"/>
      <c r="C25" s="1"/>
      <c r="D25" s="33"/>
      <c r="E25" s="33"/>
      <c r="F25" s="33"/>
      <c r="G25" s="33"/>
      <c r="H25" s="36"/>
    </row>
    <row r="26" spans="1:14" x14ac:dyDescent="0.25">
      <c r="A26" s="1" t="s">
        <v>191</v>
      </c>
      <c r="B26" s="1"/>
      <c r="C26" s="1"/>
      <c r="D26" s="33"/>
      <c r="E26" s="33"/>
      <c r="F26" s="33"/>
      <c r="G26" s="33"/>
      <c r="H26" s="36"/>
    </row>
    <row r="27" spans="1:14" x14ac:dyDescent="0.25">
      <c r="A27" s="1" t="s">
        <v>189</v>
      </c>
      <c r="B27" s="1"/>
      <c r="C27" s="1"/>
      <c r="D27" s="33"/>
      <c r="E27" s="33"/>
      <c r="F27" s="33"/>
      <c r="G27" s="33"/>
      <c r="H27" s="36"/>
    </row>
    <row r="28" spans="1:14" x14ac:dyDescent="0.25">
      <c r="A28" s="1" t="s">
        <v>190</v>
      </c>
      <c r="B28" s="1"/>
      <c r="C28" s="1"/>
      <c r="D28" s="33"/>
      <c r="E28" s="33"/>
      <c r="F28" s="33"/>
      <c r="G28" s="33"/>
      <c r="H28" s="36"/>
    </row>
    <row r="29" spans="1:14" x14ac:dyDescent="0.25">
      <c r="A29" s="1" t="s">
        <v>192</v>
      </c>
      <c r="B29" s="1"/>
      <c r="C29" s="1"/>
      <c r="D29" s="33"/>
      <c r="E29" s="33"/>
      <c r="F29" s="33"/>
      <c r="G29" s="33"/>
      <c r="H29" s="36"/>
    </row>
  </sheetData>
  <mergeCells count="16">
    <mergeCell ref="A28:C28"/>
    <mergeCell ref="D28:H28"/>
    <mergeCell ref="A29:C29"/>
    <mergeCell ref="D29:H29"/>
    <mergeCell ref="A25:C25"/>
    <mergeCell ref="D25:H25"/>
    <mergeCell ref="A26:C26"/>
    <mergeCell ref="D26:H26"/>
    <mergeCell ref="A27:C27"/>
    <mergeCell ref="D27:H27"/>
    <mergeCell ref="A2:N2"/>
    <mergeCell ref="A21:N21"/>
    <mergeCell ref="A23:C23"/>
    <mergeCell ref="D23:H23"/>
    <mergeCell ref="A24:C24"/>
    <mergeCell ref="D24:H24"/>
  </mergeCells>
  <conditionalFormatting sqref="E5:F18">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18">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18">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18">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18">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18">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18 J5:K18" xr:uid="{00000000-0002-0000-0300-000000000000}">
      <formula1>"1,2,3,4,5"</formula1>
      <formula2>0</formula2>
    </dataValidation>
    <dataValidation type="list" allowBlank="1" errorTitle="Invalid Status" error="Please select Open, Closed, or In Progress" sqref="N5:N18"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14" t="s">
        <v>0</v>
      </c>
      <c r="B2" s="14"/>
      <c r="C2" s="14"/>
      <c r="D2" s="14"/>
      <c r="E2" s="14"/>
      <c r="F2" s="14"/>
      <c r="G2" s="14"/>
    </row>
    <row r="4" spans="1:7" ht="15.75" x14ac:dyDescent="0.25">
      <c r="B4" s="15" t="s">
        <v>1</v>
      </c>
    </row>
    <row r="5" spans="1:7" ht="24" x14ac:dyDescent="0.25">
      <c r="C5" s="16" t="s">
        <v>2</v>
      </c>
      <c r="D5" s="16" t="s">
        <v>3</v>
      </c>
      <c r="E5" s="16" t="s">
        <v>4</v>
      </c>
      <c r="F5" s="16" t="s">
        <v>5</v>
      </c>
      <c r="G5" s="16" t="s">
        <v>6</v>
      </c>
    </row>
    <row r="6" spans="1:7" ht="36" customHeight="1" x14ac:dyDescent="0.25">
      <c r="C6" s="17">
        <f>COUNTA('Risk Assessment'!A5:A18)</f>
        <v>14</v>
      </c>
      <c r="D6" s="17">
        <f>COUNTIF('Risk Assessment'!H5:H18,"Critical")</f>
        <v>0</v>
      </c>
      <c r="E6" s="17">
        <f>COUNTIF('Risk Assessment'!H5:H18,"High")</f>
        <v>1</v>
      </c>
      <c r="F6" s="17">
        <f>COUNTIF('Risk Assessment'!H5:H18,"Medium")</f>
        <v>11</v>
      </c>
      <c r="G6" s="17">
        <f>COUNTIF('Risk Assessment'!H5:H18,"Low")</f>
        <v>2</v>
      </c>
    </row>
    <row r="8" spans="1:7" ht="15.75" x14ac:dyDescent="0.25">
      <c r="B8" s="13" t="s">
        <v>7</v>
      </c>
      <c r="C8" s="13"/>
      <c r="D8" s="13"/>
      <c r="E8" s="13"/>
      <c r="F8" s="13"/>
      <c r="G8" s="13"/>
    </row>
    <row r="9" spans="1:7" x14ac:dyDescent="0.25">
      <c r="C9" s="16" t="s">
        <v>8</v>
      </c>
      <c r="D9" s="16" t="s">
        <v>9</v>
      </c>
      <c r="E9" s="16" t="s">
        <v>10</v>
      </c>
    </row>
    <row r="10" spans="1:7" x14ac:dyDescent="0.25">
      <c r="C10" s="18" t="s">
        <v>11</v>
      </c>
      <c r="D10" s="19">
        <f>COUNTIF('Risk Assessment'!H5:H18,"Critical")</f>
        <v>0</v>
      </c>
      <c r="E10" s="19" t="str">
        <f>IF(D10=0,"0%",TEXT(D10/C6,"0%"))</f>
        <v>0%</v>
      </c>
    </row>
    <row r="11" spans="1:7" x14ac:dyDescent="0.25">
      <c r="C11" s="20" t="s">
        <v>12</v>
      </c>
      <c r="D11" s="19">
        <f>COUNTIF('Risk Assessment'!H5:H18,"High")</f>
        <v>1</v>
      </c>
      <c r="E11" s="19" t="str">
        <f>IF(D11=0,"0%",TEXT(D11/C6,"0%"))</f>
        <v>7%</v>
      </c>
    </row>
    <row r="12" spans="1:7" x14ac:dyDescent="0.25">
      <c r="C12" s="21" t="s">
        <v>13</v>
      </c>
      <c r="D12" s="19">
        <f>COUNTIF('Risk Assessment'!H5:H18,"Medium")</f>
        <v>11</v>
      </c>
      <c r="E12" s="19" t="str">
        <f>IF(D12=0,"0%",TEXT(D12/C6,"0%"))</f>
        <v>79%</v>
      </c>
    </row>
    <row r="13" spans="1:7" x14ac:dyDescent="0.25">
      <c r="C13" s="22" t="s">
        <v>14</v>
      </c>
      <c r="D13" s="19">
        <f>COUNTIF('Risk Assessment'!H5:H18,"Low")</f>
        <v>2</v>
      </c>
      <c r="E13" s="19" t="str">
        <f>IF(D13=0,"0%",TEXT(D13/C6,"0%"))</f>
        <v>14%</v>
      </c>
    </row>
    <row r="15" spans="1:7" ht="15.75" x14ac:dyDescent="0.25">
      <c r="B15" s="13" t="s">
        <v>15</v>
      </c>
      <c r="C15" s="13"/>
      <c r="D15" s="13"/>
      <c r="E15" s="13"/>
      <c r="F15" s="13"/>
      <c r="G15" s="13"/>
    </row>
    <row r="16" spans="1:7" x14ac:dyDescent="0.25">
      <c r="C16" s="16" t="s">
        <v>8</v>
      </c>
      <c r="D16" s="16" t="s">
        <v>9</v>
      </c>
      <c r="E16" s="16" t="s">
        <v>10</v>
      </c>
    </row>
    <row r="17" spans="2:7" x14ac:dyDescent="0.25">
      <c r="C17" s="18" t="s">
        <v>11</v>
      </c>
      <c r="D17" s="19">
        <f>COUNTIF('Risk Assessment'!M5:M18,"Critical")</f>
        <v>0</v>
      </c>
      <c r="E17" s="19" t="str">
        <f>IF(D17=0,"0%",TEXT(D17/C6,"0%"))</f>
        <v>0%</v>
      </c>
    </row>
    <row r="18" spans="2:7" x14ac:dyDescent="0.25">
      <c r="C18" s="20" t="s">
        <v>12</v>
      </c>
      <c r="D18" s="19">
        <f>COUNTIF('Risk Assessment'!M5:M18,"High")</f>
        <v>0</v>
      </c>
      <c r="E18" s="19" t="str">
        <f>IF(D18=0,"0%",TEXT(D18/C6,"0%"))</f>
        <v>0%</v>
      </c>
    </row>
    <row r="19" spans="2:7" x14ac:dyDescent="0.25">
      <c r="C19" s="21" t="s">
        <v>13</v>
      </c>
      <c r="D19" s="19">
        <f>COUNTIF('Risk Assessment'!M5:M18,"Medium")</f>
        <v>1</v>
      </c>
      <c r="E19" s="19" t="str">
        <f>IF(D19=0,"0%",TEXT(D19/C6,"0%"))</f>
        <v>7%</v>
      </c>
    </row>
    <row r="20" spans="2:7" x14ac:dyDescent="0.25">
      <c r="C20" s="22" t="s">
        <v>14</v>
      </c>
      <c r="D20" s="19">
        <f>COUNTIF('Risk Assessment'!M5:M18,"Low")</f>
        <v>13</v>
      </c>
      <c r="E20" s="19" t="str">
        <f>IF(D20=0,"0%",TEXT(D20/C6,"0%"))</f>
        <v>93%</v>
      </c>
    </row>
    <row r="22" spans="2:7" ht="15.75" x14ac:dyDescent="0.25">
      <c r="B22" s="13" t="s">
        <v>16</v>
      </c>
      <c r="C22" s="13"/>
      <c r="D22" s="13"/>
      <c r="E22" s="13"/>
      <c r="F22" s="13"/>
      <c r="G22" s="13"/>
    </row>
    <row r="23" spans="2:7" x14ac:dyDescent="0.25">
      <c r="C23" s="16" t="s">
        <v>17</v>
      </c>
      <c r="D23" s="16" t="s">
        <v>18</v>
      </c>
    </row>
    <row r="24" spans="2:7" ht="21.75" customHeight="1" x14ac:dyDescent="0.25">
      <c r="C24" s="23" t="s">
        <v>19</v>
      </c>
      <c r="D24" s="24">
        <f>ROUND(AVERAGE('Risk Assessment'!G5:G18),1)</f>
        <v>6.9</v>
      </c>
    </row>
    <row r="25" spans="2:7" ht="21.75" customHeight="1" x14ac:dyDescent="0.25">
      <c r="C25" s="25" t="s">
        <v>20</v>
      </c>
      <c r="D25" s="26">
        <f>ROUND(AVERAGE('Risk Assessment'!L5:L18),1)</f>
        <v>3.4</v>
      </c>
    </row>
    <row r="26" spans="2:7" ht="21.75" customHeight="1" x14ac:dyDescent="0.25">
      <c r="C26" s="23" t="s">
        <v>21</v>
      </c>
      <c r="D26" s="24" t="str">
        <f>TEXT(1-(AVERAGE('Risk Assessment'!L5:L18)/AVERAGE('Risk Assessment'!G5:G18)),"0%")</f>
        <v>51%</v>
      </c>
    </row>
    <row r="27" spans="2:7" ht="21.75" customHeight="1" x14ac:dyDescent="0.25">
      <c r="C27" s="25" t="s">
        <v>22</v>
      </c>
      <c r="D27" s="26">
        <f>COUNTIF('Risk Assessment'!M5:M18,"Critical")</f>
        <v>0</v>
      </c>
    </row>
    <row r="28" spans="2:7" ht="21.75" customHeight="1" x14ac:dyDescent="0.25">
      <c r="C28" s="23" t="s">
        <v>23</v>
      </c>
      <c r="D28" s="24">
        <f>COUNTIF('Risk Assessment'!M5:M18,"High")</f>
        <v>0</v>
      </c>
    </row>
    <row r="29" spans="2:7" ht="21.75" customHeight="1" x14ac:dyDescent="0.25">
      <c r="C29" s="25" t="s">
        <v>24</v>
      </c>
      <c r="D29" s="26">
        <f>COUNTIF('Risk Assessment'!N5:N18,"Open")</f>
        <v>14</v>
      </c>
    </row>
    <row r="31" spans="2:7" ht="15.75" x14ac:dyDescent="0.25">
      <c r="B31" s="15" t="s">
        <v>25</v>
      </c>
    </row>
    <row r="32" spans="2:7" ht="24" x14ac:dyDescent="0.25">
      <c r="C32" s="27" t="s">
        <v>26</v>
      </c>
      <c r="D32" s="28" t="s">
        <v>27</v>
      </c>
    </row>
    <row r="33" spans="3:4" x14ac:dyDescent="0.25">
      <c r="C33" s="27" t="s">
        <v>28</v>
      </c>
      <c r="D33" s="28" t="s">
        <v>29</v>
      </c>
    </row>
    <row r="34" spans="3:4" x14ac:dyDescent="0.25">
      <c r="C34" s="27" t="s">
        <v>30</v>
      </c>
      <c r="D34" s="28" t="s">
        <v>31</v>
      </c>
    </row>
    <row r="35" spans="3:4" x14ac:dyDescent="0.25">
      <c r="C35" s="27" t="s">
        <v>32</v>
      </c>
      <c r="D35" s="28" t="s">
        <v>33</v>
      </c>
    </row>
    <row r="36" spans="3:4" ht="24" x14ac:dyDescent="0.25">
      <c r="C36" s="27" t="s">
        <v>34</v>
      </c>
      <c r="D36" s="28" t="s">
        <v>35</v>
      </c>
    </row>
    <row r="37" spans="3:4" x14ac:dyDescent="0.25">
      <c r="C37" s="27" t="s">
        <v>36</v>
      </c>
      <c r="D37" s="28"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tabSelected="1" zoomScaleNormal="100" workbookViewId="0">
      <selection activeCell="I31" sqref="I31"/>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12"/>
      <c r="B1" s="12"/>
      <c r="C1" s="12"/>
    </row>
    <row r="2" spans="1:8" ht="26.25" customHeight="1" x14ac:dyDescent="0.4">
      <c r="A2" s="14" t="s">
        <v>58</v>
      </c>
      <c r="B2" s="14"/>
      <c r="C2" s="14"/>
      <c r="D2" s="14"/>
      <c r="E2" s="14"/>
      <c r="F2" s="14"/>
    </row>
    <row r="4" spans="1:8" x14ac:dyDescent="0.25">
      <c r="B4" s="6" t="s">
        <v>59</v>
      </c>
      <c r="C4" s="6"/>
      <c r="D4" s="6"/>
      <c r="E4" s="6"/>
      <c r="F4" s="6"/>
    </row>
    <row r="6" spans="1:8" x14ac:dyDescent="0.25">
      <c r="B6" s="6" t="s">
        <v>60</v>
      </c>
      <c r="C6" s="6"/>
      <c r="E6" s="6" t="s">
        <v>61</v>
      </c>
      <c r="F6" s="6"/>
    </row>
    <row r="7" spans="1:8" x14ac:dyDescent="0.25">
      <c r="B7" s="31">
        <v>1</v>
      </c>
      <c r="C7" s="28" t="s">
        <v>62</v>
      </c>
      <c r="E7" s="31">
        <v>1</v>
      </c>
      <c r="F7" s="28" t="s">
        <v>63</v>
      </c>
    </row>
    <row r="8" spans="1:8" ht="24" x14ac:dyDescent="0.25">
      <c r="B8" s="31">
        <v>2</v>
      </c>
      <c r="C8" s="28" t="s">
        <v>64</v>
      </c>
      <c r="E8" s="31">
        <v>2</v>
      </c>
      <c r="F8" s="28" t="s">
        <v>65</v>
      </c>
    </row>
    <row r="9" spans="1:8" ht="24" x14ac:dyDescent="0.25">
      <c r="B9" s="31">
        <v>3</v>
      </c>
      <c r="C9" s="28" t="s">
        <v>66</v>
      </c>
      <c r="E9" s="31">
        <v>3</v>
      </c>
      <c r="F9" s="28" t="s">
        <v>67</v>
      </c>
    </row>
    <row r="10" spans="1:8" x14ac:dyDescent="0.25">
      <c r="B10" s="31">
        <v>4</v>
      </c>
      <c r="C10" s="28" t="s">
        <v>68</v>
      </c>
      <c r="E10" s="31">
        <v>4</v>
      </c>
      <c r="F10" s="28" t="s">
        <v>69</v>
      </c>
    </row>
    <row r="11" spans="1:8" x14ac:dyDescent="0.25">
      <c r="B11" s="31">
        <v>5</v>
      </c>
      <c r="C11" s="28" t="s">
        <v>70</v>
      </c>
      <c r="E11" s="31">
        <v>5</v>
      </c>
      <c r="F11" s="28" t="s">
        <v>71</v>
      </c>
    </row>
    <row r="14" spans="1:8" ht="15.75" x14ac:dyDescent="0.25">
      <c r="A14" s="15" t="s">
        <v>72</v>
      </c>
    </row>
    <row r="16" spans="1:8" ht="15" customHeight="1" x14ac:dyDescent="0.25">
      <c r="B16" s="5" t="s">
        <v>73</v>
      </c>
      <c r="C16" s="5"/>
      <c r="D16" s="32" t="s">
        <v>74</v>
      </c>
      <c r="E16" s="32" t="s">
        <v>75</v>
      </c>
      <c r="F16" s="32" t="s">
        <v>76</v>
      </c>
      <c r="G16" s="32" t="s">
        <v>77</v>
      </c>
      <c r="H16" s="32" t="s">
        <v>78</v>
      </c>
    </row>
    <row r="17" spans="1:8" ht="15" customHeight="1" x14ac:dyDescent="0.25">
      <c r="B17" s="5" t="s">
        <v>79</v>
      </c>
      <c r="C17" s="5"/>
      <c r="D17" s="21">
        <v>5</v>
      </c>
      <c r="E17" s="20">
        <v>10</v>
      </c>
      <c r="F17" s="20">
        <v>15</v>
      </c>
      <c r="G17" s="18">
        <v>20</v>
      </c>
      <c r="H17" s="18">
        <v>25</v>
      </c>
    </row>
    <row r="18" spans="1:8" ht="15" customHeight="1" x14ac:dyDescent="0.25">
      <c r="B18" s="5" t="s">
        <v>80</v>
      </c>
      <c r="C18" s="5"/>
      <c r="D18" s="22">
        <v>4</v>
      </c>
      <c r="E18" s="21">
        <v>8</v>
      </c>
      <c r="F18" s="20">
        <v>12</v>
      </c>
      <c r="G18" s="18">
        <v>16</v>
      </c>
      <c r="H18" s="18">
        <v>20</v>
      </c>
    </row>
    <row r="19" spans="1:8" ht="15" customHeight="1" x14ac:dyDescent="0.25">
      <c r="B19" s="5" t="s">
        <v>81</v>
      </c>
      <c r="C19" s="5"/>
      <c r="D19" s="22">
        <v>3</v>
      </c>
      <c r="E19" s="21">
        <v>6</v>
      </c>
      <c r="F19" s="21">
        <v>9</v>
      </c>
      <c r="G19" s="20">
        <v>12</v>
      </c>
      <c r="H19" s="20">
        <v>15</v>
      </c>
    </row>
    <row r="20" spans="1:8" ht="15" customHeight="1" x14ac:dyDescent="0.25">
      <c r="B20" s="5" t="s">
        <v>82</v>
      </c>
      <c r="C20" s="5"/>
      <c r="D20" s="22">
        <v>2</v>
      </c>
      <c r="E20" s="22">
        <v>4</v>
      </c>
      <c r="F20" s="21">
        <v>6</v>
      </c>
      <c r="G20" s="21">
        <v>8</v>
      </c>
      <c r="H20" s="20">
        <v>10</v>
      </c>
    </row>
    <row r="21" spans="1:8" ht="15" customHeight="1" x14ac:dyDescent="0.25">
      <c r="B21" s="5" t="s">
        <v>83</v>
      </c>
      <c r="C21" s="5"/>
      <c r="D21" s="22">
        <v>1</v>
      </c>
      <c r="E21" s="22">
        <v>2</v>
      </c>
      <c r="F21" s="22">
        <v>3</v>
      </c>
      <c r="G21" s="22">
        <v>4</v>
      </c>
      <c r="H21" s="21">
        <v>5</v>
      </c>
    </row>
    <row r="23" spans="1:8" x14ac:dyDescent="0.25">
      <c r="B23" s="6" t="s">
        <v>84</v>
      </c>
      <c r="C23" s="6"/>
      <c r="D23" s="6"/>
      <c r="E23" s="6"/>
      <c r="F23" s="6"/>
    </row>
    <row r="24" spans="1:8" x14ac:dyDescent="0.25">
      <c r="B24" s="6" t="s">
        <v>85</v>
      </c>
      <c r="C24" s="6"/>
      <c r="D24" s="6"/>
      <c r="E24" s="6"/>
      <c r="F24" s="6"/>
    </row>
    <row r="26" spans="1:8" ht="15.75" x14ac:dyDescent="0.25">
      <c r="A26" s="13" t="s">
        <v>86</v>
      </c>
      <c r="B26" s="13"/>
      <c r="C26" s="13"/>
      <c r="D26" s="13"/>
      <c r="E26" s="13"/>
      <c r="F26" s="13"/>
    </row>
    <row r="27" spans="1:8" ht="15" customHeight="1" x14ac:dyDescent="0.25">
      <c r="B27" s="19" t="s">
        <v>87</v>
      </c>
      <c r="C27" s="22" t="s">
        <v>14</v>
      </c>
      <c r="D27" s="4" t="s">
        <v>88</v>
      </c>
      <c r="E27" s="4"/>
      <c r="F27" s="10"/>
    </row>
    <row r="28" spans="1:8" ht="15" customHeight="1" x14ac:dyDescent="0.25">
      <c r="B28" s="19" t="s">
        <v>89</v>
      </c>
      <c r="C28" s="21" t="s">
        <v>13</v>
      </c>
      <c r="D28" s="4" t="s">
        <v>90</v>
      </c>
      <c r="E28" s="4"/>
      <c r="F28" s="10"/>
    </row>
    <row r="29" spans="1:8" ht="22.35" customHeight="1" x14ac:dyDescent="0.25">
      <c r="B29" s="19" t="s">
        <v>91</v>
      </c>
      <c r="C29" s="20" t="s">
        <v>12</v>
      </c>
      <c r="D29" s="4" t="s">
        <v>92</v>
      </c>
      <c r="E29" s="4"/>
      <c r="F29" s="10"/>
    </row>
    <row r="30" spans="1:8" ht="32.85" customHeight="1" x14ac:dyDescent="0.25">
      <c r="B30" s="19" t="s">
        <v>93</v>
      </c>
      <c r="C30" s="18" t="s">
        <v>11</v>
      </c>
      <c r="D30" s="4" t="s">
        <v>94</v>
      </c>
      <c r="E30" s="4"/>
      <c r="F30" s="10"/>
    </row>
    <row r="32" spans="1:8" ht="15.75" x14ac:dyDescent="0.25">
      <c r="A32" s="15" t="s">
        <v>95</v>
      </c>
    </row>
    <row r="33" spans="2:6" ht="15" customHeight="1" x14ac:dyDescent="0.25">
      <c r="B33" s="16" t="s">
        <v>96</v>
      </c>
      <c r="C33" s="16" t="s">
        <v>97</v>
      </c>
      <c r="D33" s="3" t="s">
        <v>98</v>
      </c>
      <c r="E33" s="3"/>
      <c r="F33" s="5"/>
    </row>
    <row r="34" spans="2:6" ht="22.35" customHeight="1" x14ac:dyDescent="0.25">
      <c r="B34" s="31" t="s">
        <v>99</v>
      </c>
      <c r="C34" s="25" t="s">
        <v>100</v>
      </c>
      <c r="D34" s="4" t="s">
        <v>101</v>
      </c>
      <c r="E34" s="4"/>
      <c r="F34" s="10"/>
    </row>
    <row r="35" spans="2:6" ht="22.35" customHeight="1" x14ac:dyDescent="0.25">
      <c r="B35" s="31" t="s">
        <v>102</v>
      </c>
      <c r="C35" s="25" t="s">
        <v>103</v>
      </c>
      <c r="D35" s="4" t="s">
        <v>104</v>
      </c>
      <c r="E35" s="4"/>
      <c r="F35" s="10"/>
    </row>
    <row r="36" spans="2:6" ht="22.35" customHeight="1" x14ac:dyDescent="0.25">
      <c r="B36" s="31" t="s">
        <v>105</v>
      </c>
      <c r="C36" s="25" t="s">
        <v>106</v>
      </c>
      <c r="D36" s="4" t="s">
        <v>107</v>
      </c>
      <c r="E36" s="4"/>
      <c r="F36" s="10"/>
    </row>
    <row r="37" spans="2:6" ht="22.35" customHeight="1" x14ac:dyDescent="0.25">
      <c r="B37" s="31" t="s">
        <v>108</v>
      </c>
      <c r="C37" s="25" t="s">
        <v>109</v>
      </c>
      <c r="D37" s="4" t="s">
        <v>110</v>
      </c>
      <c r="E37" s="4"/>
      <c r="F37" s="10"/>
    </row>
    <row r="38" spans="2:6" ht="22.35" customHeight="1" x14ac:dyDescent="0.25">
      <c r="B38" s="31" t="s">
        <v>111</v>
      </c>
      <c r="C38" s="25" t="s">
        <v>112</v>
      </c>
      <c r="D38" s="4" t="s">
        <v>113</v>
      </c>
      <c r="E38" s="4"/>
      <c r="F38" s="10"/>
    </row>
  </sheetData>
  <mergeCells count="24">
    <mergeCell ref="D35:F35"/>
    <mergeCell ref="D36:F36"/>
    <mergeCell ref="D37:F37"/>
    <mergeCell ref="D38:F38"/>
    <mergeCell ref="D28:F28"/>
    <mergeCell ref="D29:F29"/>
    <mergeCell ref="D30:F30"/>
    <mergeCell ref="D33:F33"/>
    <mergeCell ref="D34:F34"/>
    <mergeCell ref="B21:C21"/>
    <mergeCell ref="B23:F23"/>
    <mergeCell ref="B24:F24"/>
    <mergeCell ref="A26:F26"/>
    <mergeCell ref="D27:F27"/>
    <mergeCell ref="B16:C16"/>
    <mergeCell ref="B17:C17"/>
    <mergeCell ref="B18:C18"/>
    <mergeCell ref="B19:C19"/>
    <mergeCell ref="B20:C20"/>
    <mergeCell ref="A1:C1"/>
    <mergeCell ref="A2:F2"/>
    <mergeCell ref="B4:F4"/>
    <mergeCell ref="B6:C6"/>
    <mergeCell ref="E6:F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2026-03-31T09:29:41Z</dcterms:created>
  <dcterms:modified xsi:type="dcterms:W3CDTF">2026-03-31T13:54:14Z</dcterms:modified>
  <dc:language>en-US</dc:language>
</cp:coreProperties>
</file>