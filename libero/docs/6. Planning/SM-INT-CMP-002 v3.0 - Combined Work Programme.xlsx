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bcad5c95b35c585/Documents/Claude - Work/Projects/Seagull Maritime/Management System/04 - Registers and Trackers/Change Management Plans/"/>
    </mc:Choice>
  </mc:AlternateContent>
  <xr:revisionPtr revIDLastSave="2" documentId="11_0D49703BB912D1FD84A886F470A69CF71170ED92" xr6:coauthVersionLast="47" xr6:coauthVersionMax="47" xr10:uidLastSave="{69885B1F-AB04-48F2-9DEE-D854B6590C8A}"/>
  <bookViews>
    <workbookView xWindow="18480" yWindow="615" windowWidth="57600" windowHeight="15285" tabRatio="500" xr2:uid="{00000000-000D-0000-FFFF-FFFF00000000}"/>
  </bookViews>
  <sheets>
    <sheet name="Dashboard" sheetId="1" r:id="rId1"/>
    <sheet name="Master Programme" sheetId="2" r:id="rId2"/>
    <sheet name="Shell Findings" sheetId="3" r:id="rId3"/>
    <sheet name="Shell OFIs" sheetId="4" r:id="rId4"/>
    <sheet name="45001 Clauses" sheetId="5" r:id="rId5"/>
    <sheet name="MS Transition" sheetId="6" r:id="rId6"/>
  </sheets>
  <definedNames>
    <definedName name="_xlnm._FilterDatabase" localSheetId="1" hidden="1">'Master Programme'!$A$3:$K$56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G14" i="1"/>
  <c r="E14" i="1"/>
  <c r="C14" i="1"/>
  <c r="A14" i="1"/>
</calcChain>
</file>

<file path=xl/sharedStrings.xml><?xml version="1.0" encoding="utf-8"?>
<sst xmlns="http://schemas.openxmlformats.org/spreadsheetml/2006/main" count="1407" uniqueCount="757">
  <si>
    <t>SEAGULL MARITIME — COMBINED WORK PROGRAMME</t>
  </si>
  <si>
    <t>ISO 45001 Certification | Shell Audit Remediation | Management System Transition</t>
  </si>
  <si>
    <t>Document Reference:</t>
  </si>
  <si>
    <t>SM/INT/CMP/002 v3.0</t>
  </si>
  <si>
    <t>Programme Title:</t>
  </si>
  <si>
    <t>Combined Work Programme — Management System Build,
ISO 45001 Certification &amp; Shell Audit Remediation</t>
  </si>
  <si>
    <t>Programme Owner:</t>
  </si>
  <si>
    <t>Group Compliance Director</t>
  </si>
  <si>
    <t>Contributors:</t>
  </si>
  <si>
    <t>CEO, WAF Operations Director, Senior Operations Manager,
HR &amp; Training Manager</t>
  </si>
  <si>
    <t>Shell Review Target:</t>
  </si>
  <si>
    <t>TBC May 2026</t>
  </si>
  <si>
    <t>Created:</t>
  </si>
  <si>
    <t>23 March 2026</t>
  </si>
  <si>
    <t>Last Updated:</t>
  </si>
  <si>
    <t>23 April 2026 (S47 wrap)</t>
  </si>
  <si>
    <t>PROGRAMME METRICS</t>
  </si>
  <si>
    <t>Total Actions</t>
  </si>
  <si>
    <t>Completed</t>
  </si>
  <si>
    <t>In Progress</t>
  </si>
  <si>
    <t>Pending</t>
  </si>
  <si>
    <t>Overdue</t>
  </si>
  <si>
    <t>SHELL FINDINGS STATUS</t>
  </si>
  <si>
    <t>PHASE PROGRESS</t>
  </si>
  <si>
    <t>F1</t>
  </si>
  <si>
    <t>Malta License to Operate</t>
  </si>
  <si>
    <t>Ongoing</t>
  </si>
  <si>
    <t>Phase 1: Foundation</t>
  </si>
  <si>
    <t>Feb 2026</t>
  </si>
  <si>
    <t>Backdated</t>
  </si>
  <si>
    <t>F2</t>
  </si>
  <si>
    <t>Risk Management / 45001</t>
  </si>
  <si>
    <t>Phase 2: Core Build</t>
  </si>
  <si>
    <t>Mar 2026</t>
  </si>
  <si>
    <t>Active</t>
  </si>
  <si>
    <t>F3</t>
  </si>
  <si>
    <t>Media &amp; Social Media Policy</t>
  </si>
  <si>
    <t>CA In Progress</t>
  </si>
  <si>
    <t>Phase 3: Implementation</t>
  </si>
  <si>
    <t>Apr 2026</t>
  </si>
  <si>
    <t>Upcoming</t>
  </si>
  <si>
    <t>F4</t>
  </si>
  <si>
    <t>Insurance Documentation</t>
  </si>
  <si>
    <t>Phase 4: Certification</t>
  </si>
  <si>
    <t>May 2026</t>
  </si>
  <si>
    <t>F5</t>
  </si>
  <si>
    <t>Nigerian Navy MOU</t>
  </si>
  <si>
    <t>F6</t>
  </si>
  <si>
    <t>VPSHR Integration</t>
  </si>
  <si>
    <t>CA Implemented</t>
  </si>
  <si>
    <t>F7</t>
  </si>
  <si>
    <t>IRT Exercise</t>
  </si>
  <si>
    <t>KEY DATES</t>
  </si>
  <si>
    <t>Shell Audit Conducted</t>
  </si>
  <si>
    <t>20-21 January 2026</t>
  </si>
  <si>
    <t>CMP-002 Originated</t>
  </si>
  <si>
    <t>January 2026</t>
  </si>
  <si>
    <t>Phase 1 Effective Date</t>
  </si>
  <si>
    <t>01 February 2026</t>
  </si>
  <si>
    <t>Phase 2 Effective Date</t>
  </si>
  <si>
    <t>01 March 2026</t>
  </si>
  <si>
    <t>45001 Stage 1 (Documentation)</t>
  </si>
  <si>
    <t>Mid-April 2026</t>
  </si>
  <si>
    <t>Shell Review / Phase 4</t>
  </si>
  <si>
    <t>First week May 2026</t>
  </si>
  <si>
    <t>45001 Stage 2 (Implementation)</t>
  </si>
  <si>
    <t>TBC — requires travel</t>
  </si>
  <si>
    <t>COMBINED WORK PROGRAMME — MASTER TASK LIST</t>
  </si>
  <si>
    <t>Ref</t>
  </si>
  <si>
    <t>Task Description</t>
  </si>
  <si>
    <t>45001 Clause</t>
  </si>
  <si>
    <t>Shell Ref</t>
  </si>
  <si>
    <t>Phase</t>
  </si>
  <si>
    <t>Owner</t>
  </si>
  <si>
    <t>Start Date</t>
  </si>
  <si>
    <t>Target Date</t>
  </si>
  <si>
    <t>Status</t>
  </si>
  <si>
    <t>Evidence / Deliverable</t>
  </si>
  <si>
    <t>Comments</t>
  </si>
  <si>
    <t>PHASE 1: FOUNDATION</t>
  </si>
  <si>
    <t>1.01</t>
  </si>
  <si>
    <t>Define OH&amp;S Management System Scope</t>
  </si>
  <si>
    <t>4.3</t>
  </si>
  <si>
    <t>1</t>
  </si>
  <si>
    <t>Compliance Director</t>
  </si>
  <si>
    <t>01/02/2026</t>
  </si>
  <si>
    <t>07/02/2026</t>
  </si>
  <si>
    <t>SM/HSE/DOC/001 Scope Statement v1.0</t>
  </si>
  <si>
    <t>COMPLETED S14 — 30 Mar 2026. Sent to Libero with updated application.</t>
  </si>
  <si>
    <t>1.02</t>
  </si>
  <si>
    <t>Context of the Organisation — SWOT/PESTLE for H&amp;S</t>
  </si>
  <si>
    <t>4.1</t>
  </si>
  <si>
    <t>10/02/2026</t>
  </si>
  <si>
    <t>SM/INT/DOC/002 Context Analysis v1.0 + v2.0</t>
  </si>
  <si>
    <t>COMPLETED S14 — 30 Mar 2026. v1.0 pre-war baseline, v2.0 Iran war emergency review. Moved to INT prefix (cross-cutting). Renumbered from DOC/001 to DOC/002.</t>
  </si>
  <si>
    <t>1.03</t>
  </si>
  <si>
    <t>Interested Parties Register (inc. VPSHR stakeholders)</t>
  </si>
  <si>
    <t>4.2</t>
  </si>
  <si>
    <t>03/02/2026</t>
  </si>
  <si>
    <t>SM/HSE/REG/001 Interested Parties Register v1.0</t>
  </si>
  <si>
    <t>COMPLETED S14 — 30 Mar 2026. 21 parties, Power/Interest Matrix, Iran conflict flagged. Colour-coded dropdowns.</t>
  </si>
  <si>
    <t>1.04</t>
  </si>
  <si>
    <t>OH&amp;S Policy — update/reissue with VPSHR commitments</t>
  </si>
  <si>
    <t>5.2</t>
  </si>
  <si>
    <t>05/02/2026</t>
  </si>
  <si>
    <t>12/02/2026</t>
  </si>
  <si>
    <t>SM/HSE/POL/001 OH&amp;S Policy v1.0</t>
  </si>
  <si>
    <t>COMPLETED S14 — 30 Mar 2026. Clause 5.2 mandatory + Seagull-specific commitments. Signature blocks for CEO/GCD. CEO approved.</t>
  </si>
  <si>
    <t>1.05</t>
  </si>
  <si>
    <t>Legal Requirements Register</t>
  </si>
  <si>
    <t>6.1.3</t>
  </si>
  <si>
    <t>14/02/2026</t>
  </si>
  <si>
    <t>SM/HSE/REG/002 Legal and Regulatory Requirements Register v1.0
SM/SEC/REG/001 Flag State Requirements Register v1.0
SM/INT/REG/007 External Standards and References Register v1.0
SM/HSE/PRO/002 Legal and Regulatory Compliance Procedure v1.0
SM/INT/PRO/004 External References and Standards Procedure v1.0</t>
  </si>
  <si>
    <t>Full legal compliance infrastructure built 01/04/2026. 3 registers (37 flags, 37 legal entries, 27 standards) + 2 procedures. All "Not Assessed" — responsible person review before audit. CWP task added.</t>
  </si>
  <si>
    <t>1.06</t>
  </si>
  <si>
    <t>Management of Change Procedure</t>
  </si>
  <si>
    <t>8.1.3</t>
  </si>
  <si>
    <t>OFI1</t>
  </si>
  <si>
    <t>17/02/2026</t>
  </si>
  <si>
    <t>SM/INT/PRO/013 v1.0 + SM/INT/FORM/003 + SM/INT/REG/009. Supersedes SM/PRO/CHA/001.</t>
  </si>
  <si>
    <t>Shell OFI #1 direct requirement. ISO 45001 8.1.3. Full MoC procedure with form, register, impact assessment, emergency changes, post-implementation review. S33.</t>
  </si>
  <si>
    <t>1.07</t>
  </si>
  <si>
    <t>Media &amp; Social Media Policy — finalise and issue</t>
  </si>
  <si>
    <t>7.4</t>
  </si>
  <si>
    <t>SM/INT/POL/001 Media Policy</t>
  </si>
  <si>
    <t>COMPLETED S24 — Policy rebuilt in new template format. All 17 policies received header/footer restoration and signature date update (02/04/2026). CEO approval confirmed.</t>
  </si>
  <si>
    <t>1.08</t>
  </si>
  <si>
    <t>D&amp;A Policy — finalise scope across all personnel types</t>
  </si>
  <si>
    <t>OFI7</t>
  </si>
  <si>
    <t>Compliance Director
Legal</t>
  </si>
  <si>
    <t>21/02/2026</t>
  </si>
  <si>
    <t>SM/INT/POL/010 Drugs and Alcohol Policy v1.0
SM/INT/PRO/021 Drugs and Alcohol Testing Procedure v1.0</t>
  </si>
  <si>
    <t>COMPLETED S35 — 8 Apr 2026. Full D&amp;A policy + testing procedure. Addresses Shell OFI-7. All personnel types covered. Random, for-cause, and post-incident testing.</t>
  </si>
  <si>
    <t>1.09</t>
  </si>
  <si>
    <t>Document Control Procedure — update for new referencing system</t>
  </si>
  <si>
    <t>7.5</t>
  </si>
  <si>
    <t>SM/INT/PRO/002 Control of Documents v1.0</t>
  </si>
  <si>
    <t>COMPLETED — Built from template, migrated ref (Option A). Old SM/PRO/DOC/001 withdrawn.</t>
  </si>
  <si>
    <t>1.10</t>
  </si>
  <si>
    <t>Sanctions check procedure — embed US checks, update register</t>
  </si>
  <si>
    <t>OFI3</t>
  </si>
  <si>
    <t>19/02/2026</t>
  </si>
  <si>
    <t>OFAC embedded in SM/INT/POL/002 (Code of Conduct sanctions section), SM/INT/DOC/003 (Risk Screening Tool Dimension 3), Sanctions Screener (30,604 entries: OFAC SDN + UK + EU). SM/INT/REG/007 updated.</t>
  </si>
  <si>
    <t>COMPLETED S36 — 8 Apr 2026. US/OFAC sanctions explicitly named in Code of Conduct, screening tool, and sanctions database. Shell OFI-3 addressed.
S41: Live sanctions infrastructure overhaul — refresh_sanctions.py v2 fetches OFAC SDN + UK FCDO + EU FSF; sanctions-screener.html rebuilt (14MB → 31KB, fetches canonical JSON); risk-screening-tool.html now uses real Levenshtein fuzzy matching against 35,300-entry sanctions DB. Scheduled weekly refresh Monday 3am Dubai.</t>
  </si>
  <si>
    <t>1.11</t>
  </si>
  <si>
    <t>Malta exemption — chase and document</t>
  </si>
  <si>
    <t>Legal</t>
  </si>
  <si>
    <t>26/01/2026</t>
  </si>
  <si>
    <t>Malta exemption letter</t>
  </si>
  <si>
    <t>Escalated, awaiting response</t>
  </si>
  <si>
    <t>1.12</t>
  </si>
  <si>
    <t>Insurance documentation alignment (UK vs Malta)</t>
  </si>
  <si>
    <t>Updated insurance docs</t>
  </si>
  <si>
    <t>COMPLETED</t>
  </si>
  <si>
    <t>1.13</t>
  </si>
  <si>
    <t>1.14</t>
  </si>
  <si>
    <t>Internal Audit Programme Review — self-raise NCR for 2025 gaps</t>
  </si>
  <si>
    <t>9.2</t>
  </si>
  <si>
    <t>SM/INT/RPT/001 IA Programme Review and Gap Analysis</t>
  </si>
  <si>
    <t>COMPLETED — Gap analysis produced, NCRs self-raised in register.</t>
  </si>
  <si>
    <t>1.15</t>
  </si>
  <si>
    <t>Internal Audit Schedule 2026 — design and approve</t>
  </si>
  <si>
    <t>SM/INT/REG/003 Internal Audit Schedule 2026</t>
  </si>
  <si>
    <t>COMPLETED — 12-month rolling schedule designed and approved.</t>
  </si>
  <si>
    <t>PHASE 2: RISK FRAMEWORK &amp; CORE PROCEDURES</t>
  </si>
  <si>
    <t>2.01</t>
  </si>
  <si>
    <t>Hazard Identification &amp; Risk Assessment framework</t>
  </si>
  <si>
    <t>6.1.1
6.1.2</t>
  </si>
  <si>
    <t>2</t>
  </si>
  <si>
    <t>01/03/2026</t>
  </si>
  <si>
    <t>10/03/2026</t>
  </si>
  <si>
    <t>SM/HSE/PRO/001 Hazard ID &amp; Risk Assessment Procedure v1.0
SM/HSE/RA/002-009 (8 Risk Assessments, 130 hazards)
SM/CAM/BRAG/001-010 (10 BRAGs)
SM/HSE/MS/001 Method Statement: Test Fire at Sea v1.0</t>
  </si>
  <si>
    <t>SM/HSE/PRO/001 Hazard ID &amp; Risk Assessment Procedure v1.0
SM/HSE/RA/002-009 (8 Risk Assessments, 130 hazards)
SM/CAM/BRAG/001-008 (8 BRAGs)</t>
  </si>
  <si>
    <t>2.02</t>
  </si>
  <si>
    <t>OH&amp;S Objectives, Targets &amp; KPIs</t>
  </si>
  <si>
    <t>6.2</t>
  </si>
  <si>
    <t>03/03/2026</t>
  </si>
  <si>
    <t>SM/INT/REG/006 - Company Objectives Register v1.0 (30 objectives across HSE/SEC/QMS/INT)</t>
  </si>
  <si>
    <t>Linked to monitoring (9.1)</t>
  </si>
  <si>
    <t>2.03</t>
  </si>
  <si>
    <t>Roles, Responsibilities &amp; Authorities matrix</t>
  </si>
  <si>
    <t>5.3</t>
  </si>
  <si>
    <t>07/03/2026</t>
  </si>
  <si>
    <t>SM/INT/DOC/005 Roles, Responsibilities and Authorities Matrix (RACI) v1.0</t>
  </si>
  <si>
    <t>COMPLETED S34 — 8 Apr 2026. 48 functions, 11 roles, 7 categories. Excel with dashboard.</t>
  </si>
  <si>
    <t>2.04</t>
  </si>
  <si>
    <t>Worker Consultation &amp; Participation procedure</t>
  </si>
  <si>
    <t>5.4</t>
  </si>
  <si>
    <t>05/03/2026</t>
  </si>
  <si>
    <t>12/03/2026</t>
  </si>
  <si>
    <t>SM/INT/PRO/014 Worker Consultation and Participation Procedure v1.0</t>
  </si>
  <si>
    <t>COMPLETED S34 — 8 Apr 2026. 10 sections. Consultation + participation mechanisms, Safety App, BRAGs, debriefs.</t>
  </si>
  <si>
    <t>2.05</t>
  </si>
  <si>
    <t>Emergency Preparedness &amp; Response procedure</t>
  </si>
  <si>
    <t>8.2</t>
  </si>
  <si>
    <t>14/03/2026</t>
  </si>
  <si>
    <t>SM/HSE/PRO/003 Emergency Preparedness and Response Procedure v1.0</t>
  </si>
  <si>
    <t>COMPLETED S34 — 8 Apr 2026. 12 sections. Umbrella framework linking PRO-006, BCP, SOPs. IRT exercise target: May 2026.</t>
  </si>
  <si>
    <t>2.06</t>
  </si>
  <si>
    <t>Incident Investigation procedure</t>
  </si>
  <si>
    <t>10.1</t>
  </si>
  <si>
    <t>17/03/2026</t>
  </si>
  <si>
    <t>SM/INT/PRO/006 Incident and Crisis Management v1.0
SM/INT/PRO/001 NCR/OFI/CAPA Management v1.0
SM/OPS/SOP/001 Section on incident procedures
Safety App for reporting</t>
  </si>
  <si>
    <t>COMPLETED — Incident investigation covered by PRO-006 (investigation framework), PRO-001 (NCR/CAPA lifecycle), IOR SOP incident sections, and Safety App reporting. 45001 Cl. 10.1 satisfied.</t>
  </si>
  <si>
    <t>2.07</t>
  </si>
  <si>
    <t>NCR &amp; Corrective Action procedure</t>
  </si>
  <si>
    <t>10.2</t>
  </si>
  <si>
    <t>SM/INT/PRO/001 NCR/OFI/CAPA Management v1.0
SM/INT/REG/004 NCR/OFI/CAPA Register v1.0
SM/INT/FORM/001 Non-Conformance Report Form v1.0</t>
  </si>
  <si>
    <t>COMPLETED — Full suite: procedure + register + form. Ref changed from planned HSE/PRO to INT/PRO/001 (cross-cutting, not H&amp;S specific).</t>
  </si>
  <si>
    <t>2.08</t>
  </si>
  <si>
    <t>VPSHR integration — embed into operational procedures</t>
  </si>
  <si>
    <t>21/03/2026</t>
  </si>
  <si>
    <t>VPSHR embedded across all operational procedures and annexes:
• SM/OPS/SOP/001 + Annexes A, B, C, D, E, F, G, H (IOR — full suite)
• SM/OPS/SOP/002 + Annex A (WAF)
• SM/OPS/PRO/001 Rules on the Use of Force
• SM/INT/POL/002 Code of Conduct
• SM/TRG/DOC/001-002 Human Rights training courses
• SM/SEC/POL/002 Human Rights Policy</t>
  </si>
  <si>
    <t>COMPLETED S43 — 17 Apr 2026. All IOR SOP Annexes A–H confirmed issued with VPSHR integration. Full operational-procedural and training coverage. GCD verified 17 April 2026. Shell F6 closure evidence.</t>
  </si>
  <si>
    <t>2.09</t>
  </si>
  <si>
    <t>Procurement &amp; contractor H&amp;S requirements</t>
  </si>
  <si>
    <t>8.1.4</t>
  </si>
  <si>
    <t>08/04/2026</t>
  </si>
  <si>
    <t>SM/INT/PRO/017 Supplier, Contractor and Procurement Management v1.0
SM/INT/FORM/004-006 (Supplier forms + SCAR + Checklist)
SM/INT/REG/010 Supplier and Subcontractor Register v1.0
SM/SEC/PRO/004-005 (SEV procedures)
SM/SEC/FORM/001-004 (SEV forms)</t>
  </si>
  <si>
    <t>COMPLETED S34 — 8 Apr 2026. Full procurement suite: procedure + Word forms + Excel checklists + register + SCAR. SEV docs corrected and unified. Evidence ref corrected from HSE/PRO/006.</t>
  </si>
  <si>
    <t>2.10</t>
  </si>
  <si>
    <t>SEV Minimum Standards document</t>
  </si>
  <si>
    <t>OFI6</t>
  </si>
  <si>
    <t>WAF Ops Director</t>
  </si>
  <si>
    <t>28/03/2026</t>
  </si>
  <si>
    <t>SM/SEC/PRO/004, SM/SEC/PRO/005, SM/SEC/FORM/001, SM/SEC/FORM/002</t>
  </si>
  <si>
    <t>COMPLETED S28 — 04 Apr 2026. Full SEV minimum standards defined: 27 vessel docs (V01-V27), 11 provider docs (P01-P11), source-attributed to OCIMF/Shell/SOLAS/ISO. Matching forms rebuilt.</t>
  </si>
  <si>
    <t>2.11</t>
  </si>
  <si>
    <t>Vessel delay wording — SOP amendment issued</t>
  </si>
  <si>
    <t>OFI4</t>
  </si>
  <si>
    <t>Annex D (Vessel Delay) and Annex E (UKMTO) issued</t>
  </si>
  <si>
    <t>SOP annex wording amended. Formal SOP reissue and training pending. OFI-010 in NCR register (Completed).</t>
  </si>
  <si>
    <t>2.12</t>
  </si>
  <si>
    <t>UKMTO incident reporting — SOP amendment issued</t>
  </si>
  <si>
    <t>OFI5</t>
  </si>
  <si>
    <t>SOP annex updated with UKMTO as primary reporting. Formal SOP reissue and training pending. OFI-011 in NCR register (Completed).</t>
  </si>
  <si>
    <t>2.13</t>
  </si>
  <si>
    <t>Nigerian Navy MOU — training review</t>
  </si>
  <si>
    <t>Compliance Director
HR &amp; Training</t>
  </si>
  <si>
    <t>Training review record</t>
  </si>
  <si>
    <t>Closed 12/03/2026. MOU reviewed against WAF competence framework. No operational training component required — obligations held by WAF Country Manager and Nigeria team as BAU.</t>
  </si>
  <si>
    <t>2.14</t>
  </si>
  <si>
    <t>Management Review Procedure — update to 45001 spec</t>
  </si>
  <si>
    <t>9.3</t>
  </si>
  <si>
    <t>OFI2</t>
  </si>
  <si>
    <t>SM/INT/PRO/003 Management Review</t>
  </si>
  <si>
    <t>Shell OFI #2 + 45001 requirement</t>
  </si>
  <si>
    <t>2.15</t>
  </si>
  <si>
    <t>Internal Audit Procedure — confirm 45001 compliance</t>
  </si>
  <si>
    <t>24/03/2026</t>
  </si>
  <si>
    <t>SM/INT/PRO/003 Internal Audit v1.0</t>
  </si>
  <si>
    <t>COMPLETED — Built from template, migrated ref (Option A). Old SM/PRO/IA/001 withdrawn.</t>
  </si>
  <si>
    <t>2.16</t>
  </si>
  <si>
    <t>2.17</t>
  </si>
  <si>
    <t>Risk assessments created and distributed</t>
  </si>
  <si>
    <t>6.1.2</t>
  </si>
  <si>
    <t>Compliance Director
Relevant managers</t>
  </si>
  <si>
    <t>Completed risk assessments (RA-003/004 pattern): SM/HSE/RA/002-010 (9 RAs, 144 hazards) + SM/CAM/BRAG/001-010 + SM/HSE/MS/001</t>
  </si>
  <si>
    <t>All 9 ISO 45001 H&amp;S RAs built (SM/HSE/RA/002-010): Vessel Transfer, Security Duties, Secure Accommodation, Vessel Transit, Small Arms Handling, Office Workplace, Remote Working, Heat Stress, Night Operations — 144 hazards total (was 130 before Night Ops added S18). 9 matching BRAGs in For Distribution. Test Fire at Sea suite added S39: SM/CAM/BRAG/010 + SM/HSE/MS/001 Method Statement — covers pre-transit weapon test fire hazards.</t>
  </si>
  <si>
    <t>2.18</t>
  </si>
  <si>
    <t>Continual Improvement procedure</t>
  </si>
  <si>
    <t>10.3</t>
  </si>
  <si>
    <t>SM/INT/PRO/015 Continual Improvement Procedure v1.0</t>
  </si>
  <si>
    <t>COMPLETED S34 — 8 Apr 2026. 11 sections. Sources, prioritisation, leading/lagging indicators, Management Review input.</t>
  </si>
  <si>
    <t>PHASE 3: IMPLEMENTATION &amp; EVIDENCE</t>
  </si>
  <si>
    <t>3.01</t>
  </si>
  <si>
    <t>Training needs analysis — all new/amended procedures</t>
  </si>
  <si>
    <t>7.2</t>
  </si>
  <si>
    <t>3</t>
  </si>
  <si>
    <t>01/04/2026</t>
  </si>
  <si>
    <t>07/04/2026</t>
  </si>
  <si>
    <t>SM/INT/PRO/010 Training and Competence Procedure approved. TNA framework established.
SM/INT/REG/008 Training and Competence Matrix v1.0 — 20 courses × 41 personnel mapped.</t>
  </si>
  <si>
    <t>3.02</t>
  </si>
  <si>
    <t>Training programme — design and schedule rollout</t>
  </si>
  <si>
    <t>7.2
7.3</t>
  </si>
  <si>
    <t>F2, F3, F6</t>
  </si>
  <si>
    <t>10/04/2026</t>
  </si>
  <si>
    <t>SM/INT/PRO/010 approved. Course design in progress.
SM/TRG/DOC/001 — Human Rights PCASP Training v1.0 (28 slides)
SM/TRG/DOC/002 — Human Rights Staff &amp; Management Training v1.0 (28 slides)
Emergent LMS: AI quiz generation, certificate sharing, leaderboard, mandatory courses matrix, Operations role split (IOR/WAF). SEV &amp; Suppliers course LIVE. WAF ops set as mandatory.</t>
  </si>
  <si>
    <t>S25 courses built. S28 LMS features: share certificates (public links), admin exclusion on leaderboard, mandatory course compliance matrix, Operations-IOR/Operations-WAF role split. All tests passing.</t>
  </si>
  <si>
    <t>3.03</t>
  </si>
  <si>
    <t>Training rollout — Batch 1 (core H&amp;S, MoC, risk)</t>
  </si>
  <si>
    <t>F2, OFI1</t>
  </si>
  <si>
    <t>14/04/2026</t>
  </si>
  <si>
    <t>LMS LIVE — 21 courses deployed. Staff onboarding in progress. Pavel deadline: all mandatory courses by 20 Apr 2026.</t>
  </si>
  <si>
    <t>COMPLETED S36 (status flipped S47, 23 Apr 2026) — LMS launched 8 Apr 2026. All courses live. Department managers accountable for team completion. Human Rights + H&amp;S priority for Shell evidence.</t>
  </si>
  <si>
    <t>3.04</t>
  </si>
  <si>
    <t>Training rollout — Batch 2 (media, VPSHR, D&amp;A, ops)</t>
  </si>
  <si>
    <t>F3, F6, OFI7</t>
  </si>
  <si>
    <t>HR &amp; Training</t>
  </si>
  <si>
    <t>21/04/2026</t>
  </si>
  <si>
    <t>LMS LIVE — Batch 2 courses (media, VPSHR, D&amp;A, ops) all on LMS. Mandatory completion deadline: 20 Apr 2026.</t>
  </si>
  <si>
    <t>COMPLETED S36 (status flipped S47, 23 Apr 2026) — All Batch 2 courses on LMS. Pavel set 20 Apr 2026 mandatory deadline. Social Media, Human Rights, D&amp;A all deployed.</t>
  </si>
  <si>
    <t>3.05</t>
  </si>
  <si>
    <t>PCASP briefing to Masters — formalise and distribute</t>
  </si>
  <si>
    <t>OFI8</t>
  </si>
  <si>
    <t>Compliance Director
WAF Ops</t>
  </si>
  <si>
    <t>Formal briefing document + distribution record</t>
  </si>
  <si>
    <t>COMPLETED S36 — 9 Apr 2026. Formal briefing document distributed to all Masters.</t>
  </si>
  <si>
    <t>3.06</t>
  </si>
  <si>
    <t>IRT Exercise — plan, conduct, document</t>
  </si>
  <si>
    <t>SM/HSE/RPT/001 IRT Exercise Report (Office Fire, Piraeus, 27/03/2026). 4 OFIs raised (OFI-013 to OFI-016).</t>
  </si>
  <si>
    <t>Critical Shell finding</t>
  </si>
  <si>
    <t>3.07</t>
  </si>
  <si>
    <t>Management Review #1 — conduct to 45001 spec</t>
  </si>
  <si>
    <t>Compliance Director
Senior management</t>
  </si>
  <si>
    <t>18/04/2026</t>
  </si>
  <si>
    <t>SM-INT-MRM-001 Management Review Minutes v1.0</t>
  </si>
  <si>
    <t>COMPLETED — Management review conducted. Minutes drafted, formatting polish pending.</t>
  </si>
  <si>
    <t>3.08</t>
  </si>
  <si>
    <t>Internal Audit — schedule and commence cycle</t>
  </si>
  <si>
    <t>25/04/2026</t>
  </si>
  <si>
    <t>SM-IA-26-001 Document Control Audit Report
SM-IA-26-002 Risk Management Audit Report
SM/INT/REG/003 Audit Schedule
SM/INT/REG/004 NCR Register</t>
  </si>
  <si>
    <t>COMPLETED S47 — 2026 audit cycle active; 2 audits completed with reports and CMPs. Findings tracked in NCR register. Cycle ongoing per schedule.</t>
  </si>
  <si>
    <t>3.09</t>
  </si>
  <si>
    <t>Competence assessment matrices — high-risk roles</t>
  </si>
  <si>
    <t>SM/INT/REG/008 Training and Competence Matrix v1.0 — 20 courses, 3 role categories, 41 shore-based personnel.
Derived from SM/INT/PRO/010 sections 7.1–7.3.</t>
  </si>
  <si>
    <t>3.10</t>
  </si>
  <si>
    <t>Legal register — responsible person review and compliance assessment</t>
  </si>
  <si>
    <t>6.1.3
9.1.2</t>
  </si>
  <si>
    <t>15/04/2026</t>
  </si>
  <si>
    <t>30/04/2026</t>
  </si>
  <si>
    <t>SM/HSE/REG/002 Legal and Regulatory Requirements Register v1.0
SM/SEC/REG/001 Flag State Requirements Register v1.0
SM/INT/REG/007 External Standards and References Register v1.0</t>
  </si>
  <si>
    <t>COMPLETED S36 — Registers built and populated. Ongoing compliance assessment tracked internally. Responsible person review in progress.</t>
  </si>
  <si>
    <t>3.11</t>
  </si>
  <si>
    <t>MS Transition — CMP-003 formally initiated</t>
  </si>
  <si>
    <t>SM/INT/CMP/003</t>
  </si>
  <si>
    <t>See MS Transition sheet</t>
  </si>
  <si>
    <t>3.12</t>
  </si>
  <si>
    <t>Nigerian Navy MOU training completed</t>
  </si>
  <si>
    <t>Training records</t>
  </si>
  <si>
    <t>Closed 12/03/2026 under 2.13 — no operational training requirement identified. MOU relationship administered by WAF Country Manager and Nigeria team.</t>
  </si>
  <si>
    <t>PHASE 4: CERTIFICATION &amp; REVIEW READY</t>
  </si>
  <si>
    <t>4.01</t>
  </si>
  <si>
    <t>45001 Stage 1 Audit (Documentation Review) — Libero</t>
  </si>
  <si>
    <t>全</t>
  </si>
  <si>
    <t>4</t>
  </si>
  <si>
    <t>Stage 1 audit report</t>
  </si>
  <si>
    <t>COMPLETED — ISO 45001 Stage 1 Documentation Review passed early April 2026 (remote/desktop review, clean pass no NCs). Libero. Darren fronted solo as GCD.</t>
  </si>
  <si>
    <t>4.02</t>
  </si>
  <si>
    <t>Stage 2 on site audit  nonconformities — address any findings</t>
  </si>
  <si>
    <t>02/05/2026</t>
  </si>
  <si>
    <t>Corrective action records</t>
  </si>
  <si>
    <t>IN PROGRESS — Stage 1 (doc review, early April 2026) passed clean. Stage 2 (on-site, 21 April 2026) passed with 1 minor NC raised. Minor NC does not block certification — response in progress.</t>
  </si>
  <si>
    <t>4.03</t>
  </si>
  <si>
    <t>Shell review preparation — compile evidence pack</t>
  </si>
  <si>
    <t>F1-F7</t>
  </si>
  <si>
    <t>01/05/2026</t>
  </si>
  <si>
    <t>shell.seagullmaritimeltd.com — custom Shell audit response portal (6 chapters: Audit, Platform, Culture, Live, Intelligence, Human Rights). Gate code SHELL-SEA-2026 shared with Dennis Kerlin, Andy Keane, Neil Murray in response email (17/04/2026, 14:47 Dubai). Also hosts standalone Culture showcase, full F1-F7 closure evidence, rolling document update timeline, Human Rights (VPSHR) pillar framework, LMS/HSE App demo credentials.</t>
  </si>
  <si>
    <t>COMPLETED S43 — 17 Apr 2026. Evidence pack delivered as interactive portal, not document dump. Shell response email sent 14:47 Dubai 17/04/2026 with portal link + gate code. Pavel, Richard, Kfir on cc. No onsite verification required pending Shell review (TBC May 2026).</t>
  </si>
  <si>
    <t>4.04</t>
  </si>
  <si>
    <t>Shell review — TBC May 2026</t>
  </si>
  <si>
    <t>04/05/2026</t>
  </si>
  <si>
    <t>08/05/2026</t>
  </si>
  <si>
    <t>Shell review outcome</t>
  </si>
  <si>
    <t>Shell date updated S40 (16 Apr 2026): Dennis Kerlin's 20 Feb 2026 email stated 'approx 3-4 months' — no fixed date confirmed. Target window TBC May 2026.</t>
  </si>
  <si>
    <t>4.05</t>
  </si>
  <si>
    <t>Post-Shell review actions (if any)</t>
  </si>
  <si>
    <t>TBC</t>
  </si>
  <si>
    <t>Action tracker</t>
  </si>
  <si>
    <t>4.06</t>
  </si>
  <si>
    <t>45001 Stage 2 Audit planning</t>
  </si>
  <si>
    <t>Stage 2 plan + travel arrangements</t>
  </si>
  <si>
    <t>COMPLETED S47 — ISO 45001 Stage 2 on-site audit conducted 21 April 2026 in Athens (Darren fronted as GCD). Passed with 1 minor NC raised (live under 4.02). Certification proceeds.</t>
  </si>
  <si>
    <t>4.07</t>
  </si>
  <si>
    <t>Continual improvement cycle — documented evidence</t>
  </si>
  <si>
    <t>Improvement log entries</t>
  </si>
  <si>
    <t>PHASE 5: GROUP GOVERNANCE LAYER &amp; COMPLIANCE PLATFORM</t>
  </si>
  <si>
    <t>5.01</t>
  </si>
  <si>
    <t>ESG Policy — group-level foundational</t>
  </si>
  <si>
    <t>All / 45001 / 18788 / 28007 / 28000</t>
  </si>
  <si>
    <t>5</t>
  </si>
  <si>
    <t>17/04/2026</t>
  </si>
  <si>
    <t>SM/INT/POL/011 ESG Policy v1.0 + VAN/INT/POL/010 ESG Policy v1.0 (Vanguard mirror)</t>
  </si>
  <si>
    <t>COMPLETED S42 — 17 Apr 2026. Group-level umbrella pulling existing Environmental, Human Rights, Code of Conduct, Anti-Bribery into single strategic statement. Signed Pavel (CEO) + Darren (GCD). Lean foundational — evolves as ESG reporting capability matures.</t>
  </si>
  <si>
    <t>5.02</t>
  </si>
  <si>
    <t>Sanctions Policy — standalone with live tooling wired in</t>
  </si>
  <si>
    <t>18788 / 28000 / 28007 / 9001 / OFAC / UK OFSI / EU FSF / UN</t>
  </si>
  <si>
    <t>SM/INT/POL/012 Sanctions Policy v1.0 + VAN/INT/POL/011 (Vanguard mirror, tool-agnostic)</t>
  </si>
  <si>
    <t>COMPLETED S42 — 17 Apr 2026. Explicit OFAC / UK OFSI / EU FSF / UN regimes. Names the live Sanctions Screener + Risk Screening Tool + 35K-entry DB + weekly refresh. Closes OFI-003.</t>
  </si>
  <si>
    <t>5.03</t>
  </si>
  <si>
    <t>Conflict of Interest Policy + Register</t>
  </si>
  <si>
    <t>9001 / 18788 / 28007 / 28000 / ICoCA</t>
  </si>
  <si>
    <t>SM/INT/POL/013 Conflict of Interest Policy v1.0 + SM/INT/REG/011 CoI Register v1.0 (stub, live for declarations) + VAN/INT/POL/012 (Vanguard mirror)</t>
  </si>
  <si>
    <t>COMPLETED S42 — 17 Apr 2026. Full declaration-management-review lifecycle. REG/011 ready for live declarations. Includes Operational Decision-Making Conflicts as explicit category (manages director-level bypass pattern).</t>
  </si>
  <si>
    <t>5.04</t>
  </si>
  <si>
    <t>D&amp;A Policy — canonical format rebuild</t>
  </si>
  <si>
    <t>45001 / 18788</t>
  </si>
  <si>
    <t>SM/INT/POL/010 Drugs and Alcohol Policy v1.0 (format-only reissue, content verbatim)</t>
  </si>
  <si>
    <t>COMPLETED S42 — 17 Apr 2026. Content unchanged; rebuilt from POL/008 Social Media template to fix 9-row doc control → canonical 10-row with Applicable Entities, cover page removed, section headings unified. Old format backup in Misc/. PDF pushed to all portal locations.</t>
  </si>
  <si>
    <t>5.05</t>
  </si>
  <si>
    <t>KYC Framework — portal tool for Finance-led KYC</t>
  </si>
  <si>
    <t>9001 / 18788 / AML</t>
  </si>
  <si>
    <t>kyc-framework.html portal tool (campaign/tools/), linked on portals homepage</t>
  </si>
  <si>
    <t>COMPLETED S42 — 17 Apr 2026. Draft v0.1. 10 sections pattern-matched to DD portal. Finance-led population, Compliance policy overlay. Wires in live Sanctions Screener + 5 live policies. Pitched to CEO/CFO on launch call.</t>
  </si>
  <si>
    <t>5.06</t>
  </si>
  <si>
    <t>Campaign Portal Launch + Ecosystem Integration</t>
  </si>
  <si>
    <t>All</t>
  </si>
  <si>
    <t>portals.seagullmaritimeltd.com/campaign — LIVE with 18+ doc library, BUL/001-003, 5 tools, threat banner, unified nav</t>
  </si>
  <si>
    <t>COMPLETED S42 — 17 Apr 2026. Campaign portal launched. Pavel endorsement + mandatory directive. 5 compliance tools standardised to canonical nav.</t>
  </si>
  <si>
    <t>5.07</t>
  </si>
  <si>
    <t>Shell Portal — lockdown + standalone Culture showcase</t>
  </si>
  <si>
    <t>Shell audit evidence</t>
  </si>
  <si>
    <t>shell.seagullmaritimeltd.com/culture/ standalone locked copy + Ch03 repointed internally + Ch05/Ch06 reorder + live.html evergreen + platform.html LMS/HSE demo creds</t>
  </si>
  <si>
    <t>COMPLETED S42 — 17 Apr 2026. Culture showcase built as locked dead-end inside Shell domain (no outbound escape). Human Rights promoted to Ch05, Intelligence (Rich/Olga TBP) to Ch06 as coming-soon. Risk Screening Tool de-linked to keep portal perimeter clean. LMS + HSE demo credentials surfaced (demo@seagullsecurity.com / demo2026).</t>
  </si>
  <si>
    <t>5.08</t>
  </si>
  <si>
    <t>Master's Evaluation Platform (HSE App module)</t>
  </si>
  <si>
    <t>28007 / 18788 (9.1) / 45001 (10.3)</t>
  </si>
  <si>
    <t>GCD / Ops</t>
  </si>
  <si>
    <t>SMS/FORM/MEV/001 auto-generated + HSE App Master portal module + multi-tenant CSO dashboards</t>
  </si>
  <si>
    <t>COMPLETED S42 — 17 Apr 2026 (Darren built in Emergent). Transient-access Master login per transit, 3-step evaluation wizard, auto-PDF to Ops/GCD. Client CSO dashboards tenant-scoped. Live at report.seagullmaritimeltd.com. Seagull-owned IP (exportable from Emergent). Pitched on launch call.</t>
  </si>
  <si>
    <t>5.09</t>
  </si>
  <si>
    <t>Shell Audit Response — submit via custom portal to Shell lead auditors</t>
  </si>
  <si>
    <t>9.3 / 10.1</t>
  </si>
  <si>
    <t>Response email sent 17/04/2026 14:47 Dubai. Recipients: Dennis Kerlin (Lead), Andy Keane, Neil Murray + Pavel / Richard / Kfir on cc. Portal URL shell.seagullmaritimeltd.com. Gate code SHELL-SEA-2026.</t>
  </si>
  <si>
    <t>COMPLETED S43 — 17 Apr 2026. Major milestone. Shell review now awaited TBC May 2026. Portal live and self-updating. No document dump required — portal is the response.</t>
  </si>
  <si>
    <t>5.10</t>
  </si>
  <si>
    <t>Vitol WAF Due Diligence — LSC auditor review and Vitol principal sign-off</t>
  </si>
  <si>
    <t>28000 / 28007 / 18788 / DD</t>
  </si>
  <si>
    <t>—</t>
  </si>
  <si>
    <t>Compliance Director / Ops</t>
  </si>
  <si>
    <t>03/04/2026</t>
  </si>
  <si>
    <t>Portal: portals.seagullmaritimeltd.com/dd/waf/. SM/SEC/PRO/002 v1.1, SM/SEC/DOC/002, SM/SEC/FORM/002 v1.1, SM/OPS/SOP/002 + Annex A. LSC (Aleksejs Sidorenko, MD) confirmed no further questions 17/04/2026 13:41 Dubai. Vitol (Neeraj Sareen) confirmed no onsite verification required 17/04/2026 14:13 Dubai.</t>
  </si>
  <si>
    <t>COMPLETED S43 — 17 Apr 2026. WAF DD work from S26–S28 validated. Tasos Blanos introduced as ongoing POC. Future audit deferred by Vitol to 'when time allows'.</t>
  </si>
  <si>
    <t>5.11</t>
  </si>
  <si>
    <t>Full tracker reconciliation and Document Register rebuild</t>
  </si>
  <si>
    <t>7.5 / 9.1</t>
  </si>
  <si>
    <t>Document Register v2.3 → v2.4 (15 new entries added: Test Fire suite, Emergency Contact annexes, 9 training course decks). Sequence Tracker corrected (HSE/RA, OPS/PRO, OPS/FORM, TRG/DOC). CWP, NCR Register, Reconciliation Matrix, IA-001/002 CMPs all reviewed and updated to current state. Outstanding items list curated (stale items struck off).</t>
  </si>
  <si>
    <t>COMPLETED S43 — 17 Apr 2026. Full sweep ordered by GCD after discovery that handover outstanding-item list had accumulated stale entries across multiple sessions. New discipline locked in: fresh curation each session, no copy-forward accumulation.</t>
  </si>
  <si>
    <t>SHELL AUDIT FINDINGS — DETAILED TRACKER</t>
  </si>
  <si>
    <t>Shell Maritime Security Due Diligence Audit — 20/21 January 2026 | Auditors: Dennis Kerlin (Lead), Andy Keane, Neil Murray</t>
  </si>
  <si>
    <t>Finding Description</t>
  </si>
  <si>
    <t>Shell Recommendation</t>
  </si>
  <si>
    <t>Seagull Required Actions</t>
  </si>
  <si>
    <t>Comments / Evidence</t>
  </si>
  <si>
    <t>License to Operate
Maltese exemption documentation (S.L. 480.05 / Arms Act)</t>
  </si>
  <si>
    <t>Obtain and maintain written confirmation from Maltese government body confirming exemption status</t>
  </si>
  <si>
    <t>Contact Maltese authorities — request exemption letter</t>
  </si>
  <si>
    <t>13/02/2026</t>
  </si>
  <si>
    <t>Request made via company secretary, escalated
Legal and regulatory infrastructure built 01/04/2026 (3 registers + 2 procedures). Malta exemption still outstanding.</t>
  </si>
  <si>
    <t>On receipt, provide to Shell</t>
  </si>
  <si>
    <t>Dependent on Malta response</t>
  </si>
  <si>
    <t>Add to company structure folder in DD folders</t>
  </si>
  <si>
    <t>Compliance Administrator</t>
  </si>
  <si>
    <t>Add to company legal documentation</t>
  </si>
  <si>
    <t>Risk Management System
Lack of structured risk framework for identification, assessment, control and mitigation across WAF and IOR</t>
  </si>
  <si>
    <t>Develop unified org-wide risk management framework inc. ISO 45001. Cover all operational environments, integrate HSSE, document within SOPs</t>
  </si>
  <si>
    <t>ISO 45001 certification request — Libero</t>
  </si>
  <si>
    <t>Audit booked — postponed from 17 Mar (conflict zone)</t>
  </si>
  <si>
    <t>Build OH&amp;S Management System to 45001</t>
  </si>
  <si>
    <t>COMPLETED S36 — All 25 ISO 45001 clauses satisfied. Full management system operational. Stage 1 submission pack ready.</t>
  </si>
  <si>
    <t>8x RA-003 pattern RAs (SM/HSE/RA/002-009) completed 31/03/2026. 130 hazards. 8 matching BRAGs. SM/HSE/RA/010 Night Operations RA (14 hazards) + BRAG added 01/04/2026. Total: 9 RAs, 144 hazards, 9 BRAGs.</t>
  </si>
  <si>
    <t>Policies and procedures distributed</t>
  </si>
  <si>
    <t>IN PROGRESS — LMS courses distribute procedures. DD portals host all current docs. Campaign portal document library live. Formal For Distribution folders maintained.</t>
  </si>
  <si>
    <t>Training &amp; awareness programmes created</t>
  </si>
  <si>
    <t>COMPLETED S36 — LMS live with 21 courses. 9 training slide decks built. Training matrix (20 courses x 41 personnel). AI quizzes, certificates, leaderboard.</t>
  </si>
  <si>
    <t>Relevant SOPs updated</t>
  </si>
  <si>
    <t>COMPLETED — IOR SOP + Annexes A/H updated (S21). WAF SOP + Annex A updated (S26). RUF procedure updated (S22). VPSHR, BMP-MS, Safety App refs throughout.</t>
  </si>
  <si>
    <t>Training programmes released and ongoing</t>
  </si>
  <si>
    <t>IN PROGRESS S36 — LMS launched 8 Apr 2026. Pavel mandatory deadline: 20 Apr. Staff onboarding this week. Priority: Human Rights + H&amp;S for Shell.</t>
  </si>
  <si>
    <t>Media &amp; Social Media Policy
No formal policy governing media interactions or social media use</t>
  </si>
  <si>
    <t>Develop and implement a media and social media policy with clear guidelines, training, and accountability</t>
  </si>
  <si>
    <t>Draft media &amp; social media policy</t>
  </si>
  <si>
    <t>Draft completed</t>
  </si>
  <si>
    <t>Finalise and obtain CEO approval</t>
  </si>
  <si>
    <t>Compliance Director
CEO</t>
  </si>
  <si>
    <t>COMPLETED — Policy rebuilt in new template format S24. CEO approval confirmed. Signature date 02/04/2026.</t>
  </si>
  <si>
    <t>Issue to all personnel</t>
  </si>
  <si>
    <t>COMPLETED S24 — Policy rebuilt in new template format and issued. Available on LMS as mandatory training course (Social Media Policy Awareness) from 8 Apr 2026. Awareness/training rollout tracked separately below.</t>
  </si>
  <si>
    <t>Training and awareness rollout</t>
  </si>
  <si>
    <t>IN PROGRESS S36 — Social Media course on LMS. Mandatory completion deadline 20 Apr 2026.</t>
  </si>
  <si>
    <t>Insurance Documentation
Personal insurance listed under UK entity, operations under Maltese entity</t>
  </si>
  <si>
    <t>Ensure insurance documentation is aligned with the operating entity</t>
  </si>
  <si>
    <t>Align insurance documentation with operating entity</t>
  </si>
  <si>
    <t>COMPLETED — documentation aligned</t>
  </si>
  <si>
    <t>Nigerian Navy MOU
No formal MOU with Nigerian Navy for WAF operations</t>
  </si>
  <si>
    <t>Obtain formal MOU or equivalent documentation</t>
  </si>
  <si>
    <t>Obtain Nigerian Navy MOU</t>
  </si>
  <si>
    <t>28/02/2026</t>
  </si>
  <si>
    <t xml:space="preserve">Seagull Maritime — Nigerian Navy MOU (05 Feb 2026) provided to Shell as F5 closure evidence 6 Feb 2026. </t>
  </si>
  <si>
    <t>Training review on MOU requirements</t>
  </si>
  <si>
    <t>Closed 12/03/2026. MOU reviewed against WAF competence framework. No operational training component required — MOU obligations held by WAF Country Manager and Nigeria team as BAU within existing WAF SOP / RUF framework.</t>
  </si>
  <si>
    <t>VPSHR Adoption
Voluntary Principles on Security and Human Rights not formally integrated</t>
  </si>
  <si>
    <t>Formally adopt VPSHR and integrate into procedures, training, and governance</t>
  </si>
  <si>
    <t>Review VPSHR requirements against current procedures</t>
  </si>
  <si>
    <t>VPSHR integrated into IOR SOP (S4), Annexes A/H, RUF procedure, Code of Conduct. SM/INT/PRO/010 includes VPSHR training section.</t>
  </si>
  <si>
    <t>Update OH&amp;S Policy with VPSHR commitments</t>
  </si>
  <si>
    <t>SM/HSE/POL/001 v1.0 — VPSHR commitments embedded in Sections 2 and 3. Completed S14 30 Mar 2026.</t>
  </si>
  <si>
    <t>Integrate VPSHR into operational SOPs</t>
  </si>
  <si>
    <t>COMPLETED S21-S28 — VPSHR integrated into IOR SOP + Annexes A/H, WAF SOP + Annex A, RUF procedure, Code of Conduct. Remaining: IOR Annexes B-G (content migration).</t>
  </si>
  <si>
    <t>VPSHR training rollout</t>
  </si>
  <si>
    <t>IN PROGRESS S36 — SM/TRG/DOC/001 (PCASP) + DOC/002 (Staff) Human Rights courses on LMS. Pavel identified as priority for Shell. Mandatory deadline 20 Apr. PCASP rollout will take significant time so will have to remain in progress</t>
  </si>
  <si>
    <t>IRT Exercise
No documented Incident Response Team exercise conducted</t>
  </si>
  <si>
    <t>Conduct and document an IRT exercise demonstrating preparedness</t>
  </si>
  <si>
    <t>Define IRT exercise scope and objectives</t>
  </si>
  <si>
    <t>SM/HSE/RPT/001 completed. Scenario: office fire Piraeus.</t>
  </si>
  <si>
    <t>Plan exercise scenario</t>
  </si>
  <si>
    <t>Fire at Piraeus office — electrical distribution room.</t>
  </si>
  <si>
    <t>Conduct IRT exercise</t>
  </si>
  <si>
    <t>Compliance Director
Operations team</t>
  </si>
  <si>
    <t>Tabletop exercise 27/03/2026. 7 participants across 4 locations.</t>
  </si>
  <si>
    <t>Document exercise report and lessons learned</t>
  </si>
  <si>
    <t>16/04/2026</t>
  </si>
  <si>
    <t>SM/HSE/RPT/001 v1.0. 4 improvement actions raised as OFI-013 to OFI-016.</t>
  </si>
  <si>
    <t>SHELL AUDIT OFIs — DETAILED TRACKER</t>
  </si>
  <si>
    <t>Opportunities for Improvement — Not approval contingent but expected for best practice</t>
  </si>
  <si>
    <t>OFI Description</t>
  </si>
  <si>
    <t>Seagull Comment</t>
  </si>
  <si>
    <t>Required Actions</t>
  </si>
  <si>
    <t>Management of Change
Formal MoC process for procedure updates</t>
  </si>
  <si>
    <t>Existing CMP procedure — recognise Andy's comment re new SOP implementation, will review and amend</t>
  </si>
  <si>
    <t>Review change management procedure</t>
  </si>
  <si>
    <t>SM/INT/PRO/013 v1.0 + SM/INT/FORM/003 + SM/INT/REG/009 + online form. Full suite in For Distribution S34.</t>
  </si>
  <si>
    <t>Update and reissue</t>
  </si>
  <si>
    <t>SM/INT/PRO/013 v1.0 in For Distribution. S34.</t>
  </si>
  <si>
    <t>Release to relevant departments</t>
  </si>
  <si>
    <t>Procedure + online change request form live. S33-34.</t>
  </si>
  <si>
    <t>Document change management for SOP updates</t>
  </si>
  <si>
    <t>MoC procedure covers SOP change management. S33-34.</t>
  </si>
  <si>
    <t>Management Review
Structured annual management review cycle</t>
  </si>
  <si>
    <t>Have procedure and conduct reviews — will review structure and amend per audit comments</t>
  </si>
  <si>
    <t>Review Management Review Procedure</t>
  </si>
  <si>
    <t>COMPLETED S34 — SM/INT/PRO/019 Management Review Procedure v1.0 built to 45001 spec. 11 input areas, 5 outputs.</t>
  </si>
  <si>
    <t>Update to 45001 spec (defined inputs/outputs)</t>
  </si>
  <si>
    <t>COMPLETED S34 — SM/INT/PRO/019 v1.0 fully 45001 compliant.</t>
  </si>
  <si>
    <t>Conduct Management Review #1</t>
  </si>
  <si>
    <t>COMPLETED — Management review conducted. SM-INT-MRM-001 minutes drafted.</t>
  </si>
  <si>
    <t>Sanctions Listings
Embed US sanctions checks into compliance workflows</t>
  </si>
  <si>
    <t>Checks conducted but wording does not cover US sanctions. Lists not in external references register</t>
  </si>
  <si>
    <t>Review documents where sanctions listed</t>
  </si>
  <si>
    <t>COMPLETED S36 — OFAC/US sanctions explicitly embedded in Code of Conduct (dedicated section), Risk Screening Tool (Dimension 3), Sanctions Screener (30K+ entries). External refs register updated.</t>
  </si>
  <si>
    <t>Update external references register</t>
  </si>
  <si>
    <t>COMPLETED — SM/INT/REG/007 External Standards and References Register includes OFAC SDN, UK FCDO, EU sanctions refs.</t>
  </si>
  <si>
    <t>Update relevant documentation and issue</t>
  </si>
  <si>
    <t>COMPLETED — Code of Conduct updated with OFAC section, screening tools live, DD procedures reference sanctions requirements.</t>
  </si>
  <si>
    <t>Vessel Delay Wording
Revise wording re delaying vessels for safety/weather</t>
  </si>
  <si>
    <t>SOP requires wording amendment</t>
  </si>
  <si>
    <t>Update relevant SOP annex</t>
  </si>
  <si>
    <t>SOP wording amended</t>
  </si>
  <si>
    <t>Formally issue updated SOP</t>
  </si>
  <si>
    <t>COMPLETED — SM/OPS/SOP/001 v1.0 formally issued S21. Vessel delay wording in Annex D.</t>
  </si>
  <si>
    <t>Training on updated procedure</t>
  </si>
  <si>
    <t>IN PROGRESS S36 — SOP RUF course on LMS includes updated procedures. This will take significant time to rollout to all PCASP and they complete so has to remain progress</t>
  </si>
  <si>
    <t>Vessel Defence Incident Reporting
Include UKMTO notification in vessel defence incident procedures</t>
  </si>
  <si>
    <t>SOP updated</t>
  </si>
  <si>
    <t>Update SOP with UKMTO reporting</t>
  </si>
  <si>
    <t>COMPLETED — SM/OPS/SOP/001 v1.0 formally issued S21. UKMTO reporting in Annex E.</t>
  </si>
  <si>
    <t>IN PROGRESS S36 — SOP course on LMS includes UKMTO reporting. This will take significant time to rollout to all PCASP and they complete so has to remain progress</t>
  </si>
  <si>
    <t>SEV Minimum Standards
Define minimum standards for Security Escort Vessels</t>
  </si>
  <si>
    <t>Requires input from WAF operations team</t>
  </si>
  <si>
    <t>Draft SEV minimum standards document</t>
  </si>
  <si>
    <t>COMPLETED S28 — 04 Apr 2026. SM/SEC/PRO/004 defines 27 vessel standards, SM/SEC/PRO/005 defines 11 provider standards, SM/SEC/FORM/001 + FORM-002 are the operational checklists. All cross-referenced to OCIMF, Shell PMSC Vetting, ISO 18788, VPSHR.</t>
  </si>
  <si>
    <t>Review and approve</t>
  </si>
  <si>
    <t>COMPLETED S28 — GCD reviewed and approved. Standards embedded in SM/SEC/PRO/004 (27 vessel docs) and SM/SEC/PRO/005 (11 provider docs).</t>
  </si>
  <si>
    <t>Issue to WAF team and vessel providers</t>
  </si>
  <si>
    <t>Procedures and checklists built. Formal issue to WAF team pending alongside WAF deliverables review.</t>
  </si>
  <si>
    <t>D&amp;A Policy
Extend applicability across all personnel types</t>
  </si>
  <si>
    <t>Legal currently reviewing</t>
  </si>
  <si>
    <t>Legal review of D&amp;A policy scope</t>
  </si>
  <si>
    <t>COMPLETED S35 — SM/INT/POL/010 Drugs and Alcohol Policy v1.0 + SM/INT/PRO/021 Testing Procedure v1.0. All personnel types covered.</t>
  </si>
  <si>
    <t>Update policy to cover all personnel types</t>
  </si>
  <si>
    <t>COMPLETED S35 — SM/INT/POL/010 covers all personnel types (shore, PCASP, vessel crew, contractors).</t>
  </si>
  <si>
    <t>Issue updated policy</t>
  </si>
  <si>
    <t>COMPLETED S35 — Policy in For Distribution. Testing procedure issued alongside.</t>
  </si>
  <si>
    <t>Training rollout</t>
  </si>
  <si>
    <t>IN PROGRESS S36 — D&amp;A awareness on LMS. This will take significant time to rollout to all personnel and they complete so has to remain progress</t>
  </si>
  <si>
    <t>PCASP Briefing to Masters
Formalise security briefing process</t>
  </si>
  <si>
    <t>Briefing content prepared, needs formal distribution</t>
  </si>
  <si>
    <t>Finalise formal briefing document</t>
  </si>
  <si>
    <t>Briefing document finalised. OFI-012 in NCR register (Completed).</t>
  </si>
  <si>
    <t>Distribute to all Masters</t>
  </si>
  <si>
    <t>Compliance Director
Ops/WAF Ops</t>
  </si>
  <si>
    <t>See Task 3.05</t>
  </si>
  <si>
    <t>Maintain distribution record</t>
  </si>
  <si>
    <t>ISO 45001:2018 CLAUSE COMPLIANCE REGISTER</t>
  </si>
  <si>
    <t>Clause</t>
  </si>
  <si>
    <t>Requirement</t>
  </si>
  <si>
    <t>Shell Overlap</t>
  </si>
  <si>
    <t>Seagull Document / Evidence</t>
  </si>
  <si>
    <t>Gap / Action Required</t>
  </si>
  <si>
    <t>Programme Ref</t>
  </si>
  <si>
    <t>CLAUSE 4: CONTEXT OF THE ORGANISATION</t>
  </si>
  <si>
    <t>Understanding the organisation and its context</t>
  </si>
  <si>
    <t>SM/INT/DOC/002 v1.0 + v2.0</t>
  </si>
  <si>
    <t>PESTLE &amp; SWOT completed. Pre-war baseline + Iran emergency review.</t>
  </si>
  <si>
    <t>Understanding needs and expectations of workers and other interested parties</t>
  </si>
  <si>
    <t>SM/HSE/REG/001 v1.0</t>
  </si>
  <si>
    <t>21 parties mapped. Power/Interest Matrix. Iran conflict flagged.</t>
  </si>
  <si>
    <t>Determining the scope of the OH&amp;S management system</t>
  </si>
  <si>
    <t>SM/HSE/DOC/001 v1.0</t>
  </si>
  <si>
    <t>Scope statement defined and sent to Libero.</t>
  </si>
  <si>
    <t>4.4</t>
  </si>
  <si>
    <t>OH&amp;S management system</t>
  </si>
  <si>
    <t>SM/INT/DOC/001 Document Referencing Guide + SM/INT/REG/001 Document Register + management system folder structure (00-12). System architecture documented and operational.</t>
  </si>
  <si>
    <t>Complete. System documented through referencing guide, register, and folder structure.</t>
  </si>
  <si>
    <t>CLAUSE 5: LEADERSHIP AND WORKER PARTICIPATION</t>
  </si>
  <si>
    <t>5.1</t>
  </si>
  <si>
    <t>Leadership and commitment</t>
  </si>
  <si>
    <t>17 signed policies across all disciplines. MR #1 conducted and minuted. CEO endorsement of campaign. Resource allocation for LMS, portals, certification, GCD role. Demonstrable active leadership.</t>
  </si>
  <si>
    <t>Complete. Evidence through signed policies, Management Review, campaign endorsement, resource commitment.</t>
  </si>
  <si>
    <t>OH&amp;S policy</t>
  </si>
  <si>
    <t>F6, OFI7</t>
  </si>
  <si>
    <t>SM/HSE/POL/001 v1.0</t>
  </si>
  <si>
    <t>Policy with Cl. 5.2 mandatory commitments + VPSHR, conflict zones, weapons safety.</t>
  </si>
  <si>
    <t>1.04, 1.08</t>
  </si>
  <si>
    <t>Organisational roles, responsibilities and authorities</t>
  </si>
  <si>
    <t>SM/INT/DOC/005 RACI Matrix v1.0 — 48 functions, 11 roles, 7 categories, dashboard with accountability summary</t>
  </si>
  <si>
    <t>Complete. RACI matrix covers all management system functions.</t>
  </si>
  <si>
    <t>Consultation and participation of workers</t>
  </si>
  <si>
    <t>SM/INT/PRO/014 Worker Consultation and Participation Procedure v1.0 — consultation requirements, participation mechanisms, barriers removal, Safety App, BRAGs, debriefs</t>
  </si>
  <si>
    <t>Complete. Procedure + existing mechanisms (Safety App, BRAGs, debriefs, change requests).</t>
  </si>
  <si>
    <t>CLAUSE 6: PLANNING</t>
  </si>
  <si>
    <t>6.1.1</t>
  </si>
  <si>
    <t>Actions to address risks and opportunities — General</t>
  </si>
  <si>
    <t>SM/HSE/PRO/001 Hazard ID &amp; Risk Assessment Procedure v1.0</t>
  </si>
  <si>
    <t>Risk framework IS Finding #2 Procedure completed 31/03/2026.</t>
  </si>
  <si>
    <t>Hazard identification and assessment of risks and opportunities</t>
  </si>
  <si>
    <t>9x RA-003 pattern RAs (SM/HSE/RA/002-010) + 10x BRAGs (SM/CAM/BRAG/001-010) + SM/HSE/MS/001 Method Statement: Test Fire at Sea (first MS in new Method Statement series)</t>
  </si>
  <si>
    <t>All operational and office hazards assessed. 144 hazards across 9 RAs. Night ops gap identified via screening tool and filled. Test Fire at Sea (BRAG/010 + MS/001) added S39. BRAGs + method statements for frontline distribution.</t>
  </si>
  <si>
    <t>2.01, 2.17</t>
  </si>
  <si>
    <t>Determination of legal requirements and other requirements</t>
  </si>
  <si>
    <t>SM/HSE/REG/002 Legal and Regulatory Requirements Register v1.0
SM/HSE/PRO/002 Legal and Regulatory Compliance Procedure v1.0</t>
  </si>
  <si>
    <t>Legal register (37 entries across 5 jurisdictions) + compliance evaluation procedure. ISO cross-references per entry. Compliance evaluation frequency set. Responsible person review before audit.</t>
  </si>
  <si>
    <t>6.1.4</t>
  </si>
  <si>
    <t>Planning action</t>
  </si>
  <si>
    <t>Evidential — CWP, CMPs for audits, management review, risk assessment controls. System structure IS the evidence.</t>
  </si>
  <si>
    <t>Complete. Plans documented across CWP, IA CMPs, RAs, and procedures. S34.</t>
  </si>
  <si>
    <t>OH&amp;S objectives and planning to achieve them</t>
  </si>
  <si>
    <t>SM/INT/REG/006 - Company Objectives Register v1.0 (30 objectives, SMART, KPIs, RAG, dashboard)</t>
  </si>
  <si>
    <t>Objectives and KPIs established 31/03/2026. Review History sheet provides Clause 9.1 monitoring evidence.</t>
  </si>
  <si>
    <t>CLAUSE 7: SUPPORT</t>
  </si>
  <si>
    <t>7.1</t>
  </si>
  <si>
    <t>Resources</t>
  </si>
  <si>
    <t>GCD role contracted. LMS built and live. Safety App live. Campaign portals live. 140+ documents produced. Libero engaged. Training courses deployed. Resource commitment evidenced through output.</t>
  </si>
  <si>
    <t>Complete. Resource commitment demonstrated through deliverables and infrastructure.</t>
  </si>
  <si>
    <t>Competence</t>
  </si>
  <si>
    <t>F2, OFI8</t>
  </si>
  <si>
    <t>SM/INT/PRO/012 Staff Training and Competence Procedure v1.0. SM/INT/REG/008 Training and Competence Matrix v1.0. LMS live with 21 courses. Competence framework operational. LMS rollout imminent.</t>
  </si>
  <si>
    <t>Complete. Procedure + matrix + LMS all operational. Rollout in progress.</t>
  </si>
  <si>
    <t>3.01, 3.09</t>
  </si>
  <si>
    <t>7.3</t>
  </si>
  <si>
    <t>Awareness</t>
  </si>
  <si>
    <t>SM/INT/PRO/012 covers awareness requirements. LMS courses deliver awareness training (C01a-d induction/awareness, C09 incident reporting). Campaign portal + BRAGs (10) + method statements + bulletins for ongoing awareness. Campaign Launch Bulletin (SM/CAM/BUL/003) issued 16/04/2026 — portal live with 18-doc library + compliance tools.</t>
  </si>
  <si>
    <t>Complete. Awareness delivered through LMS, campaign portal, BRAGs, and bulletbox talks.</t>
  </si>
  <si>
    <t>3.02-3.04</t>
  </si>
  <si>
    <t>Communication</t>
  </si>
  <si>
    <t>SM/INT/PRO/016 Internal and External Communications Procedure v1.0. SM/INT/PRO/016-A/B Emergency Contact Posters (Athens, Lagos). Safety App emergency contacts page. Supersedes SOP-1003.</t>
  </si>
  <si>
    <t>Complete. Procedure + office posters + digital contacts. S34 — 8 Apr 2026.</t>
  </si>
  <si>
    <t>Documented information</t>
  </si>
  <si>
    <t>SM/INT/PRO/002 Control of Documents v1.0. SM/INT/PRO/005 Control of Records v1.0 (needs XML fix but content complete). SM/INT/REG/001 Document Register v2.0. Full document control framework operational.</t>
  </si>
  <si>
    <t>Complete. Document and records control procedures operational. PRO-005 XML fix pending.</t>
  </si>
  <si>
    <t>CLAUSE 8: OPERATION</t>
  </si>
  <si>
    <t>8.1.1</t>
  </si>
  <si>
    <t>Operational planning and control — General</t>
  </si>
  <si>
    <t>SOPs (SM/OPS/SOP/001 IOR, SM/OPS/SOP/002 WAF), risk assessments (RA-003 series 9 RAs, RA-004 series), BRAGs, procedures, training, Safety App. Operational planning and control evidenced through full management system.</t>
  </si>
  <si>
    <t>Complete. Evidenced by the scale and integration of the management system.</t>
  </si>
  <si>
    <t>8.1.2</t>
  </si>
  <si>
    <t>Eliminating hazards and reducing OH&amp;S risks</t>
  </si>
  <si>
    <t>F2, OFI6</t>
  </si>
  <si>
    <t>SM/HSE/PRO/001 Hazard ID and RA Procedure. SM/HSE/RA/002-010 (9 H&amp;S RAs, 144 hazards). SM/SEC/PRO/001 Security RA Procedure. SM/CAM/BRAG/001-010. Controls framework operational. Periodic review scheduling to be established.</t>
  </si>
  <si>
    <t>Complete. Hazard elimination and risk reduction framework operational. Review scheduling task created.</t>
  </si>
  <si>
    <t>2.01, 2.10</t>
  </si>
  <si>
    <t>Management of change</t>
  </si>
  <si>
    <t>SM/INT/PRO/013 v1.0</t>
  </si>
  <si>
    <t>Full MoC procedure addresses 8.1.3 requirements</t>
  </si>
  <si>
    <t>Procurement</t>
  </si>
  <si>
    <t>SM/INT/PRO/017 Supplier, Contractor and Procurement Management v1.0 + SM/INT/FORM/004 (Supplier Approval Form) + SM/INT/FORM/005 (SCAR) + SM/INT/FORM/006 (Checklist) + SM/INT/REG/010 (Register) + SEV forms (SEC/FORM/003, 004) + SEV checklists (FORM/001 v1.1, FORM/002 v1.1) + PRO-004/005 v1.1</t>
  </si>
  <si>
    <t>Complete. Full procurement suite: procedure, Word forms, Excel checklists, register, SCAR. SEV docs corrected and unified. S34.</t>
  </si>
  <si>
    <t>Emergency preparedness and response</t>
  </si>
  <si>
    <t>SM/HSE/PRO/003 Emergency Preparedness and Response Procedure v1.0 — umbrella framework linking PRO-006, BCP, regional SOPs. IRT exercise planned before May 2026.</t>
  </si>
  <si>
    <t>Procedure complete. IRT exercise (CWP 3.06) target: before end May 2026.</t>
  </si>
  <si>
    <t>2.05, 3.06</t>
  </si>
  <si>
    <t>CLAUSE 9: PERFORMANCE EVALUATION</t>
  </si>
  <si>
    <t>9.1</t>
  </si>
  <si>
    <t>Monitoring, measurement, analysis and evaluation</t>
  </si>
  <si>
    <t>Evidential — NCR/CAPA register, dashboards on all registers, CWP tracking, Safety App incident data, training matrix, legal register, audit programme, management review minutes</t>
  </si>
  <si>
    <t>Complete. M&amp;M framework embedded across registers, dashboards, procedures, and operational tools. S34.</t>
  </si>
  <si>
    <t>Internal audit</t>
  </si>
  <si>
    <t>SM/INT/PRO/003 Internal Audit Procedure v1.0. SM-IA-26-001 (Document Control audit) + SM-IA-26-002 (Risk Management audit) completed. Audit programme operational with 10 months remaining in cycle.</t>
  </si>
  <si>
    <t>Complete. Procedure + 2 audits conducted. Programme ongoing.</t>
  </si>
  <si>
    <t>2.15, 3.08</t>
  </si>
  <si>
    <t>Management review</t>
  </si>
  <si>
    <t>SM/INT/PRO/019 Management Review Procedure v1.0 (11 input areas, 5 outputs) + SM-INT-MRM-001 v1.1 (data maturity note for implementation phase). MR #1 conducted.</t>
  </si>
  <si>
    <t>Complete. Procedure rebuilt to 45001 spec, MRM-001 updated with implementation data maturity note. S34.</t>
  </si>
  <si>
    <t>2.14, 3.07</t>
  </si>
  <si>
    <t>CLAUSE 10: IMPROVEMENT</t>
  </si>
  <si>
    <t>Incident, nonconformity and corrective action</t>
  </si>
  <si>
    <t>Evidential — SM/INT/PRO/001 (NCR/CAPA), SM/INT/PRO/006 (Incident &amp; Crisis), SM/INT/REG/004 (NCR Register), Safety App reporting, campaign awareness programme</t>
  </si>
  <si>
    <t>Complete. NC/CA framework operational, incident management procedure live, reporting app live. S34.</t>
  </si>
  <si>
    <t>Nonconformity and corrective action</t>
  </si>
  <si>
    <t>SM/INT/PRO/001 NCR/OFI/CAPA Management v1.0
SM/INT/REG/004 NCR Register v1.0 (populated, dashboards, conditional formatting)
SM/INT/FORM/001 Non-Conformance Report Form v1.0
Full lifecycle tracking operational since S12.</t>
  </si>
  <si>
    <t>Complete suite: procedure + register + form. Fully operational.</t>
  </si>
  <si>
    <t>Continual improvement</t>
  </si>
  <si>
    <t>SM/INT/PRO/015 Continual Improvement Procedure v1.0 — sources of improvement, 4-tier prioritisation, leading/lagging indicators, Management Review input, records</t>
  </si>
  <si>
    <t>Complete. CI framework operational. Feeds into existing NCR/CAPA register and Management Review.</t>
  </si>
  <si>
    <t>2.18, 4.07</t>
  </si>
  <si>
    <t>MANAGEMENT SYSTEM TRANSITION — CMP-003</t>
  </si>
  <si>
    <t>Folder restructure, document referencing migration, and management system consolidation</t>
  </si>
  <si>
    <t>SM/INT/CMP/003 v1.0</t>
  </si>
  <si>
    <t>Change Description:</t>
  </si>
  <si>
    <t>Wholesale management system transition — new folder structure,
document referencing system, consolidated ISO documentation</t>
  </si>
  <si>
    <t>Change Owner:</t>
  </si>
  <si>
    <t>Effective Date:</t>
  </si>
  <si>
    <t>01 April 2026</t>
  </si>
  <si>
    <t>Target Completion:</t>
  </si>
  <si>
    <t>30 June 2026</t>
  </si>
  <si>
    <t>Task</t>
  </si>
  <si>
    <t>Notes</t>
  </si>
  <si>
    <t>PHASE A: INFRASTRUCTURE</t>
  </si>
  <si>
    <t>A.01</t>
  </si>
  <si>
    <t>Folder structure created (00-12 with sub-folders)</t>
  </si>
  <si>
    <t>Done in Session 5</t>
  </si>
  <si>
    <t>A.02</t>
  </si>
  <si>
    <t>Document referencing system formalised (SM/INT/DOC/001)</t>
  </si>
  <si>
    <t>A.03</t>
  </si>
  <si>
    <t>Document register created (SM/INT/REG/001 v2.0)</t>
  </si>
  <si>
    <t>A.04</t>
  </si>
  <si>
    <t>Folder guide and quick-reference created</t>
  </si>
  <si>
    <t>PHASE B: DOCUMENT MIGRATION</t>
  </si>
  <si>
    <t>B.01</t>
  </si>
  <si>
    <t>Existing policies migrated and re-referenced</t>
  </si>
  <si>
    <t>As policies are updated for 45001/Shell</t>
  </si>
  <si>
    <t>B.02</t>
  </si>
  <si>
    <t>Existing procedures migrated and re-referenced</t>
  </si>
  <si>
    <t>B.03</t>
  </si>
  <si>
    <t>SOPs migrated — retain legacy refs until amended</t>
  </si>
  <si>
    <t>30/06/2026</t>
  </si>
  <si>
    <t>Shell amendments will trigger migration</t>
  </si>
  <si>
    <t>B.04</t>
  </si>
  <si>
    <t>Risk assessments migrated</t>
  </si>
  <si>
    <t>B.05</t>
  </si>
  <si>
    <t>Forms library migrated</t>
  </si>
  <si>
    <t>Compliance Director
Compliance Administrator</t>
  </si>
  <si>
    <t>12 TL operational forms rebuilt (SM/OPS/FORM/006-017). RUF forms already complete.</t>
  </si>
  <si>
    <t>B.06</t>
  </si>
  <si>
    <t>Legacy reference mapping completed</t>
  </si>
  <si>
    <t>Legacy Mapping sheet in register</t>
  </si>
  <si>
    <t>PHASE C: RELEASE &amp; COMMUNICATION</t>
  </si>
  <si>
    <t>C.01</t>
  </si>
  <si>
    <t>Google Drive workspace set up</t>
  </si>
  <si>
    <t>07/05/2026</t>
  </si>
  <si>
    <t>Post-Shell review</t>
  </si>
  <si>
    <t>C.02</t>
  </si>
  <si>
    <t>Access permissions configured</t>
  </si>
  <si>
    <t>14/05/2026</t>
  </si>
  <si>
    <t>C.03</t>
  </si>
  <si>
    <t>Team briefing on new system</t>
  </si>
  <si>
    <t>21/05/2026</t>
  </si>
  <si>
    <t>All staff awareness</t>
  </si>
  <si>
    <t>C.04</t>
  </si>
  <si>
    <t>Old system archived</t>
  </si>
  <si>
    <t>01/06/2026</t>
  </si>
  <si>
    <t>15/06/2026</t>
  </si>
  <si>
    <t>C.05</t>
  </si>
  <si>
    <t>Parallel running period complete</t>
  </si>
  <si>
    <t>Old system access removed</t>
  </si>
  <si>
    <t>45001 Certification Target:</t>
  </si>
  <si>
    <t>Audits completed 21/04/2026 - awaiting confirmed report and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</si>
</sst>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"/>
    </font>
    <font>
      <b/>
      <sz val="14"/>
      <color rgb="FF003C72"/>
      <name val="Avenir Next LT Pro"/>
      <charset val="1"/>
    </font>
    <font>
      <sz val="10"/>
      <color rgb="FF42515A"/>
      <name val="Avenir Next LT Pro"/>
      <charset val="1"/>
    </font>
    <font>
      <b/>
      <sz val="9"/>
      <color rgb="FF003C72"/>
      <name val="Aptos"/>
      <charset val="1"/>
    </font>
    <font>
      <sz val="9"/>
      <color rgb="FF000000"/>
      <name val="Aptos"/>
      <charset val="1"/>
    </font>
    <font>
      <b/>
      <sz val="11"/>
      <color rgb="FF003C72"/>
      <name val="Avenir Next LT Pro"/>
      <charset val="1"/>
    </font>
    <font>
      <b/>
      <sz val="18"/>
      <color rgb="FF003C72"/>
      <name val="Aptos"/>
      <charset val="1"/>
    </font>
    <font>
      <sz val="9"/>
      <color rgb="FF42515A"/>
      <name val="Aptos"/>
      <charset val="1"/>
    </font>
    <font>
      <b/>
      <sz val="9"/>
      <color rgb="FF000000"/>
      <name val="Aptos"/>
      <charset val="1"/>
    </font>
    <font>
      <b/>
      <sz val="9"/>
      <color rgb="FFFFFFFF"/>
      <name val="Aptos"/>
      <charset val="1"/>
    </font>
    <font>
      <b/>
      <sz val="10"/>
      <color rgb="FF003C72"/>
      <name val="Avenir Next LT Pro"/>
      <charset val="1"/>
    </font>
    <font>
      <sz val="9"/>
      <name val="Aptos"/>
      <charset val="1"/>
    </font>
    <font>
      <sz val="9"/>
      <color rgb="FF000000"/>
      <name val="DejaVu Sans"/>
      <family val="2"/>
    </font>
    <font>
      <sz val="9"/>
      <color rgb="FF42515A"/>
      <name val="Avenir Next LT Pro"/>
      <charset val="1"/>
    </font>
    <font>
      <sz val="9"/>
      <name val="Aptos"/>
    </font>
  </fonts>
  <fills count="11">
    <fill>
      <patternFill patternType="none"/>
    </fill>
    <fill>
      <patternFill patternType="gray125"/>
    </fill>
    <fill>
      <patternFill patternType="solid">
        <fgColor rgb="FFE6EDF5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E0B2"/>
        <bgColor rgb="FFFFF2CC"/>
      </patternFill>
    </fill>
    <fill>
      <patternFill patternType="solid">
        <fgColor rgb="FFB3D9FF"/>
        <bgColor rgb="FF99CCFF"/>
      </patternFill>
    </fill>
    <fill>
      <patternFill patternType="solid">
        <fgColor rgb="FFF2F2F2"/>
        <bgColor rgb="FFE6EDF5"/>
      </patternFill>
    </fill>
    <fill>
      <patternFill patternType="solid">
        <fgColor rgb="FF003C72"/>
        <bgColor rgb="FF333399"/>
      </patternFill>
    </fill>
    <fill>
      <patternFill patternType="solid">
        <fgColor rgb="FFE6EDF5"/>
        <bgColor rgb="FFE6EDF5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medium">
        <color rgb="FF003C72"/>
      </left>
      <right style="medium">
        <color rgb="FF003C72"/>
      </right>
      <top style="medium">
        <color rgb="FF003C72"/>
      </top>
      <bottom style="medium">
        <color rgb="FF003C72"/>
      </bottom>
      <diagonal/>
    </border>
    <border>
      <left style="medium">
        <color rgb="FF003C72"/>
      </left>
      <right style="thin">
        <color auto="1"/>
      </right>
      <top style="medium">
        <color rgb="FF003C72"/>
      </top>
      <bottom style="medium">
        <color rgb="FF003C72"/>
      </bottom>
      <diagonal/>
    </border>
    <border>
      <left style="thin">
        <color rgb="FF003C72"/>
      </left>
      <right style="thin">
        <color rgb="FF003C72"/>
      </right>
      <top style="thin">
        <color rgb="FF003C72"/>
      </top>
      <bottom style="thin">
        <color rgb="FF003C72"/>
      </bottom>
      <diagonal/>
    </border>
    <border>
      <left/>
      <right/>
      <top style="thin">
        <color rgb="FF003C72"/>
      </top>
      <bottom style="thin">
        <color rgb="FF003C72"/>
      </bottom>
      <diagonal/>
    </border>
    <border>
      <left/>
      <right style="thin">
        <color rgb="FF003C72"/>
      </right>
      <top style="thin">
        <color rgb="FF003C72"/>
      </top>
      <bottom style="thin">
        <color rgb="FF003C72"/>
      </bottom>
      <diagonal/>
    </border>
    <border>
      <left/>
      <right/>
      <top style="medium">
        <color rgb="FF003C72"/>
      </top>
      <bottom style="medium">
        <color rgb="FF003C72"/>
      </bottom>
      <diagonal/>
    </border>
    <border>
      <left/>
      <right style="thin">
        <color auto="1"/>
      </right>
      <top style="medium">
        <color rgb="FF003C72"/>
      </top>
      <bottom style="medium">
        <color rgb="FF003C72"/>
      </bottom>
      <diagonal/>
    </border>
    <border>
      <left/>
      <right style="medium">
        <color rgb="FF003C72"/>
      </right>
      <top style="medium">
        <color rgb="FF003C72"/>
      </top>
      <bottom style="medium">
        <color rgb="FF003C72"/>
      </bottom>
      <diagonal/>
    </border>
    <border>
      <left style="thin">
        <color rgb="FF003C72"/>
      </left>
      <right style="thin">
        <color rgb="FF003C72"/>
      </right>
      <top/>
      <bottom/>
      <diagonal/>
    </border>
    <border>
      <left style="thin">
        <color rgb="FF003C72"/>
      </left>
      <right style="thin">
        <color rgb="FF003C72"/>
      </right>
      <top/>
      <bottom style="thin">
        <color rgb="FF003C72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2" borderId="1" xfId="0" applyFont="1" applyFill="1" applyBorder="1" applyAlignment="1">
      <alignment vertical="top"/>
    </xf>
    <xf numFmtId="0" fontId="8" fillId="0" borderId="3" xfId="0" applyFont="1" applyBorder="1"/>
    <xf numFmtId="0" fontId="4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 wrapText="1"/>
    </xf>
    <xf numFmtId="0" fontId="10" fillId="2" borderId="3" xfId="0" applyFont="1" applyFill="1" applyBorder="1"/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top" wrapText="1"/>
    </xf>
    <xf numFmtId="0" fontId="4" fillId="2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vertical="top" wrapText="1"/>
    </xf>
    <xf numFmtId="0" fontId="11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2" borderId="1" xfId="0" applyFont="1" applyFill="1" applyBorder="1"/>
    <xf numFmtId="0" fontId="14" fillId="0" borderId="3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vertical="top" wrapText="1"/>
    </xf>
    <xf numFmtId="0" fontId="4" fillId="9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vertical="top" wrapText="1"/>
    </xf>
    <xf numFmtId="0" fontId="4" fillId="10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4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0" borderId="0" xfId="0"/>
    <xf numFmtId="0" fontId="4" fillId="3" borderId="2" xfId="0" applyFont="1" applyFill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0" fontId="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8" xfId="0" applyBorder="1"/>
    <xf numFmtId="0" fontId="4" fillId="4" borderId="2" xfId="0" applyFont="1" applyFill="1" applyBorder="1" applyAlignment="1">
      <alignment vertical="top" wrapText="1"/>
    </xf>
    <xf numFmtId="0" fontId="2" fillId="0" borderId="0" xfId="0" applyFont="1"/>
    <xf numFmtId="0" fontId="8" fillId="0" borderId="3" xfId="0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5" fillId="0" borderId="0" xfId="0" applyFont="1"/>
    <xf numFmtId="0" fontId="8" fillId="7" borderId="3" xfId="0" applyFont="1" applyFill="1" applyBorder="1" applyAlignment="1">
      <alignment horizontal="center" vertical="center"/>
    </xf>
    <xf numFmtId="0" fontId="8" fillId="0" borderId="3" xfId="0" applyFont="1" applyBorder="1"/>
    <xf numFmtId="0" fontId="8" fillId="6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0" fillId="2" borderId="3" xfId="0" applyFont="1" applyFill="1" applyBorder="1"/>
    <xf numFmtId="0" fontId="4" fillId="3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top" wrapText="1"/>
    </xf>
    <xf numFmtId="0" fontId="0" fillId="0" borderId="9" xfId="0" applyBorder="1"/>
    <xf numFmtId="0" fontId="0" fillId="0" borderId="10" xfId="0" applyBorder="1"/>
    <xf numFmtId="0" fontId="13" fillId="0" borderId="0" xfId="0" applyFont="1"/>
    <xf numFmtId="0" fontId="4" fillId="2" borderId="3" xfId="0" applyFont="1" applyFill="1" applyBorder="1" applyAlignment="1">
      <alignment vertical="top" wrapText="1"/>
    </xf>
    <xf numFmtId="0" fontId="8" fillId="2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56">
    <dxf>
      <font>
        <b/>
        <sz val="9"/>
        <color rgb="FFFFFFFF"/>
        <name val="Aptos"/>
      </font>
      <fill>
        <patternFill patternType="solid">
          <fgColor rgb="FFFF0000"/>
        </patternFill>
      </fill>
    </dxf>
    <dxf>
      <font>
        <sz val="9"/>
        <color rgb="FF9C0006"/>
        <name val="Aptos"/>
      </font>
      <fill>
        <patternFill patternType="solid">
          <fgColor rgb="FFFFC7CE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  <dxf>
      <font>
        <b/>
        <sz val="9"/>
        <color rgb="FFFFFFFF"/>
        <name val="Aptos"/>
      </font>
      <fill>
        <patternFill patternType="solid">
          <fgColor rgb="FFFF0000"/>
        </patternFill>
      </fill>
    </dxf>
    <dxf>
      <font>
        <sz val="9"/>
        <color rgb="FF9C0006"/>
        <name val="Aptos"/>
      </font>
      <fill>
        <patternFill patternType="solid">
          <fgColor rgb="FFFFC7CE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  <dxf>
      <font>
        <b/>
        <sz val="9"/>
        <color rgb="FFFFFFFF"/>
        <name val="Aptos"/>
      </font>
      <fill>
        <patternFill patternType="solid">
          <fgColor rgb="FFFF0000"/>
        </patternFill>
      </fill>
    </dxf>
    <dxf>
      <font>
        <sz val="9"/>
        <color rgb="FF9C0006"/>
        <name val="Aptos"/>
      </font>
      <fill>
        <patternFill patternType="solid">
          <fgColor rgb="FFFFC7CE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  <dxf>
      <font>
        <b/>
        <sz val="9"/>
        <color rgb="FFFFFFFF"/>
        <name val="Aptos"/>
      </font>
      <fill>
        <patternFill patternType="solid">
          <fgColor rgb="FFFF0000"/>
        </patternFill>
      </fill>
    </dxf>
    <dxf>
      <font>
        <sz val="9"/>
        <color rgb="FF9C0006"/>
        <name val="Aptos"/>
      </font>
      <fill>
        <patternFill patternType="solid">
          <fgColor rgb="FFFFC7CE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  <dxf>
      <font>
        <b/>
        <sz val="9"/>
        <color rgb="FFFFFFFF"/>
        <name val="Aptos"/>
      </font>
      <fill>
        <patternFill patternType="solid">
          <fgColor rgb="FFFF0000"/>
        </patternFill>
      </fill>
    </dxf>
    <dxf>
      <font>
        <sz val="9"/>
        <color rgb="FF9C0006"/>
        <name val="Aptos"/>
      </font>
      <fill>
        <patternFill patternType="solid">
          <fgColor rgb="FFFFC7CE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  <dxf>
      <font>
        <b/>
        <sz val="9"/>
        <color rgb="FFFFFFFF"/>
        <name val="Aptos"/>
      </font>
      <fill>
        <patternFill patternType="solid">
          <fgColor rgb="FFFF0000"/>
        </patternFill>
      </fill>
    </dxf>
    <dxf>
      <font>
        <sz val="9"/>
        <color rgb="FF9C0006"/>
        <name val="Aptos"/>
      </font>
      <fill>
        <patternFill patternType="solid">
          <fgColor rgb="FFFFC7CE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  <dxf>
      <font>
        <b/>
        <sz val="9"/>
        <color rgb="FFFFFFFF"/>
        <name val="Aptos"/>
      </font>
      <fill>
        <patternFill patternType="solid">
          <fgColor rgb="FFFF0000"/>
        </patternFill>
      </fill>
    </dxf>
    <dxf>
      <font>
        <sz val="9"/>
        <color rgb="FF9C0006"/>
        <name val="Aptos"/>
      </font>
      <fill>
        <patternFill patternType="solid">
          <fgColor rgb="FFFFC7CE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9C6500"/>
        <name val="Aptos"/>
      </font>
      <fill>
        <patternFill patternType="solid">
          <fgColor rgb="FFFFE0B2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3C72"/>
        <name val="Aptos"/>
      </font>
      <fill>
        <patternFill patternType="solid">
          <fgColor rgb="FFB3D9FF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  <dxf>
      <font>
        <sz val="9"/>
        <color rgb="FF006100"/>
        <name val="Aptos"/>
      </font>
      <fill>
        <patternFill patternType="solid">
          <f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7030A0"/>
      <rgbColor rgb="FFFFF2CC"/>
      <rgbColor rgb="FFE6EDF5"/>
      <rgbColor rgb="FF660066"/>
      <rgbColor rgb="FFFF8080"/>
      <rgbColor rgb="FF0066CC"/>
      <rgbColor rgb="FFB3D9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C72"/>
      <rgbColor rgb="FF00B050"/>
      <rgbColor rgb="FF003300"/>
      <rgbColor rgb="FF333300"/>
      <rgbColor rgb="FF993300"/>
      <rgbColor rgb="FF993366"/>
      <rgbColor rgb="FF333399"/>
      <rgbColor rgb="FF4251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C72"/>
  </sheetPr>
  <dimension ref="A1:J33"/>
  <sheetViews>
    <sheetView showGridLines="0" tabSelected="1" zoomScaleNormal="100" workbookViewId="0">
      <selection activeCell="B9" sqref="B9:D9"/>
    </sheetView>
  </sheetViews>
  <sheetFormatPr defaultColWidth="8.7109375" defaultRowHeight="15" customHeight="1"/>
  <cols>
    <col min="1" max="2" width="22" customWidth="1"/>
    <col min="3" max="10" width="16" customWidth="1"/>
  </cols>
  <sheetData>
    <row r="1" spans="1:10" ht="18.75" customHeight="1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15" customHeight="1">
      <c r="A2" s="50" t="s">
        <v>1</v>
      </c>
      <c r="B2" s="42"/>
      <c r="C2" s="42"/>
      <c r="D2" s="42"/>
      <c r="E2" s="42"/>
      <c r="F2" s="42"/>
      <c r="G2" s="42"/>
      <c r="H2" s="42"/>
      <c r="I2" s="42"/>
      <c r="J2" s="42"/>
    </row>
    <row r="4" spans="1:10" ht="15" customHeight="1">
      <c r="A4" s="1" t="s">
        <v>2</v>
      </c>
      <c r="B4" s="43" t="s">
        <v>3</v>
      </c>
      <c r="C4" s="44"/>
      <c r="D4" s="45"/>
    </row>
    <row r="5" spans="1:10" ht="37.5" customHeight="1">
      <c r="A5" s="1" t="s">
        <v>4</v>
      </c>
      <c r="B5" s="43" t="s">
        <v>5</v>
      </c>
      <c r="C5" s="44"/>
      <c r="D5" s="45"/>
    </row>
    <row r="6" spans="1:10" ht="15" customHeight="1">
      <c r="A6" s="1" t="s">
        <v>6</v>
      </c>
      <c r="B6" s="43" t="s">
        <v>7</v>
      </c>
      <c r="C6" s="44"/>
      <c r="D6" s="45"/>
    </row>
    <row r="7" spans="1:10" ht="30" customHeight="1">
      <c r="A7" s="1" t="s">
        <v>8</v>
      </c>
      <c r="B7" s="49" t="s">
        <v>9</v>
      </c>
      <c r="C7" s="44"/>
      <c r="D7" s="45"/>
    </row>
    <row r="8" spans="1:10" ht="18" customHeight="1">
      <c r="A8" s="1" t="s">
        <v>10</v>
      </c>
      <c r="B8" s="43" t="s">
        <v>11</v>
      </c>
      <c r="C8" s="44"/>
      <c r="D8" s="45"/>
    </row>
    <row r="9" spans="1:10" ht="15" customHeight="1">
      <c r="A9" s="1" t="s">
        <v>755</v>
      </c>
      <c r="B9" s="49" t="s">
        <v>756</v>
      </c>
      <c r="C9" s="44"/>
      <c r="D9" s="45"/>
    </row>
    <row r="10" spans="1:10" ht="15" customHeight="1">
      <c r="A10" s="1" t="s">
        <v>12</v>
      </c>
      <c r="B10" s="43" t="s">
        <v>13</v>
      </c>
      <c r="C10" s="44"/>
      <c r="D10" s="45"/>
    </row>
    <row r="11" spans="1:10" ht="15" customHeight="1">
      <c r="A11" s="1" t="s">
        <v>14</v>
      </c>
      <c r="B11" s="49" t="s">
        <v>15</v>
      </c>
      <c r="C11" s="44"/>
      <c r="D11" s="45"/>
    </row>
    <row r="13" spans="1:10" ht="15" customHeight="1">
      <c r="A13" s="53" t="s">
        <v>16</v>
      </c>
      <c r="B13" s="42"/>
      <c r="C13" s="42"/>
      <c r="D13" s="42"/>
      <c r="E13" s="42"/>
      <c r="F13" s="42"/>
      <c r="G13" s="42"/>
      <c r="H13" s="42"/>
      <c r="I13" s="42"/>
      <c r="J13" s="42"/>
    </row>
    <row r="14" spans="1:10" ht="24" customHeight="1">
      <c r="A14" s="47">
        <f>COUNTA('Master Programme'!A:A)-1</f>
        <v>69</v>
      </c>
      <c r="B14" s="48"/>
      <c r="C14" s="47">
        <f>COUNTIF('Master Programme'!I:I,"Completed")</f>
        <v>55</v>
      </c>
      <c r="D14" s="48"/>
      <c r="E14" s="47">
        <f>COUNTIF('Master Programme'!I:I,"In Progress")</f>
        <v>3</v>
      </c>
      <c r="F14" s="48"/>
      <c r="G14" s="47">
        <f>COUNTIF('Master Programme'!I:I,"Pending")</f>
        <v>2</v>
      </c>
      <c r="H14" s="48"/>
      <c r="I14" s="47">
        <f>COUNTIF('Master Programme'!I:I,"Overdue")</f>
        <v>0</v>
      </c>
      <c r="J14" s="48"/>
    </row>
    <row r="15" spans="1:10" ht="15" customHeight="1">
      <c r="A15" s="46" t="s">
        <v>17</v>
      </c>
      <c r="B15" s="42"/>
      <c r="C15" s="46" t="s">
        <v>18</v>
      </c>
      <c r="D15" s="42"/>
      <c r="E15" s="46" t="s">
        <v>19</v>
      </c>
      <c r="F15" s="42"/>
      <c r="G15" s="46" t="s">
        <v>20</v>
      </c>
      <c r="H15" s="42"/>
      <c r="I15" s="46" t="s">
        <v>21</v>
      </c>
      <c r="J15" s="42"/>
    </row>
    <row r="17" spans="1:10" ht="15" customHeight="1">
      <c r="A17" s="53" t="s">
        <v>22</v>
      </c>
      <c r="B17" s="42"/>
      <c r="C17" s="42"/>
      <c r="D17" s="42"/>
      <c r="E17" s="42"/>
      <c r="F17" s="53" t="s">
        <v>23</v>
      </c>
      <c r="G17" s="42"/>
      <c r="H17" s="42"/>
      <c r="I17" s="42"/>
      <c r="J17" s="42"/>
    </row>
    <row r="18" spans="1:10" ht="15" customHeight="1">
      <c r="A18" s="2" t="s">
        <v>24</v>
      </c>
      <c r="B18" s="38" t="s">
        <v>25</v>
      </c>
      <c r="C18" s="39"/>
      <c r="D18" s="40"/>
      <c r="E18" s="4" t="s">
        <v>26</v>
      </c>
      <c r="F18" s="55" t="s">
        <v>27</v>
      </c>
      <c r="G18" s="40"/>
      <c r="H18" s="3" t="s">
        <v>28</v>
      </c>
      <c r="I18" s="52" t="s">
        <v>29</v>
      </c>
      <c r="J18" s="40"/>
    </row>
    <row r="19" spans="1:10" ht="15" customHeight="1">
      <c r="A19" s="2" t="s">
        <v>30</v>
      </c>
      <c r="B19" s="38" t="s">
        <v>31</v>
      </c>
      <c r="C19" s="39"/>
      <c r="D19" s="40"/>
      <c r="E19" s="4" t="s">
        <v>19</v>
      </c>
      <c r="F19" s="55" t="s">
        <v>32</v>
      </c>
      <c r="G19" s="40"/>
      <c r="H19" s="3" t="s">
        <v>33</v>
      </c>
      <c r="I19" s="56" t="s">
        <v>34</v>
      </c>
      <c r="J19" s="40"/>
    </row>
    <row r="20" spans="1:10" ht="15" customHeight="1">
      <c r="A20" s="2" t="s">
        <v>35</v>
      </c>
      <c r="B20" s="38" t="s">
        <v>36</v>
      </c>
      <c r="C20" s="39"/>
      <c r="D20" s="40"/>
      <c r="E20" s="4" t="s">
        <v>37</v>
      </c>
      <c r="F20" s="55" t="s">
        <v>38</v>
      </c>
      <c r="G20" s="40"/>
      <c r="H20" s="3" t="s">
        <v>39</v>
      </c>
      <c r="I20" s="54" t="s">
        <v>40</v>
      </c>
      <c r="J20" s="40"/>
    </row>
    <row r="21" spans="1:10" ht="15" customHeight="1">
      <c r="A21" s="2" t="s">
        <v>41</v>
      </c>
      <c r="B21" s="38" t="s">
        <v>42</v>
      </c>
      <c r="C21" s="39"/>
      <c r="D21" s="40"/>
      <c r="E21" s="4" t="s">
        <v>18</v>
      </c>
      <c r="F21" s="55" t="s">
        <v>43</v>
      </c>
      <c r="G21" s="40"/>
      <c r="H21" s="3" t="s">
        <v>44</v>
      </c>
      <c r="I21" s="54" t="s">
        <v>40</v>
      </c>
      <c r="J21" s="40"/>
    </row>
    <row r="22" spans="1:10" ht="15" customHeight="1">
      <c r="A22" s="2" t="s">
        <v>45</v>
      </c>
      <c r="B22" s="38" t="s">
        <v>46</v>
      </c>
      <c r="C22" s="39"/>
      <c r="D22" s="40"/>
      <c r="E22" s="4" t="s">
        <v>18</v>
      </c>
    </row>
    <row r="23" spans="1:10" ht="15" customHeight="1">
      <c r="A23" s="2" t="s">
        <v>47</v>
      </c>
      <c r="B23" s="38" t="s">
        <v>48</v>
      </c>
      <c r="C23" s="39"/>
      <c r="D23" s="40"/>
      <c r="E23" s="4" t="s">
        <v>49</v>
      </c>
    </row>
    <row r="24" spans="1:10" ht="15" customHeight="1">
      <c r="A24" s="2" t="s">
        <v>50</v>
      </c>
      <c r="B24" s="38" t="s">
        <v>51</v>
      </c>
      <c r="C24" s="39"/>
      <c r="D24" s="40"/>
      <c r="E24" s="4" t="s">
        <v>20</v>
      </c>
    </row>
    <row r="26" spans="1:10" ht="15" customHeight="1">
      <c r="A26" s="53" t="s">
        <v>52</v>
      </c>
      <c r="B26" s="42"/>
      <c r="C26" s="42"/>
      <c r="D26" s="42"/>
      <c r="E26" s="42"/>
      <c r="F26" s="42"/>
      <c r="G26" s="42"/>
      <c r="H26" s="42"/>
      <c r="I26" s="42"/>
      <c r="J26" s="42"/>
    </row>
    <row r="27" spans="1:10" ht="15" customHeight="1">
      <c r="A27" s="38" t="s">
        <v>53</v>
      </c>
      <c r="B27" s="39"/>
      <c r="C27" s="39"/>
      <c r="D27" s="39"/>
      <c r="E27" s="40"/>
      <c r="F27" s="51" t="s">
        <v>54</v>
      </c>
      <c r="G27" s="39"/>
      <c r="H27" s="39"/>
      <c r="I27" s="39"/>
      <c r="J27" s="40"/>
    </row>
    <row r="28" spans="1:10" ht="15" customHeight="1">
      <c r="A28" s="38" t="s">
        <v>55</v>
      </c>
      <c r="B28" s="39"/>
      <c r="C28" s="39"/>
      <c r="D28" s="39"/>
      <c r="E28" s="40"/>
      <c r="F28" s="51" t="s">
        <v>56</v>
      </c>
      <c r="G28" s="39"/>
      <c r="H28" s="39"/>
      <c r="I28" s="39"/>
      <c r="J28" s="40"/>
    </row>
    <row r="29" spans="1:10" ht="15" customHeight="1">
      <c r="A29" s="38" t="s">
        <v>57</v>
      </c>
      <c r="B29" s="39"/>
      <c r="C29" s="39"/>
      <c r="D29" s="39"/>
      <c r="E29" s="40"/>
      <c r="F29" s="51" t="s">
        <v>58</v>
      </c>
      <c r="G29" s="39"/>
      <c r="H29" s="39"/>
      <c r="I29" s="39"/>
      <c r="J29" s="40"/>
    </row>
    <row r="30" spans="1:10" ht="15" customHeight="1">
      <c r="A30" s="38" t="s">
        <v>59</v>
      </c>
      <c r="B30" s="39"/>
      <c r="C30" s="39"/>
      <c r="D30" s="39"/>
      <c r="E30" s="40"/>
      <c r="F30" s="51" t="s">
        <v>60</v>
      </c>
      <c r="G30" s="39"/>
      <c r="H30" s="39"/>
      <c r="I30" s="39"/>
      <c r="J30" s="40"/>
    </row>
    <row r="31" spans="1:10" ht="15" customHeight="1">
      <c r="A31" s="38" t="s">
        <v>61</v>
      </c>
      <c r="B31" s="39"/>
      <c r="C31" s="39"/>
      <c r="D31" s="39"/>
      <c r="E31" s="40"/>
      <c r="F31" s="51" t="s">
        <v>62</v>
      </c>
      <c r="G31" s="39"/>
      <c r="H31" s="39"/>
      <c r="I31" s="39"/>
      <c r="J31" s="40"/>
    </row>
    <row r="32" spans="1:10" ht="15" customHeight="1">
      <c r="A32" s="38" t="s">
        <v>63</v>
      </c>
      <c r="B32" s="39"/>
      <c r="C32" s="39"/>
      <c r="D32" s="39"/>
      <c r="E32" s="40"/>
      <c r="F32" s="51" t="s">
        <v>64</v>
      </c>
      <c r="G32" s="39"/>
      <c r="H32" s="39"/>
      <c r="I32" s="39"/>
      <c r="J32" s="40"/>
    </row>
    <row r="33" spans="1:10" ht="15" customHeight="1">
      <c r="A33" s="38" t="s">
        <v>65</v>
      </c>
      <c r="B33" s="39"/>
      <c r="C33" s="39"/>
      <c r="D33" s="39"/>
      <c r="E33" s="40"/>
      <c r="F33" s="51" t="s">
        <v>66</v>
      </c>
      <c r="G33" s="39"/>
      <c r="H33" s="39"/>
      <c r="I33" s="39"/>
      <c r="J33" s="40"/>
    </row>
  </sheetData>
  <mergeCells count="53">
    <mergeCell ref="A30:E30"/>
    <mergeCell ref="B11:D11"/>
    <mergeCell ref="F29:J29"/>
    <mergeCell ref="A15:B15"/>
    <mergeCell ref="C15:D15"/>
    <mergeCell ref="I15:J15"/>
    <mergeCell ref="B23:D23"/>
    <mergeCell ref="F21:G21"/>
    <mergeCell ref="F30:J30"/>
    <mergeCell ref="F20:G20"/>
    <mergeCell ref="I20:J20"/>
    <mergeCell ref="B22:D22"/>
    <mergeCell ref="A28:E28"/>
    <mergeCell ref="B21:D21"/>
    <mergeCell ref="A26:J26"/>
    <mergeCell ref="B10:D10"/>
    <mergeCell ref="B19:D19"/>
    <mergeCell ref="F18:G18"/>
    <mergeCell ref="B9:D9"/>
    <mergeCell ref="I19:J19"/>
    <mergeCell ref="B18:D18"/>
    <mergeCell ref="F33:J33"/>
    <mergeCell ref="F32:J32"/>
    <mergeCell ref="B6:D6"/>
    <mergeCell ref="I18:J18"/>
    <mergeCell ref="B24:D24"/>
    <mergeCell ref="B20:D20"/>
    <mergeCell ref="A27:E27"/>
    <mergeCell ref="F17:J17"/>
    <mergeCell ref="I21:J21"/>
    <mergeCell ref="A33:E33"/>
    <mergeCell ref="F28:J28"/>
    <mergeCell ref="F31:J31"/>
    <mergeCell ref="A32:E32"/>
    <mergeCell ref="A17:E17"/>
    <mergeCell ref="F27:J27"/>
    <mergeCell ref="A29:E29"/>
    <mergeCell ref="A31:E31"/>
    <mergeCell ref="A1:J1"/>
    <mergeCell ref="B5:D5"/>
    <mergeCell ref="E15:F15"/>
    <mergeCell ref="G15:H15"/>
    <mergeCell ref="B4:D4"/>
    <mergeCell ref="A14:B14"/>
    <mergeCell ref="G14:H14"/>
    <mergeCell ref="I14:J14"/>
    <mergeCell ref="B7:D7"/>
    <mergeCell ref="A2:J2"/>
    <mergeCell ref="B8:D8"/>
    <mergeCell ref="F19:G19"/>
    <mergeCell ref="C14:D14"/>
    <mergeCell ref="E14:F14"/>
    <mergeCell ref="A13:J13"/>
  </mergeCells>
  <conditionalFormatting sqref="E18:E24">
    <cfRule type="cellIs" dxfId="55" priority="1" operator="equal">
      <formula>"Completed"</formula>
    </cfRule>
    <cfRule type="cellIs" dxfId="54" priority="2" operator="equal">
      <formula>"CA Implemented"</formula>
    </cfRule>
    <cfRule type="cellIs" dxfId="53" priority="3" operator="equal">
      <formula>"In Progress"</formula>
    </cfRule>
    <cfRule type="cellIs" dxfId="52" priority="4" operator="equal">
      <formula>"CA In Progress"</formula>
    </cfRule>
    <cfRule type="cellIs" dxfId="51" priority="5" operator="equal">
      <formula>"Partial"</formula>
    </cfRule>
    <cfRule type="cellIs" dxfId="50" priority="6" operator="equal">
      <formula>"Ongoing"</formula>
    </cfRule>
    <cfRule type="cellIs" dxfId="49" priority="7" operator="equal">
      <formula>"Pending"</formula>
    </cfRule>
    <cfRule type="cellIs" dxfId="48" priority="8" operator="equal">
      <formula>"Overdue"</formula>
    </cfRule>
  </conditionalFormatting>
  <conditionalFormatting sqref="I18:I21">
    <cfRule type="cellIs" dxfId="47" priority="9" operator="equal">
      <formula>"Completed"</formula>
    </cfRule>
    <cfRule type="cellIs" dxfId="46" priority="10" operator="equal">
      <formula>"CA Implemented"</formula>
    </cfRule>
    <cfRule type="cellIs" dxfId="45" priority="11" operator="equal">
      <formula>"In Progress"</formula>
    </cfRule>
    <cfRule type="cellIs" dxfId="44" priority="12" operator="equal">
      <formula>"CA In Progress"</formula>
    </cfRule>
    <cfRule type="cellIs" dxfId="43" priority="13" operator="equal">
      <formula>"Partial"</formula>
    </cfRule>
    <cfRule type="cellIs" dxfId="42" priority="14" operator="equal">
      <formula>"Ongoing"</formula>
    </cfRule>
    <cfRule type="cellIs" dxfId="41" priority="15" operator="equal">
      <formula>"Pending"</formula>
    </cfRule>
    <cfRule type="cellIs" dxfId="40" priority="16" operator="equal">
      <formula>"Overdue"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C72"/>
  </sheetPr>
  <dimension ref="A1:K71"/>
  <sheetViews>
    <sheetView showGridLines="0" zoomScaleNormal="100" workbookViewId="0">
      <pane ySplit="3" topLeftCell="A41" activePane="bottomLeft" state="frozen"/>
      <selection pane="bottomLeft" activeCell="J55" sqref="J55"/>
    </sheetView>
  </sheetViews>
  <sheetFormatPr defaultColWidth="8.7109375" defaultRowHeight="15" customHeight="1"/>
  <cols>
    <col min="1" max="1" width="8" customWidth="1"/>
    <col min="2" max="2" width="45" customWidth="1"/>
    <col min="3" max="3" width="14" customWidth="1"/>
    <col min="4" max="4" width="10" customWidth="1"/>
    <col min="5" max="5" width="8" customWidth="1"/>
    <col min="6" max="6" width="20" customWidth="1"/>
    <col min="7" max="8" width="13" customWidth="1"/>
    <col min="9" max="9" width="12" customWidth="1"/>
    <col min="10" max="10" width="30" customWidth="1"/>
    <col min="11" max="11" width="55" customWidth="1"/>
  </cols>
  <sheetData>
    <row r="1" spans="1:11" ht="18.75" customHeight="1">
      <c r="A1" s="41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3" spans="1:11" ht="22.35" customHeight="1">
      <c r="A3" s="5" t="s">
        <v>68</v>
      </c>
      <c r="B3" s="5" t="s">
        <v>69</v>
      </c>
      <c r="C3" s="5" t="s">
        <v>70</v>
      </c>
      <c r="D3" s="5" t="s">
        <v>71</v>
      </c>
      <c r="E3" s="5" t="s">
        <v>72</v>
      </c>
      <c r="F3" s="5" t="s">
        <v>73</v>
      </c>
      <c r="G3" s="5" t="s">
        <v>74</v>
      </c>
      <c r="H3" s="5" t="s">
        <v>75</v>
      </c>
      <c r="I3" s="5" t="s">
        <v>76</v>
      </c>
      <c r="J3" s="5" t="s">
        <v>77</v>
      </c>
      <c r="K3" s="5" t="s">
        <v>78</v>
      </c>
    </row>
    <row r="4" spans="1:11" ht="21.95" customHeight="1">
      <c r="A4" s="58" t="s">
        <v>79</v>
      </c>
      <c r="B4" s="39"/>
      <c r="C4" s="39"/>
      <c r="D4" s="39"/>
      <c r="E4" s="39"/>
      <c r="F4" s="39"/>
      <c r="G4" s="39"/>
      <c r="H4" s="39"/>
      <c r="I4" s="39"/>
      <c r="J4" s="39"/>
      <c r="K4" s="40"/>
    </row>
    <row r="5" spans="1:11" ht="33" customHeight="1">
      <c r="A5" s="9" t="s">
        <v>80</v>
      </c>
      <c r="B5" s="8" t="s">
        <v>81</v>
      </c>
      <c r="C5" s="9" t="s">
        <v>82</v>
      </c>
      <c r="D5" s="7"/>
      <c r="E5" s="9" t="s">
        <v>83</v>
      </c>
      <c r="F5" s="8" t="s">
        <v>84</v>
      </c>
      <c r="G5" s="8" t="s">
        <v>85</v>
      </c>
      <c r="H5" s="8" t="s">
        <v>86</v>
      </c>
      <c r="I5" s="25" t="s">
        <v>18</v>
      </c>
      <c r="J5" s="8" t="s">
        <v>87</v>
      </c>
      <c r="K5" s="8" t="s">
        <v>88</v>
      </c>
    </row>
    <row r="6" spans="1:11" ht="47.45" customHeight="1">
      <c r="A6" s="12" t="s">
        <v>89</v>
      </c>
      <c r="B6" s="11" t="s">
        <v>90</v>
      </c>
      <c r="C6" s="12" t="s">
        <v>91</v>
      </c>
      <c r="D6" s="10"/>
      <c r="E6" s="12" t="s">
        <v>83</v>
      </c>
      <c r="F6" s="11" t="s">
        <v>84</v>
      </c>
      <c r="G6" s="11" t="s">
        <v>85</v>
      </c>
      <c r="H6" s="11" t="s">
        <v>92</v>
      </c>
      <c r="I6" s="25" t="s">
        <v>18</v>
      </c>
      <c r="J6" s="11" t="s">
        <v>93</v>
      </c>
      <c r="K6" s="11" t="s">
        <v>94</v>
      </c>
    </row>
    <row r="7" spans="1:11" ht="33" customHeight="1">
      <c r="A7" s="9" t="s">
        <v>95</v>
      </c>
      <c r="B7" s="8" t="s">
        <v>96</v>
      </c>
      <c r="C7" s="9" t="s">
        <v>97</v>
      </c>
      <c r="D7" s="9" t="s">
        <v>47</v>
      </c>
      <c r="E7" s="9" t="s">
        <v>83</v>
      </c>
      <c r="F7" s="8" t="s">
        <v>84</v>
      </c>
      <c r="G7" s="8" t="s">
        <v>98</v>
      </c>
      <c r="H7" s="8" t="s">
        <v>92</v>
      </c>
      <c r="I7" s="25" t="s">
        <v>18</v>
      </c>
      <c r="J7" s="8" t="s">
        <v>99</v>
      </c>
      <c r="K7" s="8" t="s">
        <v>100</v>
      </c>
    </row>
    <row r="8" spans="1:11" ht="47.45" customHeight="1">
      <c r="A8" s="12" t="s">
        <v>101</v>
      </c>
      <c r="B8" s="11" t="s">
        <v>102</v>
      </c>
      <c r="C8" s="12" t="s">
        <v>103</v>
      </c>
      <c r="D8" s="12" t="s">
        <v>47</v>
      </c>
      <c r="E8" s="12" t="s">
        <v>83</v>
      </c>
      <c r="F8" s="11" t="s">
        <v>84</v>
      </c>
      <c r="G8" s="11" t="s">
        <v>104</v>
      </c>
      <c r="H8" s="11" t="s">
        <v>105</v>
      </c>
      <c r="I8" s="25" t="s">
        <v>18</v>
      </c>
      <c r="J8" s="11" t="s">
        <v>106</v>
      </c>
      <c r="K8" s="11" t="s">
        <v>107</v>
      </c>
    </row>
    <row r="9" spans="1:11" ht="200.1" customHeight="1">
      <c r="A9" s="9" t="s">
        <v>108</v>
      </c>
      <c r="B9" s="8" t="s">
        <v>109</v>
      </c>
      <c r="C9" s="9" t="s">
        <v>110</v>
      </c>
      <c r="D9" s="9" t="s">
        <v>24</v>
      </c>
      <c r="E9" s="9" t="s">
        <v>83</v>
      </c>
      <c r="F9" s="8" t="s">
        <v>84</v>
      </c>
      <c r="G9" s="8" t="s">
        <v>98</v>
      </c>
      <c r="H9" s="8" t="s">
        <v>111</v>
      </c>
      <c r="I9" s="25" t="s">
        <v>18</v>
      </c>
      <c r="J9" s="8" t="s">
        <v>112</v>
      </c>
      <c r="K9" s="8" t="s">
        <v>113</v>
      </c>
    </row>
    <row r="10" spans="1:11" ht="47.45" customHeight="1">
      <c r="A10" s="12" t="s">
        <v>114</v>
      </c>
      <c r="B10" s="11" t="s">
        <v>115</v>
      </c>
      <c r="C10" s="12" t="s">
        <v>116</v>
      </c>
      <c r="D10" s="12" t="s">
        <v>117</v>
      </c>
      <c r="E10" s="12" t="s">
        <v>83</v>
      </c>
      <c r="F10" s="11" t="s">
        <v>84</v>
      </c>
      <c r="G10" s="11" t="s">
        <v>92</v>
      </c>
      <c r="H10" s="11" t="s">
        <v>118</v>
      </c>
      <c r="I10" s="25" t="s">
        <v>18</v>
      </c>
      <c r="J10" s="11" t="s">
        <v>119</v>
      </c>
      <c r="K10" s="11" t="s">
        <v>120</v>
      </c>
    </row>
    <row r="11" spans="1:11" ht="62.1" customHeight="1">
      <c r="A11" s="9" t="s">
        <v>121</v>
      </c>
      <c r="B11" s="8" t="s">
        <v>122</v>
      </c>
      <c r="C11" s="9" t="s">
        <v>123</v>
      </c>
      <c r="D11" s="9" t="s">
        <v>35</v>
      </c>
      <c r="E11" s="9" t="s">
        <v>83</v>
      </c>
      <c r="F11" s="8" t="s">
        <v>84</v>
      </c>
      <c r="G11" s="8" t="s">
        <v>85</v>
      </c>
      <c r="H11" s="8" t="s">
        <v>86</v>
      </c>
      <c r="I11" s="25" t="s">
        <v>18</v>
      </c>
      <c r="J11" s="8" t="s">
        <v>124</v>
      </c>
      <c r="K11" s="8" t="s">
        <v>125</v>
      </c>
    </row>
    <row r="12" spans="1:11" ht="62.1" customHeight="1">
      <c r="A12" s="12" t="s">
        <v>126</v>
      </c>
      <c r="B12" s="11" t="s">
        <v>127</v>
      </c>
      <c r="C12" s="12" t="s">
        <v>103</v>
      </c>
      <c r="D12" s="12" t="s">
        <v>128</v>
      </c>
      <c r="E12" s="12" t="s">
        <v>83</v>
      </c>
      <c r="F12" s="11" t="s">
        <v>129</v>
      </c>
      <c r="G12" s="11" t="s">
        <v>92</v>
      </c>
      <c r="H12" s="11" t="s">
        <v>130</v>
      </c>
      <c r="I12" s="25" t="s">
        <v>18</v>
      </c>
      <c r="J12" s="11" t="s">
        <v>131</v>
      </c>
      <c r="K12" s="11" t="s">
        <v>132</v>
      </c>
    </row>
    <row r="13" spans="1:11" ht="33" customHeight="1">
      <c r="A13" s="9" t="s">
        <v>133</v>
      </c>
      <c r="B13" s="8" t="s">
        <v>134</v>
      </c>
      <c r="C13" s="9" t="s">
        <v>135</v>
      </c>
      <c r="D13" s="7"/>
      <c r="E13" s="9" t="s">
        <v>83</v>
      </c>
      <c r="F13" s="8" t="s">
        <v>84</v>
      </c>
      <c r="G13" s="8" t="s">
        <v>92</v>
      </c>
      <c r="H13" s="8" t="s">
        <v>111</v>
      </c>
      <c r="I13" s="25" t="s">
        <v>18</v>
      </c>
      <c r="J13" s="8" t="s">
        <v>136</v>
      </c>
      <c r="K13" s="8" t="s">
        <v>137</v>
      </c>
    </row>
    <row r="14" spans="1:11" ht="134.44999999999999" customHeight="1">
      <c r="A14" s="12" t="s">
        <v>138</v>
      </c>
      <c r="B14" s="11" t="s">
        <v>139</v>
      </c>
      <c r="C14" s="12"/>
      <c r="D14" s="12" t="s">
        <v>140</v>
      </c>
      <c r="E14" s="12" t="s">
        <v>83</v>
      </c>
      <c r="F14" s="11" t="s">
        <v>84</v>
      </c>
      <c r="G14" s="11" t="s">
        <v>92</v>
      </c>
      <c r="H14" s="11" t="s">
        <v>141</v>
      </c>
      <c r="I14" s="25" t="s">
        <v>18</v>
      </c>
      <c r="J14" s="11" t="s">
        <v>142</v>
      </c>
      <c r="K14" s="11" t="s">
        <v>143</v>
      </c>
    </row>
    <row r="15" spans="1:11" ht="24" customHeight="1">
      <c r="A15" s="9" t="s">
        <v>144</v>
      </c>
      <c r="B15" s="8" t="s">
        <v>145</v>
      </c>
      <c r="C15" s="9"/>
      <c r="D15" s="9" t="s">
        <v>24</v>
      </c>
      <c r="E15" s="9" t="s">
        <v>83</v>
      </c>
      <c r="F15" s="8" t="s">
        <v>146</v>
      </c>
      <c r="G15" s="8" t="s">
        <v>147</v>
      </c>
      <c r="H15" s="8" t="s">
        <v>26</v>
      </c>
      <c r="I15" s="25" t="s">
        <v>26</v>
      </c>
      <c r="J15" s="8" t="s">
        <v>148</v>
      </c>
      <c r="K15" s="8" t="s">
        <v>149</v>
      </c>
    </row>
    <row r="16" spans="1:11" ht="33" customHeight="1">
      <c r="A16" s="12" t="s">
        <v>150</v>
      </c>
      <c r="B16" s="11" t="s">
        <v>151</v>
      </c>
      <c r="C16" s="12"/>
      <c r="D16" s="12" t="s">
        <v>41</v>
      </c>
      <c r="E16" s="12" t="s">
        <v>83</v>
      </c>
      <c r="F16" s="11" t="s">
        <v>146</v>
      </c>
      <c r="G16" s="11" t="s">
        <v>147</v>
      </c>
      <c r="H16" s="11" t="s">
        <v>92</v>
      </c>
      <c r="I16" s="25" t="s">
        <v>18</v>
      </c>
      <c r="J16" s="11" t="s">
        <v>152</v>
      </c>
      <c r="K16" s="11" t="s">
        <v>153</v>
      </c>
    </row>
    <row r="17" spans="1:11" ht="24" customHeight="1">
      <c r="A17" s="57" t="s">
        <v>154</v>
      </c>
      <c r="B17" s="39"/>
      <c r="C17" s="39"/>
      <c r="D17" s="39"/>
      <c r="E17" s="39"/>
      <c r="F17" s="39"/>
      <c r="G17" s="39"/>
      <c r="H17" s="39"/>
      <c r="I17" s="39"/>
      <c r="J17" s="39"/>
      <c r="K17" s="40"/>
    </row>
    <row r="18" spans="1:11" ht="33" customHeight="1">
      <c r="A18" s="16" t="s">
        <v>155</v>
      </c>
      <c r="B18" s="15" t="s">
        <v>156</v>
      </c>
      <c r="C18" s="16" t="s">
        <v>157</v>
      </c>
      <c r="D18" s="14"/>
      <c r="E18" s="16" t="s">
        <v>83</v>
      </c>
      <c r="F18" s="15" t="s">
        <v>84</v>
      </c>
      <c r="G18" s="16" t="s">
        <v>92</v>
      </c>
      <c r="H18" s="16" t="s">
        <v>92</v>
      </c>
      <c r="I18" s="25" t="s">
        <v>18</v>
      </c>
      <c r="J18" s="15" t="s">
        <v>158</v>
      </c>
      <c r="K18" s="15" t="s">
        <v>159</v>
      </c>
    </row>
    <row r="19" spans="1:11" ht="33" customHeight="1">
      <c r="A19" s="18" t="s">
        <v>160</v>
      </c>
      <c r="B19" s="17" t="s">
        <v>161</v>
      </c>
      <c r="C19" s="18" t="s">
        <v>157</v>
      </c>
      <c r="D19" s="13"/>
      <c r="E19" s="18" t="s">
        <v>83</v>
      </c>
      <c r="F19" s="17" t="s">
        <v>84</v>
      </c>
      <c r="G19" s="18" t="s">
        <v>92</v>
      </c>
      <c r="H19" s="18" t="s">
        <v>111</v>
      </c>
      <c r="I19" s="25" t="s">
        <v>18</v>
      </c>
      <c r="J19" s="17" t="s">
        <v>162</v>
      </c>
      <c r="K19" s="17" t="s">
        <v>163</v>
      </c>
    </row>
    <row r="20" spans="1:11" ht="21.95" customHeight="1">
      <c r="A20" s="6" t="s">
        <v>164</v>
      </c>
      <c r="B20" s="19"/>
      <c r="C20" s="19"/>
      <c r="D20" s="19"/>
      <c r="E20" s="19"/>
      <c r="F20" s="19"/>
      <c r="G20" s="19"/>
      <c r="H20" s="19"/>
      <c r="I20" s="19"/>
      <c r="J20" s="19"/>
      <c r="K20" s="20"/>
    </row>
    <row r="21" spans="1:11" ht="105.6" customHeight="1">
      <c r="A21" s="12" t="s">
        <v>165</v>
      </c>
      <c r="B21" s="11" t="s">
        <v>166</v>
      </c>
      <c r="C21" s="12" t="s">
        <v>167</v>
      </c>
      <c r="D21" s="12" t="s">
        <v>30</v>
      </c>
      <c r="E21" s="12" t="s">
        <v>168</v>
      </c>
      <c r="F21" s="11" t="s">
        <v>84</v>
      </c>
      <c r="G21" s="11" t="s">
        <v>169</v>
      </c>
      <c r="H21" s="11" t="s">
        <v>170</v>
      </c>
      <c r="I21" s="25" t="s">
        <v>18</v>
      </c>
      <c r="J21" s="11" t="s">
        <v>171</v>
      </c>
      <c r="K21" s="11" t="s">
        <v>172</v>
      </c>
    </row>
    <row r="22" spans="1:11" ht="47.45" customHeight="1">
      <c r="A22" s="9" t="s">
        <v>173</v>
      </c>
      <c r="B22" s="8" t="s">
        <v>174</v>
      </c>
      <c r="C22" s="9" t="s">
        <v>175</v>
      </c>
      <c r="D22" s="7"/>
      <c r="E22" s="9" t="s">
        <v>168</v>
      </c>
      <c r="F22" s="8" t="s">
        <v>84</v>
      </c>
      <c r="G22" s="8" t="s">
        <v>176</v>
      </c>
      <c r="H22" s="8" t="s">
        <v>170</v>
      </c>
      <c r="I22" s="25" t="s">
        <v>18</v>
      </c>
      <c r="J22" s="8" t="s">
        <v>177</v>
      </c>
      <c r="K22" s="8" t="s">
        <v>178</v>
      </c>
    </row>
    <row r="23" spans="1:11" ht="47.45" customHeight="1">
      <c r="A23" s="12" t="s">
        <v>179</v>
      </c>
      <c r="B23" s="11" t="s">
        <v>180</v>
      </c>
      <c r="C23" s="12" t="s">
        <v>181</v>
      </c>
      <c r="D23" s="10"/>
      <c r="E23" s="12" t="s">
        <v>168</v>
      </c>
      <c r="F23" s="11" t="s">
        <v>84</v>
      </c>
      <c r="G23" s="11" t="s">
        <v>176</v>
      </c>
      <c r="H23" s="11" t="s">
        <v>182</v>
      </c>
      <c r="I23" s="25" t="s">
        <v>18</v>
      </c>
      <c r="J23" s="11" t="s">
        <v>183</v>
      </c>
      <c r="K23" s="11" t="s">
        <v>184</v>
      </c>
    </row>
    <row r="24" spans="1:11" ht="47.45" customHeight="1">
      <c r="A24" s="9" t="s">
        <v>185</v>
      </c>
      <c r="B24" s="8" t="s">
        <v>186</v>
      </c>
      <c r="C24" s="9" t="s">
        <v>187</v>
      </c>
      <c r="D24" s="7"/>
      <c r="E24" s="9" t="s">
        <v>168</v>
      </c>
      <c r="F24" s="8" t="s">
        <v>84</v>
      </c>
      <c r="G24" s="8" t="s">
        <v>188</v>
      </c>
      <c r="H24" s="8" t="s">
        <v>189</v>
      </c>
      <c r="I24" s="25" t="s">
        <v>18</v>
      </c>
      <c r="J24" s="8" t="s">
        <v>190</v>
      </c>
      <c r="K24" s="8" t="s">
        <v>191</v>
      </c>
    </row>
    <row r="25" spans="1:11" ht="47.45" customHeight="1">
      <c r="A25" s="12" t="s">
        <v>192</v>
      </c>
      <c r="B25" s="11" t="s">
        <v>193</v>
      </c>
      <c r="C25" s="12" t="s">
        <v>194</v>
      </c>
      <c r="D25" s="12" t="s">
        <v>50</v>
      </c>
      <c r="E25" s="12" t="s">
        <v>168</v>
      </c>
      <c r="F25" s="11" t="s">
        <v>84</v>
      </c>
      <c r="G25" s="11" t="s">
        <v>188</v>
      </c>
      <c r="H25" s="11" t="s">
        <v>195</v>
      </c>
      <c r="I25" s="25" t="s">
        <v>18</v>
      </c>
      <c r="J25" s="11" t="s">
        <v>196</v>
      </c>
      <c r="K25" s="11" t="s">
        <v>197</v>
      </c>
    </row>
    <row r="26" spans="1:11" ht="105.6" customHeight="1">
      <c r="A26" s="9" t="s">
        <v>198</v>
      </c>
      <c r="B26" s="8" t="s">
        <v>199</v>
      </c>
      <c r="C26" s="9" t="s">
        <v>200</v>
      </c>
      <c r="D26" s="7"/>
      <c r="E26" s="9" t="s">
        <v>168</v>
      </c>
      <c r="F26" s="8" t="s">
        <v>84</v>
      </c>
      <c r="G26" s="8" t="s">
        <v>170</v>
      </c>
      <c r="H26" s="8" t="s">
        <v>201</v>
      </c>
      <c r="I26" s="25" t="s">
        <v>18</v>
      </c>
      <c r="J26" s="8" t="s">
        <v>202</v>
      </c>
      <c r="K26" s="8" t="s">
        <v>203</v>
      </c>
    </row>
    <row r="27" spans="1:11" ht="90.95" customHeight="1">
      <c r="A27" s="12" t="s">
        <v>204</v>
      </c>
      <c r="B27" s="11" t="s">
        <v>205</v>
      </c>
      <c r="C27" s="12" t="s">
        <v>206</v>
      </c>
      <c r="D27" s="10"/>
      <c r="E27" s="12" t="s">
        <v>168</v>
      </c>
      <c r="F27" s="11" t="s">
        <v>84</v>
      </c>
      <c r="G27" s="11" t="s">
        <v>170</v>
      </c>
      <c r="H27" s="11" t="s">
        <v>201</v>
      </c>
      <c r="I27" s="25" t="s">
        <v>18</v>
      </c>
      <c r="J27" s="11" t="s">
        <v>207</v>
      </c>
      <c r="K27" s="11" t="s">
        <v>208</v>
      </c>
    </row>
    <row r="28" spans="1:11" ht="200.1" customHeight="1">
      <c r="A28" s="9" t="s">
        <v>209</v>
      </c>
      <c r="B28" s="8" t="s">
        <v>210</v>
      </c>
      <c r="C28" s="9"/>
      <c r="D28" s="9" t="s">
        <v>47</v>
      </c>
      <c r="E28" s="9" t="s">
        <v>168</v>
      </c>
      <c r="F28" s="8" t="s">
        <v>84</v>
      </c>
      <c r="G28" s="8" t="s">
        <v>170</v>
      </c>
      <c r="H28" s="8" t="s">
        <v>211</v>
      </c>
      <c r="I28" s="25" t="s">
        <v>18</v>
      </c>
      <c r="J28" s="8" t="s">
        <v>212</v>
      </c>
      <c r="K28" s="8" t="s">
        <v>213</v>
      </c>
    </row>
    <row r="29" spans="1:11" ht="163.5" customHeight="1">
      <c r="A29" s="12" t="s">
        <v>214</v>
      </c>
      <c r="B29" s="11" t="s">
        <v>215</v>
      </c>
      <c r="C29" s="12" t="s">
        <v>216</v>
      </c>
      <c r="D29" s="10"/>
      <c r="E29" s="12" t="s">
        <v>168</v>
      </c>
      <c r="F29" s="11" t="s">
        <v>84</v>
      </c>
      <c r="G29" s="11" t="s">
        <v>195</v>
      </c>
      <c r="H29" s="11" t="s">
        <v>217</v>
      </c>
      <c r="I29" s="25" t="s">
        <v>18</v>
      </c>
      <c r="J29" s="11" t="s">
        <v>218</v>
      </c>
      <c r="K29" s="11" t="s">
        <v>219</v>
      </c>
    </row>
    <row r="30" spans="1:11" ht="62.1" customHeight="1">
      <c r="A30" s="9" t="s">
        <v>220</v>
      </c>
      <c r="B30" s="8" t="s">
        <v>221</v>
      </c>
      <c r="C30" s="9"/>
      <c r="D30" s="9" t="s">
        <v>222</v>
      </c>
      <c r="E30" s="9" t="s">
        <v>168</v>
      </c>
      <c r="F30" s="8" t="s">
        <v>223</v>
      </c>
      <c r="G30" s="8" t="s">
        <v>170</v>
      </c>
      <c r="H30" s="8" t="s">
        <v>224</v>
      </c>
      <c r="I30" s="25" t="s">
        <v>18</v>
      </c>
      <c r="J30" s="8" t="s">
        <v>225</v>
      </c>
      <c r="K30" s="8" t="s">
        <v>226</v>
      </c>
    </row>
    <row r="31" spans="1:11" ht="33" customHeight="1">
      <c r="A31" s="12" t="s">
        <v>227</v>
      </c>
      <c r="B31" s="11" t="s">
        <v>228</v>
      </c>
      <c r="C31" s="12"/>
      <c r="D31" s="12" t="s">
        <v>229</v>
      </c>
      <c r="E31" s="12" t="s">
        <v>168</v>
      </c>
      <c r="F31" s="11" t="s">
        <v>84</v>
      </c>
      <c r="G31" s="11" t="s">
        <v>169</v>
      </c>
      <c r="H31" s="11" t="s">
        <v>188</v>
      </c>
      <c r="I31" s="25" t="s">
        <v>18</v>
      </c>
      <c r="J31" s="11" t="s">
        <v>230</v>
      </c>
      <c r="K31" s="11" t="s">
        <v>231</v>
      </c>
    </row>
    <row r="32" spans="1:11" ht="47.45" customHeight="1">
      <c r="A32" s="9" t="s">
        <v>232</v>
      </c>
      <c r="B32" s="8" t="s">
        <v>233</v>
      </c>
      <c r="C32" s="9"/>
      <c r="D32" s="9" t="s">
        <v>234</v>
      </c>
      <c r="E32" s="9" t="s">
        <v>168</v>
      </c>
      <c r="F32" s="8" t="s">
        <v>84</v>
      </c>
      <c r="G32" s="8" t="s">
        <v>169</v>
      </c>
      <c r="H32" s="8" t="s">
        <v>188</v>
      </c>
      <c r="I32" s="25" t="s">
        <v>18</v>
      </c>
      <c r="J32" s="8" t="s">
        <v>230</v>
      </c>
      <c r="K32" s="8" t="s">
        <v>235</v>
      </c>
    </row>
    <row r="33" spans="1:11" ht="62.1" customHeight="1">
      <c r="A33" s="12" t="s">
        <v>236</v>
      </c>
      <c r="B33" s="11" t="s">
        <v>237</v>
      </c>
      <c r="C33" s="12"/>
      <c r="D33" s="12" t="s">
        <v>45</v>
      </c>
      <c r="E33" s="12" t="s">
        <v>168</v>
      </c>
      <c r="F33" s="11" t="s">
        <v>238</v>
      </c>
      <c r="G33" s="11" t="s">
        <v>176</v>
      </c>
      <c r="H33" s="11" t="s">
        <v>195</v>
      </c>
      <c r="I33" s="25" t="s">
        <v>18</v>
      </c>
      <c r="J33" s="11" t="s">
        <v>239</v>
      </c>
      <c r="K33" s="11" t="s">
        <v>240</v>
      </c>
    </row>
    <row r="34" spans="1:11" ht="33" customHeight="1">
      <c r="A34" s="9" t="s">
        <v>241</v>
      </c>
      <c r="B34" s="8" t="s">
        <v>242</v>
      </c>
      <c r="C34" s="9" t="s">
        <v>243</v>
      </c>
      <c r="D34" s="9" t="s">
        <v>244</v>
      </c>
      <c r="E34" s="9" t="s">
        <v>168</v>
      </c>
      <c r="F34" s="8" t="s">
        <v>84</v>
      </c>
      <c r="G34" s="8" t="s">
        <v>195</v>
      </c>
      <c r="H34" s="8" t="s">
        <v>217</v>
      </c>
      <c r="I34" s="25" t="s">
        <v>18</v>
      </c>
      <c r="J34" s="8" t="s">
        <v>245</v>
      </c>
      <c r="K34" s="8" t="s">
        <v>246</v>
      </c>
    </row>
    <row r="35" spans="1:11" ht="33" customHeight="1">
      <c r="A35" s="12" t="s">
        <v>247</v>
      </c>
      <c r="B35" s="11" t="s">
        <v>248</v>
      </c>
      <c r="C35" s="12" t="s">
        <v>157</v>
      </c>
      <c r="D35" s="10"/>
      <c r="E35" s="12" t="s">
        <v>168</v>
      </c>
      <c r="F35" s="11" t="s">
        <v>84</v>
      </c>
      <c r="G35" s="11" t="s">
        <v>201</v>
      </c>
      <c r="H35" s="11" t="s">
        <v>249</v>
      </c>
      <c r="I35" s="25" t="s">
        <v>18</v>
      </c>
      <c r="J35" s="11" t="s">
        <v>250</v>
      </c>
      <c r="K35" s="11" t="s">
        <v>251</v>
      </c>
    </row>
    <row r="36" spans="1:11" ht="24" customHeight="1">
      <c r="A36" s="59" t="s">
        <v>252</v>
      </c>
      <c r="B36" s="39"/>
      <c r="C36" s="39"/>
      <c r="D36" s="39"/>
      <c r="E36" s="39"/>
      <c r="F36" s="39"/>
      <c r="G36" s="39"/>
      <c r="H36" s="39"/>
      <c r="I36" s="39"/>
      <c r="J36" s="39"/>
      <c r="K36" s="40"/>
    </row>
    <row r="37" spans="1:11" ht="120" customHeight="1">
      <c r="A37" s="12" t="s">
        <v>253</v>
      </c>
      <c r="B37" s="11" t="s">
        <v>254</v>
      </c>
      <c r="C37" s="12" t="s">
        <v>255</v>
      </c>
      <c r="D37" s="12" t="s">
        <v>30</v>
      </c>
      <c r="E37" s="12" t="s">
        <v>168</v>
      </c>
      <c r="F37" s="11" t="s">
        <v>256</v>
      </c>
      <c r="G37" s="11" t="s">
        <v>169</v>
      </c>
      <c r="H37" s="11" t="s">
        <v>211</v>
      </c>
      <c r="I37" s="25" t="s">
        <v>18</v>
      </c>
      <c r="J37" s="11" t="s">
        <v>257</v>
      </c>
      <c r="K37" s="11" t="s">
        <v>258</v>
      </c>
    </row>
    <row r="38" spans="1:11" ht="47.45" customHeight="1">
      <c r="A38" s="9" t="s">
        <v>259</v>
      </c>
      <c r="B38" s="8" t="s">
        <v>260</v>
      </c>
      <c r="C38" s="9" t="s">
        <v>261</v>
      </c>
      <c r="D38" s="7"/>
      <c r="E38" s="9" t="s">
        <v>168</v>
      </c>
      <c r="F38" s="8" t="s">
        <v>84</v>
      </c>
      <c r="G38" s="8" t="s">
        <v>211</v>
      </c>
      <c r="H38" s="8" t="s">
        <v>224</v>
      </c>
      <c r="I38" s="25" t="s">
        <v>18</v>
      </c>
      <c r="J38" s="8" t="s">
        <v>262</v>
      </c>
      <c r="K38" s="8" t="s">
        <v>263</v>
      </c>
    </row>
    <row r="39" spans="1:11" ht="24" customHeight="1">
      <c r="A39" s="6" t="s">
        <v>264</v>
      </c>
      <c r="B39" s="19"/>
      <c r="C39" s="19"/>
      <c r="D39" s="19"/>
      <c r="E39" s="19"/>
      <c r="F39" s="19"/>
      <c r="G39" s="19"/>
      <c r="H39" s="19"/>
      <c r="I39" s="19"/>
      <c r="J39" s="19"/>
      <c r="K39" s="20"/>
    </row>
    <row r="40" spans="1:11" ht="90.95" customHeight="1">
      <c r="A40" s="9" t="s">
        <v>265</v>
      </c>
      <c r="B40" s="8" t="s">
        <v>266</v>
      </c>
      <c r="C40" s="9" t="s">
        <v>267</v>
      </c>
      <c r="D40" s="9" t="s">
        <v>30</v>
      </c>
      <c r="E40" s="9" t="s">
        <v>268</v>
      </c>
      <c r="F40" s="8" t="s">
        <v>238</v>
      </c>
      <c r="G40" s="8" t="s">
        <v>269</v>
      </c>
      <c r="H40" s="8" t="s">
        <v>270</v>
      </c>
      <c r="I40" s="25" t="s">
        <v>18</v>
      </c>
      <c r="J40" s="8" t="s">
        <v>271</v>
      </c>
      <c r="K40" s="8"/>
    </row>
    <row r="41" spans="1:11" ht="200.1" customHeight="1">
      <c r="A41" s="12" t="s">
        <v>272</v>
      </c>
      <c r="B41" s="11" t="s">
        <v>273</v>
      </c>
      <c r="C41" s="12" t="s">
        <v>274</v>
      </c>
      <c r="D41" s="12" t="s">
        <v>275</v>
      </c>
      <c r="E41" s="12" t="s">
        <v>268</v>
      </c>
      <c r="F41" s="11" t="s">
        <v>238</v>
      </c>
      <c r="G41" s="11" t="s">
        <v>269</v>
      </c>
      <c r="H41" s="11" t="s">
        <v>276</v>
      </c>
      <c r="I41" s="25" t="s">
        <v>18</v>
      </c>
      <c r="J41" s="11" t="s">
        <v>277</v>
      </c>
      <c r="K41" s="11" t="s">
        <v>278</v>
      </c>
    </row>
    <row r="42" spans="1:11" ht="62.1" customHeight="1">
      <c r="A42" s="9" t="s">
        <v>279</v>
      </c>
      <c r="B42" s="8" t="s">
        <v>280</v>
      </c>
      <c r="C42" s="9" t="s">
        <v>267</v>
      </c>
      <c r="D42" s="9" t="s">
        <v>281</v>
      </c>
      <c r="E42" s="9" t="s">
        <v>268</v>
      </c>
      <c r="F42" s="8" t="s">
        <v>238</v>
      </c>
      <c r="G42" s="8" t="s">
        <v>270</v>
      </c>
      <c r="H42" s="8" t="s">
        <v>282</v>
      </c>
      <c r="I42" s="25" t="s">
        <v>18</v>
      </c>
      <c r="J42" s="8" t="s">
        <v>283</v>
      </c>
      <c r="K42" s="8" t="s">
        <v>284</v>
      </c>
    </row>
    <row r="43" spans="1:11" ht="62.1" customHeight="1">
      <c r="A43" s="12" t="s">
        <v>285</v>
      </c>
      <c r="B43" s="11" t="s">
        <v>286</v>
      </c>
      <c r="C43" s="12" t="s">
        <v>267</v>
      </c>
      <c r="D43" s="12" t="s">
        <v>287</v>
      </c>
      <c r="E43" s="12" t="s">
        <v>268</v>
      </c>
      <c r="F43" s="11" t="s">
        <v>288</v>
      </c>
      <c r="G43" s="11" t="s">
        <v>282</v>
      </c>
      <c r="H43" s="11" t="s">
        <v>289</v>
      </c>
      <c r="I43" s="25" t="s">
        <v>18</v>
      </c>
      <c r="J43" s="11" t="s">
        <v>290</v>
      </c>
      <c r="K43" s="11" t="s">
        <v>291</v>
      </c>
    </row>
    <row r="44" spans="1:11" ht="33" customHeight="1">
      <c r="A44" s="9" t="s">
        <v>292</v>
      </c>
      <c r="B44" s="8" t="s">
        <v>293</v>
      </c>
      <c r="C44" s="9"/>
      <c r="D44" s="9" t="s">
        <v>294</v>
      </c>
      <c r="E44" s="9" t="s">
        <v>268</v>
      </c>
      <c r="F44" s="8" t="s">
        <v>295</v>
      </c>
      <c r="G44" s="8" t="s">
        <v>269</v>
      </c>
      <c r="H44" s="8" t="s">
        <v>270</v>
      </c>
      <c r="I44" s="25" t="s">
        <v>18</v>
      </c>
      <c r="J44" s="8" t="s">
        <v>296</v>
      </c>
      <c r="K44" s="8" t="s">
        <v>297</v>
      </c>
    </row>
    <row r="45" spans="1:11" ht="62.1" customHeight="1">
      <c r="A45" s="12" t="s">
        <v>298</v>
      </c>
      <c r="B45" s="11" t="s">
        <v>299</v>
      </c>
      <c r="C45" s="12" t="s">
        <v>194</v>
      </c>
      <c r="D45" s="12" t="s">
        <v>50</v>
      </c>
      <c r="E45" s="12" t="s">
        <v>268</v>
      </c>
      <c r="F45" s="11" t="s">
        <v>84</v>
      </c>
      <c r="G45" s="11" t="s">
        <v>270</v>
      </c>
      <c r="H45" s="11" t="s">
        <v>217</v>
      </c>
      <c r="I45" s="25" t="s">
        <v>18</v>
      </c>
      <c r="J45" s="11" t="s">
        <v>300</v>
      </c>
      <c r="K45" s="11" t="s">
        <v>301</v>
      </c>
    </row>
    <row r="46" spans="1:11" ht="33" customHeight="1">
      <c r="A46" s="9" t="s">
        <v>302</v>
      </c>
      <c r="B46" s="8" t="s">
        <v>303</v>
      </c>
      <c r="C46" s="9" t="s">
        <v>243</v>
      </c>
      <c r="D46" s="9" t="s">
        <v>244</v>
      </c>
      <c r="E46" s="9" t="s">
        <v>268</v>
      </c>
      <c r="F46" s="8" t="s">
        <v>304</v>
      </c>
      <c r="G46" s="8" t="s">
        <v>282</v>
      </c>
      <c r="H46" s="8" t="s">
        <v>305</v>
      </c>
      <c r="I46" s="25" t="s">
        <v>18</v>
      </c>
      <c r="J46" s="8" t="s">
        <v>306</v>
      </c>
      <c r="K46" s="8" t="s">
        <v>307</v>
      </c>
    </row>
    <row r="47" spans="1:11" ht="90.95" customHeight="1">
      <c r="A47" s="12" t="s">
        <v>308</v>
      </c>
      <c r="B47" s="11" t="s">
        <v>309</v>
      </c>
      <c r="C47" s="12" t="s">
        <v>157</v>
      </c>
      <c r="D47" s="10"/>
      <c r="E47" s="12" t="s">
        <v>268</v>
      </c>
      <c r="F47" s="11" t="s">
        <v>84</v>
      </c>
      <c r="G47" s="11" t="s">
        <v>282</v>
      </c>
      <c r="H47" s="11" t="s">
        <v>310</v>
      </c>
      <c r="I47" s="25" t="s">
        <v>18</v>
      </c>
      <c r="J47" s="11" t="s">
        <v>311</v>
      </c>
      <c r="K47" s="11" t="s">
        <v>312</v>
      </c>
    </row>
    <row r="48" spans="1:11" ht="90.95" customHeight="1">
      <c r="A48" s="9" t="s">
        <v>313</v>
      </c>
      <c r="B48" s="8" t="s">
        <v>314</v>
      </c>
      <c r="C48" s="9" t="s">
        <v>267</v>
      </c>
      <c r="D48" s="7"/>
      <c r="E48" s="9" t="s">
        <v>268</v>
      </c>
      <c r="F48" s="8" t="s">
        <v>238</v>
      </c>
      <c r="G48" s="8" t="s">
        <v>270</v>
      </c>
      <c r="H48" s="8" t="s">
        <v>305</v>
      </c>
      <c r="I48" s="25" t="s">
        <v>18</v>
      </c>
      <c r="J48" s="8" t="s">
        <v>315</v>
      </c>
      <c r="K48" s="8"/>
    </row>
    <row r="49" spans="1:11" ht="120" customHeight="1">
      <c r="A49" s="26" t="s">
        <v>316</v>
      </c>
      <c r="B49" s="27" t="s">
        <v>317</v>
      </c>
      <c r="C49" s="26" t="s">
        <v>318</v>
      </c>
      <c r="D49" s="28"/>
      <c r="E49" s="26" t="s">
        <v>268</v>
      </c>
      <c r="F49" s="27" t="s">
        <v>84</v>
      </c>
      <c r="G49" s="27" t="s">
        <v>319</v>
      </c>
      <c r="H49" s="27" t="s">
        <v>320</v>
      </c>
      <c r="I49" s="29" t="s">
        <v>18</v>
      </c>
      <c r="J49" s="27" t="s">
        <v>321</v>
      </c>
      <c r="K49" s="27" t="s">
        <v>322</v>
      </c>
    </row>
    <row r="50" spans="1:11" ht="24" customHeight="1">
      <c r="A50" s="9" t="s">
        <v>323</v>
      </c>
      <c r="B50" s="8" t="s">
        <v>324</v>
      </c>
      <c r="C50" s="9"/>
      <c r="D50" s="7"/>
      <c r="E50" s="9" t="s">
        <v>268</v>
      </c>
      <c r="F50" s="8" t="s">
        <v>84</v>
      </c>
      <c r="G50" s="8" t="s">
        <v>269</v>
      </c>
      <c r="H50" s="8" t="s">
        <v>269</v>
      </c>
      <c r="I50" s="25" t="s">
        <v>19</v>
      </c>
      <c r="J50" s="8" t="s">
        <v>325</v>
      </c>
      <c r="K50" s="8" t="s">
        <v>326</v>
      </c>
    </row>
    <row r="51" spans="1:11" ht="47.45" customHeight="1">
      <c r="A51" s="12" t="s">
        <v>327</v>
      </c>
      <c r="B51" s="11" t="s">
        <v>328</v>
      </c>
      <c r="C51" s="12"/>
      <c r="D51" s="12" t="s">
        <v>45</v>
      </c>
      <c r="E51" s="12" t="s">
        <v>268</v>
      </c>
      <c r="F51" s="11" t="s">
        <v>288</v>
      </c>
      <c r="G51" s="11" t="s">
        <v>270</v>
      </c>
      <c r="H51" s="11" t="s">
        <v>282</v>
      </c>
      <c r="I51" s="25" t="s">
        <v>18</v>
      </c>
      <c r="J51" s="11" t="s">
        <v>329</v>
      </c>
      <c r="K51" s="11" t="s">
        <v>330</v>
      </c>
    </row>
    <row r="52" spans="1:11" ht="21.95" customHeight="1">
      <c r="A52" s="6" t="s">
        <v>331</v>
      </c>
      <c r="B52" s="19"/>
      <c r="C52" s="19"/>
      <c r="D52" s="19"/>
      <c r="E52" s="19"/>
      <c r="F52" s="19"/>
      <c r="G52" s="19"/>
      <c r="H52" s="19"/>
      <c r="I52" s="19"/>
      <c r="J52" s="19"/>
      <c r="K52" s="20"/>
    </row>
    <row r="53" spans="1:11" ht="47.45" customHeight="1">
      <c r="A53" s="12" t="s">
        <v>332</v>
      </c>
      <c r="B53" s="11" t="s">
        <v>333</v>
      </c>
      <c r="C53" s="21" t="s">
        <v>334</v>
      </c>
      <c r="D53" s="10"/>
      <c r="E53" s="12" t="s">
        <v>335</v>
      </c>
      <c r="F53" s="11" t="s">
        <v>84</v>
      </c>
      <c r="G53" s="11" t="s">
        <v>289</v>
      </c>
      <c r="H53" s="11" t="s">
        <v>310</v>
      </c>
      <c r="I53" s="25" t="s">
        <v>18</v>
      </c>
      <c r="J53" s="11" t="s">
        <v>336</v>
      </c>
      <c r="K53" s="11" t="s">
        <v>337</v>
      </c>
    </row>
    <row r="54" spans="1:11" ht="47.45" customHeight="1">
      <c r="A54" s="9" t="s">
        <v>338</v>
      </c>
      <c r="B54" s="8" t="s">
        <v>339</v>
      </c>
      <c r="C54" s="9"/>
      <c r="D54" s="7"/>
      <c r="E54" s="9" t="s">
        <v>335</v>
      </c>
      <c r="F54" s="8" t="s">
        <v>84</v>
      </c>
      <c r="G54" s="8" t="s">
        <v>310</v>
      </c>
      <c r="H54" s="8" t="s">
        <v>340</v>
      </c>
      <c r="I54" s="25" t="s">
        <v>19</v>
      </c>
      <c r="J54" s="8" t="s">
        <v>341</v>
      </c>
      <c r="K54" s="8" t="s">
        <v>342</v>
      </c>
    </row>
    <row r="55" spans="1:11" ht="200.1" customHeight="1">
      <c r="A55" s="12" t="s">
        <v>343</v>
      </c>
      <c r="B55" s="11" t="s">
        <v>344</v>
      </c>
      <c r="C55" s="12"/>
      <c r="D55" s="12" t="s">
        <v>345</v>
      </c>
      <c r="E55" s="12" t="s">
        <v>335</v>
      </c>
      <c r="F55" s="11" t="s">
        <v>84</v>
      </c>
      <c r="G55" s="11" t="s">
        <v>310</v>
      </c>
      <c r="H55" s="11" t="s">
        <v>346</v>
      </c>
      <c r="I55" s="25" t="s">
        <v>18</v>
      </c>
      <c r="J55" s="11" t="s">
        <v>347</v>
      </c>
      <c r="K55" s="11" t="s">
        <v>348</v>
      </c>
    </row>
    <row r="56" spans="1:11" ht="47.45" customHeight="1">
      <c r="A56" s="9" t="s">
        <v>349</v>
      </c>
      <c r="B56" s="8" t="s">
        <v>350</v>
      </c>
      <c r="C56" s="9"/>
      <c r="D56" s="9" t="s">
        <v>345</v>
      </c>
      <c r="E56" s="9" t="s">
        <v>335</v>
      </c>
      <c r="F56" s="8" t="s">
        <v>84</v>
      </c>
      <c r="G56" s="8" t="s">
        <v>351</v>
      </c>
      <c r="H56" s="8" t="s">
        <v>352</v>
      </c>
      <c r="I56" s="25" t="s">
        <v>20</v>
      </c>
      <c r="J56" s="8" t="s">
        <v>353</v>
      </c>
      <c r="K56" s="8" t="s">
        <v>354</v>
      </c>
    </row>
    <row r="57" spans="1:11" ht="24" customHeight="1">
      <c r="A57" s="12" t="s">
        <v>355</v>
      </c>
      <c r="B57" s="11" t="s">
        <v>356</v>
      </c>
      <c r="C57" s="12"/>
      <c r="D57" s="10"/>
      <c r="E57" s="12" t="s">
        <v>335</v>
      </c>
      <c r="F57" s="11" t="s">
        <v>84</v>
      </c>
      <c r="G57" s="11" t="s">
        <v>357</v>
      </c>
      <c r="H57" s="11" t="s">
        <v>357</v>
      </c>
      <c r="I57" s="25" t="s">
        <v>20</v>
      </c>
      <c r="J57" s="11" t="s">
        <v>358</v>
      </c>
      <c r="K57" s="11"/>
    </row>
    <row r="58" spans="1:11" ht="62.1" customHeight="1">
      <c r="A58" s="9" t="s">
        <v>359</v>
      </c>
      <c r="B58" s="8" t="s">
        <v>360</v>
      </c>
      <c r="C58" s="9"/>
      <c r="D58" s="7"/>
      <c r="E58" s="9" t="s">
        <v>335</v>
      </c>
      <c r="F58" s="8" t="s">
        <v>84</v>
      </c>
      <c r="G58" s="8" t="s">
        <v>357</v>
      </c>
      <c r="H58" s="8" t="s">
        <v>357</v>
      </c>
      <c r="I58" s="25" t="s">
        <v>18</v>
      </c>
      <c r="J58" s="8" t="s">
        <v>361</v>
      </c>
      <c r="K58" s="8" t="s">
        <v>362</v>
      </c>
    </row>
    <row r="59" spans="1:11" ht="33" customHeight="1">
      <c r="A59" s="12" t="s">
        <v>363</v>
      </c>
      <c r="B59" s="11" t="s">
        <v>364</v>
      </c>
      <c r="C59" s="12" t="s">
        <v>261</v>
      </c>
      <c r="D59" s="10"/>
      <c r="E59" s="12" t="s">
        <v>335</v>
      </c>
      <c r="F59" s="11" t="s">
        <v>84</v>
      </c>
      <c r="G59" s="11" t="s">
        <v>346</v>
      </c>
      <c r="H59" s="11" t="s">
        <v>26</v>
      </c>
      <c r="I59" s="25" t="s">
        <v>19</v>
      </c>
      <c r="J59" s="11" t="s">
        <v>365</v>
      </c>
      <c r="K59" s="11"/>
    </row>
    <row r="60" spans="1:11" ht="21.95" customHeight="1">
      <c r="A60" s="6" t="s">
        <v>366</v>
      </c>
      <c r="B60" s="19"/>
      <c r="C60" s="19"/>
      <c r="D60" s="19"/>
      <c r="E60" s="19"/>
      <c r="F60" s="19"/>
      <c r="G60" s="19"/>
      <c r="H60" s="19"/>
      <c r="I60" s="19"/>
      <c r="J60" s="19"/>
      <c r="K60" s="20"/>
    </row>
    <row r="61" spans="1:11" ht="76.5" customHeight="1">
      <c r="A61" s="30" t="s">
        <v>367</v>
      </c>
      <c r="B61" s="31" t="s">
        <v>368</v>
      </c>
      <c r="C61" s="30" t="s">
        <v>369</v>
      </c>
      <c r="D61" s="32"/>
      <c r="E61" s="30" t="s">
        <v>370</v>
      </c>
      <c r="F61" s="31" t="s">
        <v>84</v>
      </c>
      <c r="G61" s="31" t="s">
        <v>371</v>
      </c>
      <c r="H61" s="31" t="s">
        <v>371</v>
      </c>
      <c r="I61" s="33" t="s">
        <v>18</v>
      </c>
      <c r="J61" s="31" t="s">
        <v>372</v>
      </c>
      <c r="K61" s="31" t="s">
        <v>373</v>
      </c>
    </row>
    <row r="62" spans="1:11" ht="76.5" customHeight="1">
      <c r="A62" s="26" t="s">
        <v>374</v>
      </c>
      <c r="B62" s="27" t="s">
        <v>375</v>
      </c>
      <c r="C62" s="26" t="s">
        <v>376</v>
      </c>
      <c r="D62" s="28"/>
      <c r="E62" s="26" t="s">
        <v>370</v>
      </c>
      <c r="F62" s="27" t="s">
        <v>84</v>
      </c>
      <c r="G62" s="27" t="s">
        <v>371</v>
      </c>
      <c r="H62" s="27" t="s">
        <v>371</v>
      </c>
      <c r="I62" s="29" t="s">
        <v>18</v>
      </c>
      <c r="J62" s="27" t="s">
        <v>377</v>
      </c>
      <c r="K62" s="27" t="s">
        <v>378</v>
      </c>
    </row>
    <row r="63" spans="1:11" ht="76.5" customHeight="1">
      <c r="A63" s="30" t="s">
        <v>379</v>
      </c>
      <c r="B63" s="31" t="s">
        <v>380</v>
      </c>
      <c r="C63" s="30" t="s">
        <v>381</v>
      </c>
      <c r="D63" s="32"/>
      <c r="E63" s="30" t="s">
        <v>370</v>
      </c>
      <c r="F63" s="31" t="s">
        <v>84</v>
      </c>
      <c r="G63" s="31" t="s">
        <v>371</v>
      </c>
      <c r="H63" s="31" t="s">
        <v>371</v>
      </c>
      <c r="I63" s="33" t="s">
        <v>18</v>
      </c>
      <c r="J63" s="31" t="s">
        <v>382</v>
      </c>
      <c r="K63" s="31" t="s">
        <v>383</v>
      </c>
    </row>
    <row r="64" spans="1:11" ht="76.5" customHeight="1">
      <c r="A64" s="26" t="s">
        <v>384</v>
      </c>
      <c r="B64" s="27" t="s">
        <v>385</v>
      </c>
      <c r="C64" s="26" t="s">
        <v>386</v>
      </c>
      <c r="D64" s="28"/>
      <c r="E64" s="26" t="s">
        <v>370</v>
      </c>
      <c r="F64" s="27" t="s">
        <v>84</v>
      </c>
      <c r="G64" s="27" t="s">
        <v>371</v>
      </c>
      <c r="H64" s="27" t="s">
        <v>371</v>
      </c>
      <c r="I64" s="29" t="s">
        <v>18</v>
      </c>
      <c r="J64" s="27" t="s">
        <v>387</v>
      </c>
      <c r="K64" s="27" t="s">
        <v>388</v>
      </c>
    </row>
    <row r="65" spans="1:11" ht="62.1" customHeight="1">
      <c r="A65" s="30" t="s">
        <v>389</v>
      </c>
      <c r="B65" s="31" t="s">
        <v>390</v>
      </c>
      <c r="C65" s="30" t="s">
        <v>391</v>
      </c>
      <c r="D65" s="32"/>
      <c r="E65" s="30" t="s">
        <v>370</v>
      </c>
      <c r="F65" s="31" t="s">
        <v>84</v>
      </c>
      <c r="G65" s="31" t="s">
        <v>371</v>
      </c>
      <c r="H65" s="31" t="s">
        <v>371</v>
      </c>
      <c r="I65" s="33" t="s">
        <v>18</v>
      </c>
      <c r="J65" s="31" t="s">
        <v>392</v>
      </c>
      <c r="K65" s="31" t="s">
        <v>393</v>
      </c>
    </row>
    <row r="66" spans="1:11" ht="62.1" customHeight="1">
      <c r="A66" s="26" t="s">
        <v>394</v>
      </c>
      <c r="B66" s="27" t="s">
        <v>395</v>
      </c>
      <c r="C66" s="26" t="s">
        <v>396</v>
      </c>
      <c r="D66" s="28"/>
      <c r="E66" s="26" t="s">
        <v>370</v>
      </c>
      <c r="F66" s="27" t="s">
        <v>84</v>
      </c>
      <c r="G66" s="27" t="s">
        <v>371</v>
      </c>
      <c r="H66" s="27" t="s">
        <v>371</v>
      </c>
      <c r="I66" s="29" t="s">
        <v>18</v>
      </c>
      <c r="J66" s="27" t="s">
        <v>397</v>
      </c>
      <c r="K66" s="27" t="s">
        <v>398</v>
      </c>
    </row>
    <row r="67" spans="1:11" ht="105.6" customHeight="1">
      <c r="A67" s="30" t="s">
        <v>399</v>
      </c>
      <c r="B67" s="31" t="s">
        <v>400</v>
      </c>
      <c r="C67" s="30" t="s">
        <v>401</v>
      </c>
      <c r="D67" s="32"/>
      <c r="E67" s="30" t="s">
        <v>370</v>
      </c>
      <c r="F67" s="31" t="s">
        <v>84</v>
      </c>
      <c r="G67" s="31" t="s">
        <v>371</v>
      </c>
      <c r="H67" s="31" t="s">
        <v>371</v>
      </c>
      <c r="I67" s="33" t="s">
        <v>18</v>
      </c>
      <c r="J67" s="31" t="s">
        <v>402</v>
      </c>
      <c r="K67" s="31" t="s">
        <v>403</v>
      </c>
    </row>
    <row r="68" spans="1:11" ht="90.95" customHeight="1">
      <c r="A68" s="26" t="s">
        <v>404</v>
      </c>
      <c r="B68" s="27" t="s">
        <v>405</v>
      </c>
      <c r="C68" s="26" t="s">
        <v>406</v>
      </c>
      <c r="D68" s="28"/>
      <c r="E68" s="26" t="s">
        <v>370</v>
      </c>
      <c r="F68" s="27" t="s">
        <v>407</v>
      </c>
      <c r="G68" s="27" t="s">
        <v>371</v>
      </c>
      <c r="H68" s="27" t="s">
        <v>371</v>
      </c>
      <c r="I68" s="29" t="s">
        <v>18</v>
      </c>
      <c r="J68" s="27" t="s">
        <v>408</v>
      </c>
      <c r="K68" s="27" t="s">
        <v>409</v>
      </c>
    </row>
    <row r="69" spans="1:11" ht="105.6" customHeight="1">
      <c r="A69" s="30" t="s">
        <v>410</v>
      </c>
      <c r="B69" s="31" t="s">
        <v>411</v>
      </c>
      <c r="C69" s="30" t="s">
        <v>412</v>
      </c>
      <c r="D69" s="30" t="s">
        <v>345</v>
      </c>
      <c r="E69" s="30">
        <v>5</v>
      </c>
      <c r="F69" s="31" t="s">
        <v>84</v>
      </c>
      <c r="G69" s="31" t="s">
        <v>371</v>
      </c>
      <c r="H69" s="31" t="s">
        <v>371</v>
      </c>
      <c r="I69" s="33" t="s">
        <v>18</v>
      </c>
      <c r="J69" s="31" t="s">
        <v>413</v>
      </c>
      <c r="K69" s="31" t="s">
        <v>414</v>
      </c>
    </row>
    <row r="70" spans="1:11" ht="163.5" customHeight="1">
      <c r="A70" s="26" t="s">
        <v>415</v>
      </c>
      <c r="B70" s="27" t="s">
        <v>416</v>
      </c>
      <c r="C70" s="26" t="s">
        <v>417</v>
      </c>
      <c r="D70" s="26" t="s">
        <v>418</v>
      </c>
      <c r="E70" s="26">
        <v>5</v>
      </c>
      <c r="F70" s="27" t="s">
        <v>419</v>
      </c>
      <c r="G70" s="27" t="s">
        <v>420</v>
      </c>
      <c r="H70" s="27" t="s">
        <v>371</v>
      </c>
      <c r="I70" s="29" t="s">
        <v>18</v>
      </c>
      <c r="J70" s="27" t="s">
        <v>421</v>
      </c>
      <c r="K70" s="27" t="s">
        <v>422</v>
      </c>
    </row>
    <row r="71" spans="1:11" ht="177.95" customHeight="1">
      <c r="A71" s="30" t="s">
        <v>423</v>
      </c>
      <c r="B71" s="31" t="s">
        <v>424</v>
      </c>
      <c r="C71" s="30" t="s">
        <v>425</v>
      </c>
      <c r="D71" s="30" t="s">
        <v>418</v>
      </c>
      <c r="E71" s="30">
        <v>5</v>
      </c>
      <c r="F71" s="31" t="s">
        <v>84</v>
      </c>
      <c r="G71" s="31" t="s">
        <v>371</v>
      </c>
      <c r="H71" s="31" t="s">
        <v>371</v>
      </c>
      <c r="I71" s="33" t="s">
        <v>18</v>
      </c>
      <c r="J71" s="31" t="s">
        <v>426</v>
      </c>
      <c r="K71" s="31" t="s">
        <v>427</v>
      </c>
    </row>
  </sheetData>
  <autoFilter ref="A3:K56" xr:uid="{00000000-0009-0000-0000-000001000000}"/>
  <mergeCells count="4">
    <mergeCell ref="A1:K1"/>
    <mergeCell ref="A17:K17"/>
    <mergeCell ref="A4:K4"/>
    <mergeCell ref="A36:K36"/>
  </mergeCells>
  <conditionalFormatting sqref="I4:I59">
    <cfRule type="cellIs" dxfId="39" priority="1" operator="equal">
      <formula>"Completed"</formula>
    </cfRule>
    <cfRule type="cellIs" dxfId="38" priority="2" operator="equal">
      <formula>"CA Implemented"</formula>
    </cfRule>
    <cfRule type="cellIs" dxfId="37" priority="3" operator="equal">
      <formula>"In Progress"</formula>
    </cfRule>
    <cfRule type="cellIs" dxfId="36" priority="4" operator="equal">
      <formula>"CA In Progress"</formula>
    </cfRule>
    <cfRule type="cellIs" dxfId="35" priority="5" operator="equal">
      <formula>"Partial"</formula>
    </cfRule>
    <cfRule type="cellIs" dxfId="34" priority="6" operator="equal">
      <formula>"Ongoing"</formula>
    </cfRule>
    <cfRule type="cellIs" dxfId="33" priority="7" operator="equal">
      <formula>"Pending"</formula>
    </cfRule>
    <cfRule type="cellIs" dxfId="32" priority="8" operator="equal">
      <formula>"Overdue"</formula>
    </cfRule>
  </conditionalFormatting>
  <dataValidations count="1">
    <dataValidation type="list" errorTitle="Invalid Status" error="Select from list" sqref="I4:I56 I58:I59" xr:uid="{00000000-0002-0000-0100-000000000000}">
      <formula1>"Completed,In Progress,Ongoing,Pending,Overdue,N/A"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I30"/>
  <sheetViews>
    <sheetView showGridLines="0" zoomScaleNormal="100" workbookViewId="0">
      <pane ySplit="4" topLeftCell="A22" activePane="bottomLeft" state="frozen"/>
      <selection pane="bottomLeft" activeCell="B33" sqref="B33"/>
    </sheetView>
  </sheetViews>
  <sheetFormatPr defaultColWidth="8.7109375" defaultRowHeight="15" customHeight="1"/>
  <cols>
    <col min="1" max="1" width="8" customWidth="1"/>
    <col min="2" max="3" width="40" customWidth="1"/>
    <col min="4" max="4" width="35" customWidth="1"/>
    <col min="5" max="5" width="20" customWidth="1"/>
    <col min="6" max="7" width="13" customWidth="1"/>
    <col min="8" max="8" width="12" customWidth="1"/>
    <col min="9" max="9" width="30" customWidth="1"/>
  </cols>
  <sheetData>
    <row r="1" spans="1:9" ht="18.75" customHeight="1">
      <c r="A1" s="41" t="s">
        <v>428</v>
      </c>
      <c r="B1" s="42"/>
      <c r="C1" s="42"/>
      <c r="D1" s="42"/>
      <c r="E1" s="42"/>
      <c r="F1" s="42"/>
      <c r="G1" s="42"/>
      <c r="H1" s="42"/>
      <c r="I1" s="42"/>
    </row>
    <row r="2" spans="1:9" ht="15" customHeight="1">
      <c r="A2" s="63" t="s">
        <v>429</v>
      </c>
      <c r="B2" s="42"/>
      <c r="C2" s="42"/>
      <c r="D2" s="42"/>
      <c r="E2" s="42"/>
      <c r="F2" s="42"/>
      <c r="G2" s="42"/>
      <c r="H2" s="42"/>
      <c r="I2" s="42"/>
    </row>
    <row r="4" spans="1:9" ht="15" customHeight="1">
      <c r="A4" s="5" t="s">
        <v>68</v>
      </c>
      <c r="B4" s="5" t="s">
        <v>430</v>
      </c>
      <c r="C4" s="5" t="s">
        <v>431</v>
      </c>
      <c r="D4" s="5" t="s">
        <v>432</v>
      </c>
      <c r="E4" s="5" t="s">
        <v>73</v>
      </c>
      <c r="F4" s="5" t="s">
        <v>74</v>
      </c>
      <c r="G4" s="5" t="s">
        <v>75</v>
      </c>
      <c r="H4" s="5" t="s">
        <v>76</v>
      </c>
      <c r="I4" s="5" t="s">
        <v>433</v>
      </c>
    </row>
    <row r="5" spans="1:9" ht="90.95" customHeight="1">
      <c r="A5" s="65" t="s">
        <v>24</v>
      </c>
      <c r="B5" s="60" t="s">
        <v>434</v>
      </c>
      <c r="C5" s="64" t="s">
        <v>435</v>
      </c>
      <c r="D5" s="11" t="s">
        <v>436</v>
      </c>
      <c r="E5" s="11" t="s">
        <v>146</v>
      </c>
      <c r="F5" s="12" t="s">
        <v>147</v>
      </c>
      <c r="G5" s="12" t="s">
        <v>437</v>
      </c>
      <c r="H5" s="25" t="s">
        <v>26</v>
      </c>
      <c r="I5" s="11" t="s">
        <v>438</v>
      </c>
    </row>
    <row r="6" spans="1:9" ht="21.95" customHeight="1">
      <c r="A6" s="61"/>
      <c r="B6" s="61"/>
      <c r="C6" s="61"/>
      <c r="D6" s="23" t="s">
        <v>439</v>
      </c>
      <c r="E6" s="23" t="s">
        <v>84</v>
      </c>
      <c r="F6" s="35" t="s">
        <v>357</v>
      </c>
      <c r="G6" s="35" t="s">
        <v>357</v>
      </c>
      <c r="H6" s="25" t="s">
        <v>20</v>
      </c>
      <c r="I6" s="23" t="s">
        <v>440</v>
      </c>
    </row>
    <row r="7" spans="1:9" ht="33" customHeight="1">
      <c r="A7" s="61"/>
      <c r="B7" s="61"/>
      <c r="C7" s="61"/>
      <c r="D7" s="23" t="s">
        <v>441</v>
      </c>
      <c r="E7" s="23" t="s">
        <v>442</v>
      </c>
      <c r="F7" s="35" t="s">
        <v>357</v>
      </c>
      <c r="G7" s="35" t="s">
        <v>357</v>
      </c>
      <c r="H7" s="25" t="s">
        <v>20</v>
      </c>
      <c r="I7" s="23"/>
    </row>
    <row r="8" spans="1:9" ht="21.95" customHeight="1">
      <c r="A8" s="62"/>
      <c r="B8" s="62"/>
      <c r="C8" s="62"/>
      <c r="D8" s="23" t="s">
        <v>443</v>
      </c>
      <c r="E8" s="23" t="s">
        <v>146</v>
      </c>
      <c r="F8" s="35" t="s">
        <v>357</v>
      </c>
      <c r="G8" s="35" t="s">
        <v>357</v>
      </c>
      <c r="H8" s="25" t="s">
        <v>20</v>
      </c>
      <c r="I8" s="23"/>
    </row>
    <row r="9" spans="1:9" ht="62.1" customHeight="1">
      <c r="A9" s="65" t="s">
        <v>30</v>
      </c>
      <c r="B9" s="60" t="s">
        <v>444</v>
      </c>
      <c r="C9" s="64" t="s">
        <v>445</v>
      </c>
      <c r="D9" s="11" t="s">
        <v>446</v>
      </c>
      <c r="E9" s="11" t="s">
        <v>84</v>
      </c>
      <c r="F9" s="12" t="s">
        <v>104</v>
      </c>
      <c r="G9" s="12" t="s">
        <v>92</v>
      </c>
      <c r="H9" s="25" t="s">
        <v>18</v>
      </c>
      <c r="I9" s="11" t="s">
        <v>447</v>
      </c>
    </row>
    <row r="10" spans="1:9" ht="62.1" customHeight="1">
      <c r="A10" s="61"/>
      <c r="B10" s="61"/>
      <c r="C10" s="61"/>
      <c r="D10" s="23" t="s">
        <v>448</v>
      </c>
      <c r="E10" s="23" t="s">
        <v>84</v>
      </c>
      <c r="F10" s="35" t="s">
        <v>85</v>
      </c>
      <c r="G10" s="35" t="s">
        <v>305</v>
      </c>
      <c r="H10" s="25" t="s">
        <v>18</v>
      </c>
      <c r="I10" s="23" t="s">
        <v>449</v>
      </c>
    </row>
    <row r="11" spans="1:9" ht="105.6" customHeight="1">
      <c r="A11" s="61"/>
      <c r="B11" s="61"/>
      <c r="C11" s="61"/>
      <c r="D11" s="23" t="s">
        <v>254</v>
      </c>
      <c r="E11" s="23" t="s">
        <v>256</v>
      </c>
      <c r="F11" s="35" t="s">
        <v>169</v>
      </c>
      <c r="G11" s="35" t="s">
        <v>211</v>
      </c>
      <c r="H11" s="25" t="s">
        <v>18</v>
      </c>
      <c r="I11" s="23" t="s">
        <v>450</v>
      </c>
    </row>
    <row r="12" spans="1:9" ht="90.95" customHeight="1">
      <c r="A12" s="61"/>
      <c r="B12" s="61"/>
      <c r="C12" s="61"/>
      <c r="D12" s="23" t="s">
        <v>451</v>
      </c>
      <c r="E12" s="23" t="s">
        <v>84</v>
      </c>
      <c r="F12" s="35" t="s">
        <v>169</v>
      </c>
      <c r="G12" s="35" t="s">
        <v>276</v>
      </c>
      <c r="H12" s="25" t="s">
        <v>19</v>
      </c>
      <c r="I12" s="23" t="s">
        <v>452</v>
      </c>
    </row>
    <row r="13" spans="1:9" ht="90.95" customHeight="1">
      <c r="A13" s="61"/>
      <c r="B13" s="61"/>
      <c r="C13" s="61"/>
      <c r="D13" s="23" t="s">
        <v>453</v>
      </c>
      <c r="E13" s="23" t="s">
        <v>238</v>
      </c>
      <c r="F13" s="35" t="s">
        <v>269</v>
      </c>
      <c r="G13" s="35" t="s">
        <v>289</v>
      </c>
      <c r="H13" s="25" t="s">
        <v>18</v>
      </c>
      <c r="I13" s="23" t="s">
        <v>454</v>
      </c>
    </row>
    <row r="14" spans="1:9" ht="90.95" customHeight="1">
      <c r="A14" s="61"/>
      <c r="B14" s="61"/>
      <c r="C14" s="61"/>
      <c r="D14" s="23" t="s">
        <v>455</v>
      </c>
      <c r="E14" s="23" t="s">
        <v>84</v>
      </c>
      <c r="F14" s="35" t="s">
        <v>169</v>
      </c>
      <c r="G14" s="35" t="s">
        <v>211</v>
      </c>
      <c r="H14" s="25" t="s">
        <v>18</v>
      </c>
      <c r="I14" s="23" t="s">
        <v>456</v>
      </c>
    </row>
    <row r="15" spans="1:9" ht="76.5" customHeight="1">
      <c r="A15" s="62"/>
      <c r="B15" s="62"/>
      <c r="C15" s="62"/>
      <c r="D15" s="23" t="s">
        <v>457</v>
      </c>
      <c r="E15" s="23" t="s">
        <v>238</v>
      </c>
      <c r="F15" s="35" t="s">
        <v>270</v>
      </c>
      <c r="G15" s="35" t="s">
        <v>289</v>
      </c>
      <c r="H15" s="25" t="s">
        <v>19</v>
      </c>
      <c r="I15" s="23" t="s">
        <v>458</v>
      </c>
    </row>
    <row r="16" spans="1:9" ht="47.45" customHeight="1">
      <c r="A16" s="65" t="s">
        <v>35</v>
      </c>
      <c r="B16" s="60" t="s">
        <v>459</v>
      </c>
      <c r="C16" s="64" t="s">
        <v>460</v>
      </c>
      <c r="D16" s="11" t="s">
        <v>461</v>
      </c>
      <c r="E16" s="11" t="s">
        <v>84</v>
      </c>
      <c r="F16" s="12" t="s">
        <v>85</v>
      </c>
      <c r="G16" s="12" t="s">
        <v>86</v>
      </c>
      <c r="H16" s="25" t="s">
        <v>18</v>
      </c>
      <c r="I16" s="11" t="s">
        <v>462</v>
      </c>
    </row>
    <row r="17" spans="1:9" ht="62.1" customHeight="1">
      <c r="A17" s="61"/>
      <c r="B17" s="61"/>
      <c r="C17" s="61"/>
      <c r="D17" s="23" t="s">
        <v>463</v>
      </c>
      <c r="E17" s="23" t="s">
        <v>464</v>
      </c>
      <c r="F17" s="35" t="s">
        <v>86</v>
      </c>
      <c r="G17" s="35" t="s">
        <v>111</v>
      </c>
      <c r="H17" s="25" t="s">
        <v>18</v>
      </c>
      <c r="I17" s="23" t="s">
        <v>465</v>
      </c>
    </row>
    <row r="18" spans="1:9" ht="76.5" customHeight="1">
      <c r="A18" s="61"/>
      <c r="B18" s="61"/>
      <c r="C18" s="61"/>
      <c r="D18" s="23" t="s">
        <v>466</v>
      </c>
      <c r="E18" s="23" t="s">
        <v>84</v>
      </c>
      <c r="F18" s="35" t="s">
        <v>111</v>
      </c>
      <c r="G18" s="35" t="s">
        <v>130</v>
      </c>
      <c r="H18" s="25" t="s">
        <v>18</v>
      </c>
      <c r="I18" s="23" t="s">
        <v>467</v>
      </c>
    </row>
    <row r="19" spans="1:9" ht="47.45" customHeight="1">
      <c r="A19" s="62"/>
      <c r="B19" s="62"/>
      <c r="C19" s="62"/>
      <c r="D19" s="23" t="s">
        <v>468</v>
      </c>
      <c r="E19" s="23" t="s">
        <v>84</v>
      </c>
      <c r="F19" s="35" t="s">
        <v>270</v>
      </c>
      <c r="G19" s="35" t="s">
        <v>282</v>
      </c>
      <c r="H19" s="25" t="s">
        <v>19</v>
      </c>
      <c r="I19" s="23" t="s">
        <v>469</v>
      </c>
    </row>
    <row r="20" spans="1:9" ht="47.45" customHeight="1">
      <c r="A20" s="34" t="s">
        <v>41</v>
      </c>
      <c r="B20" s="22" t="s">
        <v>470</v>
      </c>
      <c r="C20" s="11" t="s">
        <v>471</v>
      </c>
      <c r="D20" s="11" t="s">
        <v>472</v>
      </c>
      <c r="E20" s="11" t="s">
        <v>146</v>
      </c>
      <c r="F20" s="12" t="s">
        <v>147</v>
      </c>
      <c r="G20" s="12" t="s">
        <v>92</v>
      </c>
      <c r="H20" s="25" t="s">
        <v>18</v>
      </c>
      <c r="I20" s="11" t="s">
        <v>473</v>
      </c>
    </row>
    <row r="21" spans="1:9" ht="62.1" customHeight="1">
      <c r="A21" s="65" t="s">
        <v>45</v>
      </c>
      <c r="B21" s="60" t="s">
        <v>474</v>
      </c>
      <c r="C21" s="64" t="s">
        <v>475</v>
      </c>
      <c r="D21" s="11" t="s">
        <v>476</v>
      </c>
      <c r="E21" s="11" t="s">
        <v>223</v>
      </c>
      <c r="F21" s="12" t="s">
        <v>147</v>
      </c>
      <c r="G21" s="12" t="s">
        <v>477</v>
      </c>
      <c r="H21" s="25" t="s">
        <v>18</v>
      </c>
      <c r="I21" s="11" t="s">
        <v>478</v>
      </c>
    </row>
    <row r="22" spans="1:9" ht="120" customHeight="1">
      <c r="A22" s="62"/>
      <c r="B22" s="62"/>
      <c r="C22" s="62"/>
      <c r="D22" s="23" t="s">
        <v>479</v>
      </c>
      <c r="E22" s="23" t="s">
        <v>238</v>
      </c>
      <c r="F22" s="35" t="s">
        <v>176</v>
      </c>
      <c r="G22" s="35" t="s">
        <v>195</v>
      </c>
      <c r="H22" s="25" t="s">
        <v>18</v>
      </c>
      <c r="I22" s="23" t="s">
        <v>480</v>
      </c>
    </row>
    <row r="23" spans="1:9" ht="76.5" customHeight="1">
      <c r="A23" s="65" t="s">
        <v>47</v>
      </c>
      <c r="B23" s="60" t="s">
        <v>481</v>
      </c>
      <c r="C23" s="64" t="s">
        <v>482</v>
      </c>
      <c r="D23" s="11" t="s">
        <v>483</v>
      </c>
      <c r="E23" s="11" t="s">
        <v>84</v>
      </c>
      <c r="F23" s="12" t="s">
        <v>92</v>
      </c>
      <c r="G23" s="12" t="s">
        <v>130</v>
      </c>
      <c r="H23" s="25" t="s">
        <v>18</v>
      </c>
      <c r="I23" s="11" t="s">
        <v>484</v>
      </c>
    </row>
    <row r="24" spans="1:9" ht="62.1" customHeight="1">
      <c r="A24" s="61"/>
      <c r="B24" s="61"/>
      <c r="C24" s="61"/>
      <c r="D24" s="23" t="s">
        <v>485</v>
      </c>
      <c r="E24" s="23" t="s">
        <v>84</v>
      </c>
      <c r="F24" s="35" t="s">
        <v>104</v>
      </c>
      <c r="G24" s="35" t="s">
        <v>105</v>
      </c>
      <c r="H24" s="25" t="s">
        <v>18</v>
      </c>
      <c r="I24" s="23" t="s">
        <v>486</v>
      </c>
    </row>
    <row r="25" spans="1:9" ht="90.95" customHeight="1">
      <c r="A25" s="61"/>
      <c r="B25" s="61"/>
      <c r="C25" s="61"/>
      <c r="D25" s="23" t="s">
        <v>487</v>
      </c>
      <c r="E25" s="23" t="s">
        <v>84</v>
      </c>
      <c r="F25" s="35" t="s">
        <v>170</v>
      </c>
      <c r="G25" s="35" t="s">
        <v>211</v>
      </c>
      <c r="H25" s="25" t="s">
        <v>18</v>
      </c>
      <c r="I25" s="23" t="s">
        <v>488</v>
      </c>
    </row>
    <row r="26" spans="1:9" ht="120" customHeight="1">
      <c r="A26" s="62"/>
      <c r="B26" s="62"/>
      <c r="C26" s="62"/>
      <c r="D26" s="23" t="s">
        <v>489</v>
      </c>
      <c r="E26" s="23" t="s">
        <v>288</v>
      </c>
      <c r="F26" s="35" t="s">
        <v>282</v>
      </c>
      <c r="G26" s="35" t="s">
        <v>289</v>
      </c>
      <c r="H26" s="25" t="s">
        <v>19</v>
      </c>
      <c r="I26" s="23" t="s">
        <v>490</v>
      </c>
    </row>
    <row r="27" spans="1:9" ht="47.45" customHeight="1">
      <c r="A27" s="65" t="s">
        <v>50</v>
      </c>
      <c r="B27" s="60" t="s">
        <v>491</v>
      </c>
      <c r="C27" s="64" t="s">
        <v>492</v>
      </c>
      <c r="D27" s="11" t="s">
        <v>493</v>
      </c>
      <c r="E27" s="11" t="s">
        <v>84</v>
      </c>
      <c r="F27" s="12" t="s">
        <v>270</v>
      </c>
      <c r="G27" s="12" t="s">
        <v>217</v>
      </c>
      <c r="H27" s="25" t="s">
        <v>18</v>
      </c>
      <c r="I27" s="11" t="s">
        <v>494</v>
      </c>
    </row>
    <row r="28" spans="1:9" ht="33" customHeight="1">
      <c r="A28" s="61"/>
      <c r="B28" s="61"/>
      <c r="C28" s="61"/>
      <c r="D28" s="23" t="s">
        <v>495</v>
      </c>
      <c r="E28" s="23" t="s">
        <v>84</v>
      </c>
      <c r="F28" s="35" t="s">
        <v>276</v>
      </c>
      <c r="G28" s="35" t="s">
        <v>217</v>
      </c>
      <c r="H28" s="25" t="s">
        <v>18</v>
      </c>
      <c r="I28" s="23" t="s">
        <v>496</v>
      </c>
    </row>
    <row r="29" spans="1:9" ht="47.45" customHeight="1">
      <c r="A29" s="61"/>
      <c r="B29" s="61"/>
      <c r="C29" s="61"/>
      <c r="D29" s="23" t="s">
        <v>497</v>
      </c>
      <c r="E29" s="23" t="s">
        <v>498</v>
      </c>
      <c r="F29" s="35" t="s">
        <v>282</v>
      </c>
      <c r="G29" s="35" t="s">
        <v>217</v>
      </c>
      <c r="H29" s="25" t="s">
        <v>18</v>
      </c>
      <c r="I29" s="23" t="s">
        <v>499</v>
      </c>
    </row>
    <row r="30" spans="1:9" ht="47.45" customHeight="1">
      <c r="A30" s="62"/>
      <c r="B30" s="62"/>
      <c r="C30" s="62"/>
      <c r="D30" s="23" t="s">
        <v>500</v>
      </c>
      <c r="E30" s="23" t="s">
        <v>84</v>
      </c>
      <c r="F30" s="35" t="s">
        <v>501</v>
      </c>
      <c r="G30" s="35" t="s">
        <v>217</v>
      </c>
      <c r="H30" s="25" t="s">
        <v>18</v>
      </c>
      <c r="I30" s="23" t="s">
        <v>502</v>
      </c>
    </row>
  </sheetData>
  <mergeCells count="20">
    <mergeCell ref="C27:C30"/>
    <mergeCell ref="A21:A22"/>
    <mergeCell ref="A27:A30"/>
    <mergeCell ref="A23:A26"/>
    <mergeCell ref="A9:A15"/>
    <mergeCell ref="C23:C26"/>
    <mergeCell ref="C9:C15"/>
    <mergeCell ref="B9:B15"/>
    <mergeCell ref="B27:B30"/>
    <mergeCell ref="A16:A19"/>
    <mergeCell ref="A1:I1"/>
    <mergeCell ref="B16:B19"/>
    <mergeCell ref="B21:B22"/>
    <mergeCell ref="A2:I2"/>
    <mergeCell ref="B23:B26"/>
    <mergeCell ref="C16:C19"/>
    <mergeCell ref="C21:C22"/>
    <mergeCell ref="A5:A8"/>
    <mergeCell ref="B5:B8"/>
    <mergeCell ref="C5:C8"/>
  </mergeCells>
  <conditionalFormatting sqref="H4:H30">
    <cfRule type="cellIs" dxfId="31" priority="1" operator="equal">
      <formula>"Completed"</formula>
    </cfRule>
    <cfRule type="cellIs" dxfId="30" priority="2" operator="equal">
      <formula>"CA Implemented"</formula>
    </cfRule>
    <cfRule type="cellIs" dxfId="29" priority="3" operator="equal">
      <formula>"In Progress"</formula>
    </cfRule>
    <cfRule type="cellIs" dxfId="28" priority="4" operator="equal">
      <formula>"CA In Progress"</formula>
    </cfRule>
    <cfRule type="cellIs" dxfId="27" priority="5" operator="equal">
      <formula>"Partial"</formula>
    </cfRule>
    <cfRule type="cellIs" dxfId="26" priority="6" operator="equal">
      <formula>"Ongoing"</formula>
    </cfRule>
    <cfRule type="cellIs" dxfId="25" priority="7" operator="equal">
      <formula>"Pending"</formula>
    </cfRule>
    <cfRule type="cellIs" dxfId="24" priority="8" operator="equal">
      <formula>"Overdue"</formula>
    </cfRule>
  </conditionalFormatting>
  <dataValidations count="1">
    <dataValidation type="list" sqref="H5:H30" xr:uid="{00000000-0002-0000-0200-000000000000}">
      <formula1>"Completed,In Progress,Ongoing,Pending,Overdue,N/A"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I30"/>
  <sheetViews>
    <sheetView showGridLines="0" zoomScaleNormal="100" workbookViewId="0">
      <pane ySplit="4" topLeftCell="A20" activePane="bottomLeft" state="frozen"/>
      <selection pane="bottomLeft" activeCell="B24" sqref="B24:B27"/>
    </sheetView>
  </sheetViews>
  <sheetFormatPr defaultColWidth="8.7109375" defaultRowHeight="15" customHeight="1"/>
  <cols>
    <col min="1" max="1" width="8" customWidth="1"/>
    <col min="2" max="3" width="40" customWidth="1"/>
    <col min="4" max="4" width="35" customWidth="1"/>
    <col min="5" max="5" width="20" customWidth="1"/>
    <col min="6" max="7" width="13" customWidth="1"/>
    <col min="8" max="8" width="12" customWidth="1"/>
    <col min="9" max="9" width="30" customWidth="1"/>
  </cols>
  <sheetData>
    <row r="1" spans="1:9" ht="18.75" customHeight="1">
      <c r="A1" s="41" t="s">
        <v>503</v>
      </c>
      <c r="B1" s="42"/>
      <c r="C1" s="42"/>
      <c r="D1" s="42"/>
      <c r="E1" s="42"/>
      <c r="F1" s="42"/>
      <c r="G1" s="42"/>
      <c r="H1" s="42"/>
      <c r="I1" s="42"/>
    </row>
    <row r="2" spans="1:9" ht="15" customHeight="1">
      <c r="A2" s="63" t="s">
        <v>504</v>
      </c>
      <c r="B2" s="42"/>
      <c r="C2" s="42"/>
      <c r="D2" s="42"/>
      <c r="E2" s="42"/>
      <c r="F2" s="42"/>
      <c r="G2" s="42"/>
      <c r="H2" s="42"/>
      <c r="I2" s="42"/>
    </row>
    <row r="4" spans="1:9" ht="15" customHeight="1">
      <c r="A4" s="5" t="s">
        <v>68</v>
      </c>
      <c r="B4" s="5" t="s">
        <v>505</v>
      </c>
      <c r="C4" s="5" t="s">
        <v>506</v>
      </c>
      <c r="D4" s="5" t="s">
        <v>507</v>
      </c>
      <c r="E4" s="5" t="s">
        <v>73</v>
      </c>
      <c r="F4" s="5" t="s">
        <v>74</v>
      </c>
      <c r="G4" s="5" t="s">
        <v>75</v>
      </c>
      <c r="H4" s="5" t="s">
        <v>76</v>
      </c>
      <c r="I4" s="5" t="s">
        <v>78</v>
      </c>
    </row>
    <row r="5" spans="1:9" ht="62.1" customHeight="1">
      <c r="A5" s="65" t="s">
        <v>117</v>
      </c>
      <c r="B5" s="60" t="s">
        <v>508</v>
      </c>
      <c r="C5" s="64" t="s">
        <v>509</v>
      </c>
      <c r="D5" s="11" t="s">
        <v>510</v>
      </c>
      <c r="E5" s="11" t="s">
        <v>84</v>
      </c>
      <c r="F5" s="12" t="s">
        <v>92</v>
      </c>
      <c r="G5" s="12" t="s">
        <v>118</v>
      </c>
      <c r="H5" s="25" t="s">
        <v>18</v>
      </c>
      <c r="I5" s="11" t="s">
        <v>511</v>
      </c>
    </row>
    <row r="6" spans="1:9" ht="33" customHeight="1">
      <c r="A6" s="61"/>
      <c r="B6" s="61"/>
      <c r="C6" s="61"/>
      <c r="D6" s="23" t="s">
        <v>512</v>
      </c>
      <c r="E6" s="23" t="s">
        <v>84</v>
      </c>
      <c r="F6" s="35" t="s">
        <v>118</v>
      </c>
      <c r="G6" s="35" t="s">
        <v>130</v>
      </c>
      <c r="H6" s="25" t="s">
        <v>18</v>
      </c>
      <c r="I6" s="23" t="s">
        <v>513</v>
      </c>
    </row>
    <row r="7" spans="1:9" ht="33" customHeight="1">
      <c r="A7" s="61"/>
      <c r="B7" s="61"/>
      <c r="C7" s="61"/>
      <c r="D7" s="23" t="s">
        <v>514</v>
      </c>
      <c r="E7" s="23" t="s">
        <v>84</v>
      </c>
      <c r="F7" s="35" t="s">
        <v>130</v>
      </c>
      <c r="G7" s="35" t="s">
        <v>477</v>
      </c>
      <c r="H7" s="25" t="s">
        <v>18</v>
      </c>
      <c r="I7" s="23" t="s">
        <v>515</v>
      </c>
    </row>
    <row r="8" spans="1:9" ht="33" customHeight="1">
      <c r="A8" s="62"/>
      <c r="B8" s="62"/>
      <c r="C8" s="62"/>
      <c r="D8" s="23" t="s">
        <v>516</v>
      </c>
      <c r="E8" s="23" t="s">
        <v>84</v>
      </c>
      <c r="F8" s="35" t="s">
        <v>169</v>
      </c>
      <c r="G8" s="35" t="s">
        <v>182</v>
      </c>
      <c r="H8" s="25" t="s">
        <v>18</v>
      </c>
      <c r="I8" s="23" t="s">
        <v>517</v>
      </c>
    </row>
    <row r="9" spans="1:9" ht="62.1" customHeight="1">
      <c r="A9" s="65" t="s">
        <v>244</v>
      </c>
      <c r="B9" s="60" t="s">
        <v>518</v>
      </c>
      <c r="C9" s="64" t="s">
        <v>519</v>
      </c>
      <c r="D9" s="11" t="s">
        <v>520</v>
      </c>
      <c r="E9" s="11" t="s">
        <v>84</v>
      </c>
      <c r="F9" s="12" t="s">
        <v>195</v>
      </c>
      <c r="G9" s="12" t="s">
        <v>211</v>
      </c>
      <c r="H9" s="25" t="s">
        <v>18</v>
      </c>
      <c r="I9" s="11" t="s">
        <v>521</v>
      </c>
    </row>
    <row r="10" spans="1:9" ht="33" customHeight="1">
      <c r="A10" s="61"/>
      <c r="B10" s="61"/>
      <c r="C10" s="61"/>
      <c r="D10" s="23" t="s">
        <v>522</v>
      </c>
      <c r="E10" s="23" t="s">
        <v>84</v>
      </c>
      <c r="F10" s="35" t="s">
        <v>211</v>
      </c>
      <c r="G10" s="35" t="s">
        <v>224</v>
      </c>
      <c r="H10" s="25" t="s">
        <v>18</v>
      </c>
      <c r="I10" s="23" t="s">
        <v>523</v>
      </c>
    </row>
    <row r="11" spans="1:9" ht="47.45" customHeight="1">
      <c r="A11" s="62"/>
      <c r="B11" s="62"/>
      <c r="C11" s="62"/>
      <c r="D11" s="23" t="s">
        <v>524</v>
      </c>
      <c r="E11" s="23" t="s">
        <v>304</v>
      </c>
      <c r="F11" s="35" t="s">
        <v>282</v>
      </c>
      <c r="G11" s="35" t="s">
        <v>305</v>
      </c>
      <c r="H11" s="25" t="s">
        <v>18</v>
      </c>
      <c r="I11" s="23" t="s">
        <v>525</v>
      </c>
    </row>
    <row r="12" spans="1:9" ht="105.6" customHeight="1">
      <c r="A12" s="65" t="s">
        <v>140</v>
      </c>
      <c r="B12" s="60" t="s">
        <v>526</v>
      </c>
      <c r="C12" s="64" t="s">
        <v>527</v>
      </c>
      <c r="D12" s="11" t="s">
        <v>528</v>
      </c>
      <c r="E12" s="11" t="s">
        <v>84</v>
      </c>
      <c r="F12" s="12" t="s">
        <v>92</v>
      </c>
      <c r="G12" s="12" t="s">
        <v>141</v>
      </c>
      <c r="H12" s="25" t="s">
        <v>18</v>
      </c>
      <c r="I12" s="11" t="s">
        <v>529</v>
      </c>
    </row>
    <row r="13" spans="1:9" ht="62.1" customHeight="1">
      <c r="A13" s="61"/>
      <c r="B13" s="61"/>
      <c r="C13" s="61"/>
      <c r="D13" s="23" t="s">
        <v>530</v>
      </c>
      <c r="E13" s="23" t="s">
        <v>442</v>
      </c>
      <c r="F13" s="35" t="s">
        <v>118</v>
      </c>
      <c r="G13" s="35" t="s">
        <v>141</v>
      </c>
      <c r="H13" s="25" t="s">
        <v>18</v>
      </c>
      <c r="I13" s="23" t="s">
        <v>531</v>
      </c>
    </row>
    <row r="14" spans="1:9" ht="76.5" customHeight="1">
      <c r="A14" s="62"/>
      <c r="B14" s="62"/>
      <c r="C14" s="62"/>
      <c r="D14" s="23" t="s">
        <v>532</v>
      </c>
      <c r="E14" s="23" t="s">
        <v>84</v>
      </c>
      <c r="F14" s="35" t="s">
        <v>169</v>
      </c>
      <c r="G14" s="35" t="s">
        <v>182</v>
      </c>
      <c r="H14" s="25" t="s">
        <v>18</v>
      </c>
      <c r="I14" s="23" t="s">
        <v>533</v>
      </c>
    </row>
    <row r="15" spans="1:9" ht="47.45" customHeight="1">
      <c r="A15" s="65" t="s">
        <v>229</v>
      </c>
      <c r="B15" s="60" t="s">
        <v>534</v>
      </c>
      <c r="C15" s="64" t="s">
        <v>535</v>
      </c>
      <c r="D15" s="11" t="s">
        <v>536</v>
      </c>
      <c r="E15" s="11" t="s">
        <v>84</v>
      </c>
      <c r="F15" s="12" t="s">
        <v>147</v>
      </c>
      <c r="G15" s="12" t="s">
        <v>147</v>
      </c>
      <c r="H15" s="25" t="s">
        <v>18</v>
      </c>
      <c r="I15" s="11" t="s">
        <v>537</v>
      </c>
    </row>
    <row r="16" spans="1:9" ht="47.45" customHeight="1">
      <c r="A16" s="61"/>
      <c r="B16" s="61"/>
      <c r="C16" s="61"/>
      <c r="D16" s="23" t="s">
        <v>538</v>
      </c>
      <c r="E16" s="23" t="s">
        <v>84</v>
      </c>
      <c r="F16" s="35" t="s">
        <v>169</v>
      </c>
      <c r="G16" s="35" t="s">
        <v>188</v>
      </c>
      <c r="H16" s="25" t="s">
        <v>18</v>
      </c>
      <c r="I16" s="23" t="s">
        <v>539</v>
      </c>
    </row>
    <row r="17" spans="1:9" ht="90.95" customHeight="1">
      <c r="A17" s="62"/>
      <c r="B17" s="62"/>
      <c r="C17" s="62"/>
      <c r="D17" s="23" t="s">
        <v>540</v>
      </c>
      <c r="E17" s="23" t="s">
        <v>288</v>
      </c>
      <c r="F17" s="35" t="s">
        <v>270</v>
      </c>
      <c r="G17" s="35" t="s">
        <v>282</v>
      </c>
      <c r="H17" s="25" t="s">
        <v>19</v>
      </c>
      <c r="I17" s="23" t="s">
        <v>541</v>
      </c>
    </row>
    <row r="18" spans="1:9" ht="47.45" customHeight="1">
      <c r="A18" s="65" t="s">
        <v>234</v>
      </c>
      <c r="B18" s="60" t="s">
        <v>542</v>
      </c>
      <c r="C18" s="64" t="s">
        <v>543</v>
      </c>
      <c r="D18" s="11" t="s">
        <v>544</v>
      </c>
      <c r="E18" s="11" t="s">
        <v>84</v>
      </c>
      <c r="F18" s="12" t="s">
        <v>147</v>
      </c>
      <c r="G18" s="12" t="s">
        <v>147</v>
      </c>
      <c r="H18" s="25" t="s">
        <v>18</v>
      </c>
      <c r="I18" s="11" t="s">
        <v>543</v>
      </c>
    </row>
    <row r="19" spans="1:9" ht="47.45" customHeight="1">
      <c r="A19" s="61"/>
      <c r="B19" s="61"/>
      <c r="C19" s="61"/>
      <c r="D19" s="23" t="s">
        <v>538</v>
      </c>
      <c r="E19" s="23" t="s">
        <v>84</v>
      </c>
      <c r="F19" s="35" t="s">
        <v>169</v>
      </c>
      <c r="G19" s="35" t="s">
        <v>188</v>
      </c>
      <c r="H19" s="25" t="s">
        <v>18</v>
      </c>
      <c r="I19" s="23" t="s">
        <v>545</v>
      </c>
    </row>
    <row r="20" spans="1:9" ht="90.95" customHeight="1">
      <c r="A20" s="62"/>
      <c r="B20" s="62"/>
      <c r="C20" s="62"/>
      <c r="D20" s="23" t="s">
        <v>540</v>
      </c>
      <c r="E20" s="23" t="s">
        <v>288</v>
      </c>
      <c r="F20" s="35" t="s">
        <v>270</v>
      </c>
      <c r="G20" s="35" t="s">
        <v>282</v>
      </c>
      <c r="H20" s="25" t="s">
        <v>19</v>
      </c>
      <c r="I20" s="23" t="s">
        <v>546</v>
      </c>
    </row>
    <row r="21" spans="1:9" ht="134.44999999999999" customHeight="1">
      <c r="A21" s="65" t="s">
        <v>222</v>
      </c>
      <c r="B21" s="60" t="s">
        <v>547</v>
      </c>
      <c r="C21" s="64" t="s">
        <v>548</v>
      </c>
      <c r="D21" s="11" t="s">
        <v>549</v>
      </c>
      <c r="E21" s="11" t="s">
        <v>223</v>
      </c>
      <c r="F21" s="12" t="s">
        <v>170</v>
      </c>
      <c r="G21" s="12" t="s">
        <v>211</v>
      </c>
      <c r="H21" s="25" t="s">
        <v>18</v>
      </c>
      <c r="I21" s="11" t="s">
        <v>550</v>
      </c>
    </row>
    <row r="22" spans="1:9" ht="76.5" customHeight="1">
      <c r="A22" s="61"/>
      <c r="B22" s="61"/>
      <c r="C22" s="61"/>
      <c r="D22" s="23" t="s">
        <v>551</v>
      </c>
      <c r="E22" s="23" t="s">
        <v>84</v>
      </c>
      <c r="F22" s="35" t="s">
        <v>211</v>
      </c>
      <c r="G22" s="35" t="s">
        <v>224</v>
      </c>
      <c r="H22" s="25" t="s">
        <v>18</v>
      </c>
      <c r="I22" s="23" t="s">
        <v>552</v>
      </c>
    </row>
    <row r="23" spans="1:9" ht="62.1" customHeight="1">
      <c r="A23" s="62"/>
      <c r="B23" s="62"/>
      <c r="C23" s="62"/>
      <c r="D23" s="23" t="s">
        <v>553</v>
      </c>
      <c r="E23" s="23" t="s">
        <v>223</v>
      </c>
      <c r="F23" s="35" t="s">
        <v>269</v>
      </c>
      <c r="G23" s="35" t="s">
        <v>270</v>
      </c>
      <c r="H23" s="25" t="s">
        <v>18</v>
      </c>
      <c r="I23" s="23" t="s">
        <v>554</v>
      </c>
    </row>
    <row r="24" spans="1:9" ht="76.5" customHeight="1">
      <c r="A24" s="65" t="s">
        <v>128</v>
      </c>
      <c r="B24" s="60" t="s">
        <v>555</v>
      </c>
      <c r="C24" s="64" t="s">
        <v>556</v>
      </c>
      <c r="D24" s="11" t="s">
        <v>557</v>
      </c>
      <c r="E24" s="11" t="s">
        <v>146</v>
      </c>
      <c r="F24" s="12" t="s">
        <v>92</v>
      </c>
      <c r="G24" s="12" t="s">
        <v>130</v>
      </c>
      <c r="H24" s="25" t="s">
        <v>18</v>
      </c>
      <c r="I24" s="11" t="s">
        <v>558</v>
      </c>
    </row>
    <row r="25" spans="1:9" ht="62.1" customHeight="1">
      <c r="A25" s="61"/>
      <c r="B25" s="61"/>
      <c r="C25" s="61"/>
      <c r="D25" s="23" t="s">
        <v>559</v>
      </c>
      <c r="E25" s="23" t="s">
        <v>84</v>
      </c>
      <c r="F25" s="35" t="s">
        <v>130</v>
      </c>
      <c r="G25" s="35" t="s">
        <v>477</v>
      </c>
      <c r="H25" s="25" t="s">
        <v>18</v>
      </c>
      <c r="I25" s="23" t="s">
        <v>560</v>
      </c>
    </row>
    <row r="26" spans="1:9" ht="47.45" customHeight="1">
      <c r="A26" s="61"/>
      <c r="B26" s="61"/>
      <c r="C26" s="61"/>
      <c r="D26" s="23" t="s">
        <v>561</v>
      </c>
      <c r="E26" s="23" t="s">
        <v>84</v>
      </c>
      <c r="F26" s="35" t="s">
        <v>169</v>
      </c>
      <c r="G26" s="35" t="s">
        <v>188</v>
      </c>
      <c r="H26" s="25" t="s">
        <v>18</v>
      </c>
      <c r="I26" s="23" t="s">
        <v>562</v>
      </c>
    </row>
    <row r="27" spans="1:9" ht="33" customHeight="1">
      <c r="A27" s="62"/>
      <c r="B27" s="62"/>
      <c r="C27" s="62"/>
      <c r="D27" s="23" t="s">
        <v>563</v>
      </c>
      <c r="E27" s="23" t="s">
        <v>288</v>
      </c>
      <c r="F27" s="35" t="s">
        <v>282</v>
      </c>
      <c r="G27" s="35" t="s">
        <v>289</v>
      </c>
      <c r="H27" s="25" t="s">
        <v>19</v>
      </c>
      <c r="I27" s="23" t="s">
        <v>564</v>
      </c>
    </row>
    <row r="28" spans="1:9" ht="47.45" customHeight="1">
      <c r="A28" s="65" t="s">
        <v>294</v>
      </c>
      <c r="B28" s="60" t="s">
        <v>565</v>
      </c>
      <c r="C28" s="64" t="s">
        <v>566</v>
      </c>
      <c r="D28" s="11" t="s">
        <v>567</v>
      </c>
      <c r="E28" s="11" t="s">
        <v>84</v>
      </c>
      <c r="F28" s="12" t="s">
        <v>169</v>
      </c>
      <c r="G28" s="12" t="s">
        <v>182</v>
      </c>
      <c r="H28" s="25" t="s">
        <v>18</v>
      </c>
      <c r="I28" s="11" t="s">
        <v>568</v>
      </c>
    </row>
    <row r="29" spans="1:9" ht="33" customHeight="1">
      <c r="A29" s="61"/>
      <c r="B29" s="61"/>
      <c r="C29" s="61"/>
      <c r="D29" s="23" t="s">
        <v>569</v>
      </c>
      <c r="E29" s="23" t="s">
        <v>570</v>
      </c>
      <c r="F29" s="35" t="s">
        <v>269</v>
      </c>
      <c r="G29" s="35" t="s">
        <v>270</v>
      </c>
      <c r="H29" s="25" t="s">
        <v>18</v>
      </c>
      <c r="I29" s="23" t="s">
        <v>571</v>
      </c>
    </row>
    <row r="30" spans="1:9" ht="33" customHeight="1">
      <c r="A30" s="62"/>
      <c r="B30" s="62"/>
      <c r="C30" s="62"/>
      <c r="D30" s="23" t="s">
        <v>572</v>
      </c>
      <c r="E30" s="23" t="s">
        <v>442</v>
      </c>
      <c r="F30" s="35" t="s">
        <v>270</v>
      </c>
      <c r="G30" s="35" t="s">
        <v>26</v>
      </c>
      <c r="H30" s="25" t="s">
        <v>20</v>
      </c>
      <c r="I30" s="23"/>
    </row>
  </sheetData>
  <mergeCells count="26">
    <mergeCell ref="C21:C23"/>
    <mergeCell ref="C5:C8"/>
    <mergeCell ref="C12:C14"/>
    <mergeCell ref="B15:B17"/>
    <mergeCell ref="A5:A8"/>
    <mergeCell ref="B24:B27"/>
    <mergeCell ref="B18:B20"/>
    <mergeCell ref="B5:B8"/>
    <mergeCell ref="A21:A23"/>
    <mergeCell ref="A12:A14"/>
    <mergeCell ref="A1:I1"/>
    <mergeCell ref="B9:B11"/>
    <mergeCell ref="A24:A27"/>
    <mergeCell ref="B28:B30"/>
    <mergeCell ref="C9:C11"/>
    <mergeCell ref="A18:A20"/>
    <mergeCell ref="C24:C27"/>
    <mergeCell ref="A2:I2"/>
    <mergeCell ref="A28:A30"/>
    <mergeCell ref="C28:C30"/>
    <mergeCell ref="A15:A17"/>
    <mergeCell ref="C18:C20"/>
    <mergeCell ref="A9:A11"/>
    <mergeCell ref="C15:C17"/>
    <mergeCell ref="B12:B14"/>
    <mergeCell ref="B21:B23"/>
  </mergeCells>
  <conditionalFormatting sqref="H4:H30">
    <cfRule type="cellIs" dxfId="23" priority="1" operator="equal">
      <formula>"Completed"</formula>
    </cfRule>
    <cfRule type="cellIs" dxfId="22" priority="2" operator="equal">
      <formula>"CA Implemented"</formula>
    </cfRule>
    <cfRule type="cellIs" dxfId="21" priority="3" operator="equal">
      <formula>"In Progress"</formula>
    </cfRule>
    <cfRule type="cellIs" dxfId="20" priority="4" operator="equal">
      <formula>"CA In Progress"</formula>
    </cfRule>
    <cfRule type="cellIs" dxfId="19" priority="5" operator="equal">
      <formula>"Partial"</formula>
    </cfRule>
    <cfRule type="cellIs" dxfId="18" priority="6" operator="equal">
      <formula>"Ongoing"</formula>
    </cfRule>
    <cfRule type="cellIs" dxfId="17" priority="7" operator="equal">
      <formula>"Pending"</formula>
    </cfRule>
    <cfRule type="cellIs" dxfId="16" priority="8" operator="equal">
      <formula>"Overdue"</formula>
    </cfRule>
  </conditionalFormatting>
  <dataValidations count="1">
    <dataValidation type="list" sqref="H5:H30" xr:uid="{00000000-0002-0000-0300-000000000000}">
      <formula1>"Completed,In Progress,Ongoing,Pending,Overdue,N/A"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39"/>
  <sheetViews>
    <sheetView showGridLines="0" zoomScaleNormal="100" workbookViewId="0">
      <pane ySplit="3" topLeftCell="A38" activePane="bottomLeft" state="frozen"/>
      <selection pane="bottomLeft" activeCell="J6" sqref="J6"/>
    </sheetView>
  </sheetViews>
  <sheetFormatPr defaultColWidth="8.7109375" defaultRowHeight="15" customHeight="1"/>
  <cols>
    <col min="1" max="1" width="10" customWidth="1"/>
    <col min="2" max="2" width="35" customWidth="1"/>
    <col min="3" max="3" width="12" customWidth="1"/>
    <col min="4" max="4" width="13" customWidth="1"/>
    <col min="5" max="5" width="30" customWidth="1"/>
    <col min="6" max="6" width="13" customWidth="1"/>
    <col min="7" max="7" width="12" customWidth="1"/>
  </cols>
  <sheetData>
    <row r="1" spans="1:7" ht="18.75" customHeight="1">
      <c r="A1" s="41" t="s">
        <v>573</v>
      </c>
      <c r="B1" s="42"/>
      <c r="C1" s="42"/>
      <c r="D1" s="42"/>
      <c r="E1" s="42"/>
      <c r="F1" s="42"/>
      <c r="G1" s="42"/>
    </row>
    <row r="3" spans="1:7" ht="24" customHeight="1">
      <c r="A3" s="5" t="s">
        <v>574</v>
      </c>
      <c r="B3" s="5" t="s">
        <v>575</v>
      </c>
      <c r="C3" s="5" t="s">
        <v>576</v>
      </c>
      <c r="D3" s="5" t="s">
        <v>76</v>
      </c>
      <c r="E3" s="5" t="s">
        <v>577</v>
      </c>
      <c r="F3" s="5" t="s">
        <v>578</v>
      </c>
      <c r="G3" s="5" t="s">
        <v>579</v>
      </c>
    </row>
    <row r="4" spans="1:7" ht="15" customHeight="1">
      <c r="A4" s="58" t="s">
        <v>580</v>
      </c>
      <c r="B4" s="39"/>
      <c r="C4" s="39"/>
      <c r="D4" s="39"/>
      <c r="E4" s="39"/>
      <c r="F4" s="39"/>
      <c r="G4" s="40"/>
    </row>
    <row r="5" spans="1:7" ht="90.95" customHeight="1">
      <c r="A5" s="36" t="s">
        <v>91</v>
      </c>
      <c r="B5" s="23" t="s">
        <v>581</v>
      </c>
      <c r="C5" s="3"/>
      <c r="D5" s="25" t="s">
        <v>18</v>
      </c>
      <c r="E5" s="23" t="s">
        <v>582</v>
      </c>
      <c r="F5" s="23" t="s">
        <v>583</v>
      </c>
      <c r="G5" s="35" t="s">
        <v>89</v>
      </c>
    </row>
    <row r="6" spans="1:7" ht="76.5" customHeight="1">
      <c r="A6" s="36" t="s">
        <v>97</v>
      </c>
      <c r="B6" s="23" t="s">
        <v>584</v>
      </c>
      <c r="C6" s="35" t="s">
        <v>47</v>
      </c>
      <c r="D6" s="25" t="s">
        <v>18</v>
      </c>
      <c r="E6" s="23" t="s">
        <v>585</v>
      </c>
      <c r="F6" s="23" t="s">
        <v>586</v>
      </c>
      <c r="G6" s="35" t="s">
        <v>95</v>
      </c>
    </row>
    <row r="7" spans="1:7" ht="62.1" customHeight="1">
      <c r="A7" s="36" t="s">
        <v>82</v>
      </c>
      <c r="B7" s="23" t="s">
        <v>587</v>
      </c>
      <c r="C7" s="3"/>
      <c r="D7" s="25" t="s">
        <v>18</v>
      </c>
      <c r="E7" s="23" t="s">
        <v>588</v>
      </c>
      <c r="F7" s="23" t="s">
        <v>589</v>
      </c>
      <c r="G7" s="35" t="s">
        <v>80</v>
      </c>
    </row>
    <row r="8" spans="1:7" ht="105.6" customHeight="1">
      <c r="A8" s="36" t="s">
        <v>590</v>
      </c>
      <c r="B8" s="23" t="s">
        <v>591</v>
      </c>
      <c r="C8" s="3"/>
      <c r="D8" s="25" t="s">
        <v>18</v>
      </c>
      <c r="E8" s="23" t="s">
        <v>592</v>
      </c>
      <c r="F8" s="23" t="s">
        <v>593</v>
      </c>
      <c r="G8" s="3"/>
    </row>
    <row r="9" spans="1:7" ht="15" customHeight="1">
      <c r="A9" s="58" t="s">
        <v>594</v>
      </c>
      <c r="B9" s="39"/>
      <c r="C9" s="39"/>
      <c r="D9" s="39"/>
      <c r="E9" s="39"/>
      <c r="F9" s="39"/>
      <c r="G9" s="40"/>
    </row>
    <row r="10" spans="1:7" ht="134.44999999999999" customHeight="1">
      <c r="A10" s="36" t="s">
        <v>595</v>
      </c>
      <c r="B10" s="23" t="s">
        <v>596</v>
      </c>
      <c r="C10" s="3"/>
      <c r="D10" s="25" t="s">
        <v>18</v>
      </c>
      <c r="E10" s="23" t="s">
        <v>597</v>
      </c>
      <c r="F10" s="23" t="s">
        <v>598</v>
      </c>
      <c r="G10" s="3"/>
    </row>
    <row r="11" spans="1:7" ht="105.6" customHeight="1">
      <c r="A11" s="36" t="s">
        <v>103</v>
      </c>
      <c r="B11" s="23" t="s">
        <v>599</v>
      </c>
      <c r="C11" s="35" t="s">
        <v>600</v>
      </c>
      <c r="D11" s="25" t="s">
        <v>18</v>
      </c>
      <c r="E11" s="23" t="s">
        <v>601</v>
      </c>
      <c r="F11" s="23" t="s">
        <v>602</v>
      </c>
      <c r="G11" s="35" t="s">
        <v>603</v>
      </c>
    </row>
    <row r="12" spans="1:7" ht="76.5" customHeight="1">
      <c r="A12" s="36" t="s">
        <v>181</v>
      </c>
      <c r="B12" s="23" t="s">
        <v>604</v>
      </c>
      <c r="C12" s="3"/>
      <c r="D12" s="25" t="s">
        <v>18</v>
      </c>
      <c r="E12" s="23" t="s">
        <v>605</v>
      </c>
      <c r="F12" s="23" t="s">
        <v>606</v>
      </c>
      <c r="G12" s="35" t="s">
        <v>179</v>
      </c>
    </row>
    <row r="13" spans="1:7" ht="105.6" customHeight="1">
      <c r="A13" s="36" t="s">
        <v>187</v>
      </c>
      <c r="B13" s="23" t="s">
        <v>607</v>
      </c>
      <c r="C13" s="3"/>
      <c r="D13" s="25" t="s">
        <v>18</v>
      </c>
      <c r="E13" s="23" t="s">
        <v>608</v>
      </c>
      <c r="F13" s="23" t="s">
        <v>609</v>
      </c>
      <c r="G13" s="35" t="s">
        <v>185</v>
      </c>
    </row>
    <row r="14" spans="1:7" ht="15" customHeight="1">
      <c r="A14" s="58" t="s">
        <v>610</v>
      </c>
      <c r="B14" s="39"/>
      <c r="C14" s="39"/>
      <c r="D14" s="39"/>
      <c r="E14" s="39"/>
      <c r="F14" s="39"/>
      <c r="G14" s="40"/>
    </row>
    <row r="15" spans="1:7" ht="76.5" customHeight="1">
      <c r="A15" s="36" t="s">
        <v>611</v>
      </c>
      <c r="B15" s="23" t="s">
        <v>612</v>
      </c>
      <c r="C15" s="35" t="s">
        <v>30</v>
      </c>
      <c r="D15" s="25" t="s">
        <v>18</v>
      </c>
      <c r="E15" s="23" t="s">
        <v>613</v>
      </c>
      <c r="F15" s="23" t="s">
        <v>614</v>
      </c>
      <c r="G15" s="35" t="s">
        <v>165</v>
      </c>
    </row>
    <row r="16" spans="1:7" ht="219.95" customHeight="1">
      <c r="A16" s="36" t="s">
        <v>255</v>
      </c>
      <c r="B16" s="23" t="s">
        <v>615</v>
      </c>
      <c r="C16" s="35" t="s">
        <v>30</v>
      </c>
      <c r="D16" s="25" t="s">
        <v>18</v>
      </c>
      <c r="E16" s="23" t="s">
        <v>616</v>
      </c>
      <c r="F16" s="23" t="s">
        <v>617</v>
      </c>
      <c r="G16" s="35" t="s">
        <v>618</v>
      </c>
    </row>
    <row r="17" spans="1:7" ht="219.95" customHeight="1">
      <c r="A17" s="36" t="s">
        <v>110</v>
      </c>
      <c r="B17" s="23" t="s">
        <v>619</v>
      </c>
      <c r="C17" s="35" t="s">
        <v>24</v>
      </c>
      <c r="D17" s="25" t="s">
        <v>18</v>
      </c>
      <c r="E17" s="23" t="s">
        <v>620</v>
      </c>
      <c r="F17" s="23" t="s">
        <v>621</v>
      </c>
      <c r="G17" s="35" t="s">
        <v>108</v>
      </c>
    </row>
    <row r="18" spans="1:7" ht="90.95" customHeight="1">
      <c r="A18" s="36" t="s">
        <v>622</v>
      </c>
      <c r="B18" s="23" t="s">
        <v>623</v>
      </c>
      <c r="C18" s="3"/>
      <c r="D18" s="25" t="s">
        <v>18</v>
      </c>
      <c r="E18" s="23" t="s">
        <v>624</v>
      </c>
      <c r="F18" s="23" t="s">
        <v>625</v>
      </c>
      <c r="G18" s="35" t="s">
        <v>165</v>
      </c>
    </row>
    <row r="19" spans="1:7" ht="134.44999999999999" customHeight="1">
      <c r="A19" s="36" t="s">
        <v>175</v>
      </c>
      <c r="B19" s="23" t="s">
        <v>626</v>
      </c>
      <c r="C19" s="3"/>
      <c r="D19" s="25" t="s">
        <v>18</v>
      </c>
      <c r="E19" s="23" t="s">
        <v>627</v>
      </c>
      <c r="F19" s="23" t="s">
        <v>628</v>
      </c>
      <c r="G19" s="35" t="s">
        <v>173</v>
      </c>
    </row>
    <row r="20" spans="1:7" ht="15" customHeight="1">
      <c r="A20" s="58" t="s">
        <v>629</v>
      </c>
      <c r="B20" s="39"/>
      <c r="C20" s="39"/>
      <c r="D20" s="39"/>
      <c r="E20" s="39"/>
      <c r="F20" s="39"/>
      <c r="G20" s="40"/>
    </row>
    <row r="21" spans="1:7" ht="105.6" customHeight="1">
      <c r="A21" s="36" t="s">
        <v>630</v>
      </c>
      <c r="B21" s="23" t="s">
        <v>631</v>
      </c>
      <c r="C21" s="3"/>
      <c r="D21" s="25" t="s">
        <v>18</v>
      </c>
      <c r="E21" s="23" t="s">
        <v>632</v>
      </c>
      <c r="F21" s="23" t="s">
        <v>633</v>
      </c>
      <c r="G21" s="3"/>
    </row>
    <row r="22" spans="1:7" ht="105.6" customHeight="1">
      <c r="A22" s="36" t="s">
        <v>267</v>
      </c>
      <c r="B22" s="23" t="s">
        <v>634</v>
      </c>
      <c r="C22" s="35" t="s">
        <v>635</v>
      </c>
      <c r="D22" s="25" t="s">
        <v>18</v>
      </c>
      <c r="E22" s="23" t="s">
        <v>636</v>
      </c>
      <c r="F22" s="23" t="s">
        <v>637</v>
      </c>
      <c r="G22" s="35" t="s">
        <v>638</v>
      </c>
    </row>
    <row r="23" spans="1:7" ht="177.95" customHeight="1">
      <c r="A23" s="36" t="s">
        <v>639</v>
      </c>
      <c r="B23" s="23" t="s">
        <v>640</v>
      </c>
      <c r="C23" s="35" t="s">
        <v>287</v>
      </c>
      <c r="D23" s="25" t="s">
        <v>18</v>
      </c>
      <c r="E23" s="23" t="s">
        <v>641</v>
      </c>
      <c r="F23" s="23" t="s">
        <v>642</v>
      </c>
      <c r="G23" s="35" t="s">
        <v>643</v>
      </c>
    </row>
    <row r="24" spans="1:7" ht="105.6" customHeight="1">
      <c r="A24" s="36" t="s">
        <v>123</v>
      </c>
      <c r="B24" s="23" t="s">
        <v>644</v>
      </c>
      <c r="C24" s="35" t="s">
        <v>35</v>
      </c>
      <c r="D24" s="25" t="s">
        <v>18</v>
      </c>
      <c r="E24" s="23" t="s">
        <v>645</v>
      </c>
      <c r="F24" s="23" t="s">
        <v>646</v>
      </c>
      <c r="G24" s="35" t="s">
        <v>121</v>
      </c>
    </row>
    <row r="25" spans="1:7" ht="105.6" customHeight="1">
      <c r="A25" s="36" t="s">
        <v>135</v>
      </c>
      <c r="B25" s="23" t="s">
        <v>647</v>
      </c>
      <c r="C25" s="3"/>
      <c r="D25" s="25" t="s">
        <v>18</v>
      </c>
      <c r="E25" s="23" t="s">
        <v>648</v>
      </c>
      <c r="F25" s="23" t="s">
        <v>649</v>
      </c>
      <c r="G25" s="35" t="s">
        <v>133</v>
      </c>
    </row>
    <row r="26" spans="1:7" ht="15" customHeight="1">
      <c r="A26" s="58" t="s">
        <v>650</v>
      </c>
      <c r="B26" s="39"/>
      <c r="C26" s="39"/>
      <c r="D26" s="39"/>
      <c r="E26" s="39"/>
      <c r="F26" s="39"/>
      <c r="G26" s="40"/>
    </row>
    <row r="27" spans="1:7" ht="120" customHeight="1">
      <c r="A27" s="36" t="s">
        <v>651</v>
      </c>
      <c r="B27" s="23" t="s">
        <v>652</v>
      </c>
      <c r="C27" s="3"/>
      <c r="D27" s="25" t="s">
        <v>18</v>
      </c>
      <c r="E27" s="23" t="s">
        <v>653</v>
      </c>
      <c r="F27" s="23" t="s">
        <v>654</v>
      </c>
      <c r="G27" s="3"/>
    </row>
    <row r="28" spans="1:7" ht="120" customHeight="1">
      <c r="A28" s="36" t="s">
        <v>655</v>
      </c>
      <c r="B28" s="23" t="s">
        <v>656</v>
      </c>
      <c r="C28" s="35" t="s">
        <v>657</v>
      </c>
      <c r="D28" s="25" t="s">
        <v>18</v>
      </c>
      <c r="E28" s="23" t="s">
        <v>658</v>
      </c>
      <c r="F28" s="23" t="s">
        <v>659</v>
      </c>
      <c r="G28" s="35" t="s">
        <v>660</v>
      </c>
    </row>
    <row r="29" spans="1:7" ht="62.1" customHeight="1">
      <c r="A29" s="36" t="s">
        <v>116</v>
      </c>
      <c r="B29" s="23" t="s">
        <v>661</v>
      </c>
      <c r="C29" s="35" t="s">
        <v>117</v>
      </c>
      <c r="D29" s="25" t="s">
        <v>18</v>
      </c>
      <c r="E29" s="23" t="s">
        <v>662</v>
      </c>
      <c r="F29" s="23" t="s">
        <v>663</v>
      </c>
      <c r="G29" s="35" t="s">
        <v>114</v>
      </c>
    </row>
    <row r="30" spans="1:7" ht="149.1" customHeight="1">
      <c r="A30" s="36" t="s">
        <v>216</v>
      </c>
      <c r="B30" s="23" t="s">
        <v>664</v>
      </c>
      <c r="C30" s="3"/>
      <c r="D30" s="25" t="s">
        <v>18</v>
      </c>
      <c r="E30" s="23" t="s">
        <v>665</v>
      </c>
      <c r="F30" s="23" t="s">
        <v>666</v>
      </c>
      <c r="G30" s="35" t="s">
        <v>214</v>
      </c>
    </row>
    <row r="31" spans="1:7" ht="90.95" customHeight="1">
      <c r="A31" s="36" t="s">
        <v>194</v>
      </c>
      <c r="B31" s="23" t="s">
        <v>667</v>
      </c>
      <c r="C31" s="35" t="s">
        <v>50</v>
      </c>
      <c r="D31" s="25" t="s">
        <v>18</v>
      </c>
      <c r="E31" s="23" t="s">
        <v>668</v>
      </c>
      <c r="F31" s="23" t="s">
        <v>669</v>
      </c>
      <c r="G31" s="35" t="s">
        <v>670</v>
      </c>
    </row>
    <row r="32" spans="1:7" ht="15" customHeight="1">
      <c r="A32" s="58" t="s">
        <v>671</v>
      </c>
      <c r="B32" s="39"/>
      <c r="C32" s="39"/>
      <c r="D32" s="39"/>
      <c r="E32" s="39"/>
      <c r="F32" s="39"/>
      <c r="G32" s="40"/>
    </row>
    <row r="33" spans="1:7" ht="120" customHeight="1">
      <c r="A33" s="36" t="s">
        <v>672</v>
      </c>
      <c r="B33" s="23" t="s">
        <v>673</v>
      </c>
      <c r="C33" s="3"/>
      <c r="D33" s="25" t="s">
        <v>18</v>
      </c>
      <c r="E33" s="23" t="s">
        <v>674</v>
      </c>
      <c r="F33" s="23" t="s">
        <v>675</v>
      </c>
      <c r="G33" s="35" t="s">
        <v>252</v>
      </c>
    </row>
    <row r="34" spans="1:7" ht="105.6" customHeight="1">
      <c r="A34" s="36" t="s">
        <v>157</v>
      </c>
      <c r="B34" s="23" t="s">
        <v>676</v>
      </c>
      <c r="C34" s="3"/>
      <c r="D34" s="25" t="s">
        <v>18</v>
      </c>
      <c r="E34" s="23" t="s">
        <v>677</v>
      </c>
      <c r="F34" s="23" t="s">
        <v>678</v>
      </c>
      <c r="G34" s="35" t="s">
        <v>679</v>
      </c>
    </row>
    <row r="35" spans="1:7" ht="120" customHeight="1">
      <c r="A35" s="36" t="s">
        <v>243</v>
      </c>
      <c r="B35" s="23" t="s">
        <v>680</v>
      </c>
      <c r="C35" s="35" t="s">
        <v>244</v>
      </c>
      <c r="D35" s="25" t="s">
        <v>18</v>
      </c>
      <c r="E35" s="23" t="s">
        <v>681</v>
      </c>
      <c r="F35" s="23" t="s">
        <v>682</v>
      </c>
      <c r="G35" s="35" t="s">
        <v>683</v>
      </c>
    </row>
    <row r="36" spans="1:7" ht="15" customHeight="1">
      <c r="A36" s="58" t="s">
        <v>684</v>
      </c>
      <c r="B36" s="39"/>
      <c r="C36" s="39"/>
      <c r="D36" s="39"/>
      <c r="E36" s="39"/>
      <c r="F36" s="39"/>
      <c r="G36" s="40"/>
    </row>
    <row r="37" spans="1:7" ht="120" customHeight="1">
      <c r="A37" s="36" t="s">
        <v>200</v>
      </c>
      <c r="B37" s="23" t="s">
        <v>685</v>
      </c>
      <c r="C37" s="3"/>
      <c r="D37" s="25" t="s">
        <v>18</v>
      </c>
      <c r="E37" s="23" t="s">
        <v>686</v>
      </c>
      <c r="F37" s="23" t="s">
        <v>687</v>
      </c>
      <c r="G37" s="35" t="s">
        <v>198</v>
      </c>
    </row>
    <row r="38" spans="1:7" ht="134.44999999999999" customHeight="1">
      <c r="A38" s="36" t="s">
        <v>206</v>
      </c>
      <c r="B38" s="23" t="s">
        <v>688</v>
      </c>
      <c r="C38" s="3"/>
      <c r="D38" s="25" t="s">
        <v>18</v>
      </c>
      <c r="E38" s="23" t="s">
        <v>689</v>
      </c>
      <c r="F38" s="23" t="s">
        <v>690</v>
      </c>
      <c r="G38" s="35" t="s">
        <v>204</v>
      </c>
    </row>
    <row r="39" spans="1:7" ht="120" customHeight="1">
      <c r="A39" s="36" t="s">
        <v>261</v>
      </c>
      <c r="B39" s="23" t="s">
        <v>691</v>
      </c>
      <c r="C39" s="3"/>
      <c r="D39" s="25" t="s">
        <v>18</v>
      </c>
      <c r="E39" s="23" t="s">
        <v>692</v>
      </c>
      <c r="F39" s="23" t="s">
        <v>693</v>
      </c>
      <c r="G39" s="35" t="s">
        <v>694</v>
      </c>
    </row>
  </sheetData>
  <mergeCells count="8">
    <mergeCell ref="A32:G32"/>
    <mergeCell ref="A36:G36"/>
    <mergeCell ref="A14:G14"/>
    <mergeCell ref="A1:G1"/>
    <mergeCell ref="A9:G9"/>
    <mergeCell ref="A4:G4"/>
    <mergeCell ref="A20:G20"/>
    <mergeCell ref="A26:G26"/>
  </mergeCells>
  <conditionalFormatting sqref="D4:D39">
    <cfRule type="cellIs" dxfId="15" priority="1" operator="equal">
      <formula>"Completed"</formula>
    </cfRule>
    <cfRule type="cellIs" dxfId="14" priority="2" operator="equal">
      <formula>"CA Implemented"</formula>
    </cfRule>
    <cfRule type="cellIs" dxfId="13" priority="3" operator="equal">
      <formula>"In Progress"</formula>
    </cfRule>
    <cfRule type="cellIs" dxfId="12" priority="4" operator="equal">
      <formula>"CA In Progress"</formula>
    </cfRule>
    <cfRule type="cellIs" dxfId="11" priority="5" operator="equal">
      <formula>"Partial"</formula>
    </cfRule>
    <cfRule type="cellIs" dxfId="10" priority="6" operator="equal">
      <formula>"Ongoing"</formula>
    </cfRule>
    <cfRule type="cellIs" dxfId="9" priority="7" operator="equal">
      <formula>"Pending"</formula>
    </cfRule>
    <cfRule type="cellIs" dxfId="8" priority="8" operator="equal">
      <formula>"Overdue"</formula>
    </cfRule>
  </conditionalFormatting>
  <dataValidations count="1">
    <dataValidation type="list" sqref="D4:D39" xr:uid="{00000000-0002-0000-0400-000000000000}">
      <formula1>"Completed,In Progress,Partial,Pending,N/A"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G28"/>
  <sheetViews>
    <sheetView showGridLines="0" zoomScaleNormal="100" workbookViewId="0">
      <pane ySplit="10" topLeftCell="A11" activePane="bottomLeft" state="frozen"/>
      <selection pane="bottomLeft" activeCell="G21" sqref="G21"/>
    </sheetView>
  </sheetViews>
  <sheetFormatPr defaultColWidth="8.7109375" defaultRowHeight="15" customHeight="1"/>
  <cols>
    <col min="1" max="1" width="20.85546875" customWidth="1"/>
    <col min="2" max="2" width="40" customWidth="1"/>
    <col min="3" max="3" width="20" customWidth="1"/>
    <col min="4" max="5" width="13" customWidth="1"/>
    <col min="6" max="6" width="12" customWidth="1"/>
    <col min="7" max="7" width="30" customWidth="1"/>
  </cols>
  <sheetData>
    <row r="1" spans="1:7" ht="18.75" customHeight="1">
      <c r="A1" s="41" t="s">
        <v>695</v>
      </c>
      <c r="B1" s="42"/>
      <c r="C1" s="42"/>
      <c r="D1" s="42"/>
      <c r="E1" s="42"/>
      <c r="F1" s="42"/>
      <c r="G1" s="42"/>
    </row>
    <row r="2" spans="1:7" ht="15" customHeight="1">
      <c r="A2" s="63" t="s">
        <v>696</v>
      </c>
      <c r="B2" s="42"/>
      <c r="C2" s="42"/>
      <c r="D2" s="42"/>
      <c r="E2" s="42"/>
      <c r="F2" s="42"/>
      <c r="G2" s="42"/>
    </row>
    <row r="4" spans="1:7" ht="15" customHeight="1">
      <c r="A4" s="24" t="s">
        <v>2</v>
      </c>
      <c r="B4" s="67" t="s">
        <v>697</v>
      </c>
      <c r="C4" s="44"/>
      <c r="D4" s="48"/>
    </row>
    <row r="5" spans="1:7" ht="62.1" customHeight="1">
      <c r="A5" s="37" t="s">
        <v>698</v>
      </c>
      <c r="B5" s="67" t="s">
        <v>699</v>
      </c>
      <c r="C5" s="44"/>
      <c r="D5" s="48"/>
    </row>
    <row r="6" spans="1:7" ht="15" customHeight="1">
      <c r="A6" s="24" t="s">
        <v>700</v>
      </c>
      <c r="B6" s="67" t="s">
        <v>7</v>
      </c>
      <c r="C6" s="44"/>
      <c r="D6" s="48"/>
    </row>
    <row r="7" spans="1:7" ht="15" customHeight="1">
      <c r="A7" s="24" t="s">
        <v>701</v>
      </c>
      <c r="B7" s="66" t="s">
        <v>702</v>
      </c>
      <c r="C7" s="44"/>
      <c r="D7" s="48"/>
    </row>
    <row r="8" spans="1:7" ht="15" customHeight="1">
      <c r="A8" s="24" t="s">
        <v>703</v>
      </c>
      <c r="B8" s="66" t="s">
        <v>704</v>
      </c>
      <c r="C8" s="44"/>
      <c r="D8" s="48"/>
    </row>
    <row r="10" spans="1:7" ht="15" customHeight="1">
      <c r="A10" s="5" t="s">
        <v>68</v>
      </c>
      <c r="B10" s="5" t="s">
        <v>705</v>
      </c>
      <c r="C10" s="5" t="s">
        <v>73</v>
      </c>
      <c r="D10" s="5" t="s">
        <v>74</v>
      </c>
      <c r="E10" s="5" t="s">
        <v>75</v>
      </c>
      <c r="F10" s="5" t="s">
        <v>76</v>
      </c>
      <c r="G10" s="5" t="s">
        <v>706</v>
      </c>
    </row>
    <row r="11" spans="1:7" ht="15" customHeight="1">
      <c r="A11" s="58" t="s">
        <v>707</v>
      </c>
      <c r="B11" s="39"/>
      <c r="C11" s="39"/>
      <c r="D11" s="39"/>
      <c r="E11" s="39"/>
      <c r="F11" s="39"/>
      <c r="G11" s="40"/>
    </row>
    <row r="12" spans="1:7" ht="33" customHeight="1">
      <c r="A12" s="35" t="s">
        <v>708</v>
      </c>
      <c r="B12" s="23" t="s">
        <v>709</v>
      </c>
      <c r="C12" s="23" t="s">
        <v>84</v>
      </c>
      <c r="D12" s="35" t="s">
        <v>169</v>
      </c>
      <c r="E12" s="35" t="s">
        <v>182</v>
      </c>
      <c r="F12" s="25" t="s">
        <v>18</v>
      </c>
      <c r="G12" s="23" t="s">
        <v>710</v>
      </c>
    </row>
    <row r="13" spans="1:7" ht="33" customHeight="1">
      <c r="A13" s="35" t="s">
        <v>711</v>
      </c>
      <c r="B13" s="23" t="s">
        <v>712</v>
      </c>
      <c r="C13" s="23" t="s">
        <v>84</v>
      </c>
      <c r="D13" s="35" t="s">
        <v>182</v>
      </c>
      <c r="E13" s="35" t="s">
        <v>195</v>
      </c>
      <c r="F13" s="25" t="s">
        <v>18</v>
      </c>
      <c r="G13" s="23" t="s">
        <v>710</v>
      </c>
    </row>
    <row r="14" spans="1:7" ht="33" customHeight="1">
      <c r="A14" s="35" t="s">
        <v>713</v>
      </c>
      <c r="B14" s="23" t="s">
        <v>714</v>
      </c>
      <c r="C14" s="23" t="s">
        <v>84</v>
      </c>
      <c r="D14" s="35" t="s">
        <v>195</v>
      </c>
      <c r="E14" s="35" t="s">
        <v>211</v>
      </c>
      <c r="F14" s="25" t="s">
        <v>18</v>
      </c>
      <c r="G14" s="23" t="s">
        <v>710</v>
      </c>
    </row>
    <row r="15" spans="1:7" ht="21.95" customHeight="1">
      <c r="A15" s="35" t="s">
        <v>715</v>
      </c>
      <c r="B15" s="23" t="s">
        <v>716</v>
      </c>
      <c r="C15" s="23" t="s">
        <v>84</v>
      </c>
      <c r="D15" s="35" t="s">
        <v>211</v>
      </c>
      <c r="E15" s="35" t="s">
        <v>224</v>
      </c>
      <c r="F15" s="25" t="s">
        <v>18</v>
      </c>
      <c r="G15" s="23" t="s">
        <v>710</v>
      </c>
    </row>
    <row r="16" spans="1:7" ht="15" customHeight="1">
      <c r="A16" s="58" t="s">
        <v>717</v>
      </c>
      <c r="B16" s="39"/>
      <c r="C16" s="39"/>
      <c r="D16" s="39"/>
      <c r="E16" s="39"/>
      <c r="F16" s="39"/>
      <c r="G16" s="40"/>
    </row>
    <row r="17" spans="1:7" ht="33" customHeight="1">
      <c r="A17" s="35" t="s">
        <v>718</v>
      </c>
      <c r="B17" s="23" t="s">
        <v>719</v>
      </c>
      <c r="C17" s="23" t="s">
        <v>84</v>
      </c>
      <c r="D17" s="35" t="s">
        <v>269</v>
      </c>
      <c r="E17" s="35" t="s">
        <v>282</v>
      </c>
      <c r="F17" s="25" t="s">
        <v>18</v>
      </c>
      <c r="G17" s="23" t="s">
        <v>720</v>
      </c>
    </row>
    <row r="18" spans="1:7" ht="33" customHeight="1">
      <c r="A18" s="35" t="s">
        <v>721</v>
      </c>
      <c r="B18" s="23" t="s">
        <v>722</v>
      </c>
      <c r="C18" s="23" t="s">
        <v>84</v>
      </c>
      <c r="D18" s="35" t="s">
        <v>269</v>
      </c>
      <c r="E18" s="35" t="s">
        <v>289</v>
      </c>
      <c r="F18" s="25" t="s">
        <v>18</v>
      </c>
      <c r="G18" s="23"/>
    </row>
    <row r="19" spans="1:7" ht="33" customHeight="1">
      <c r="A19" s="35" t="s">
        <v>723</v>
      </c>
      <c r="B19" s="23" t="s">
        <v>724</v>
      </c>
      <c r="C19" s="23" t="s">
        <v>84</v>
      </c>
      <c r="D19" s="35" t="s">
        <v>269</v>
      </c>
      <c r="E19" s="35" t="s">
        <v>725</v>
      </c>
      <c r="F19" s="25" t="s">
        <v>18</v>
      </c>
      <c r="G19" s="23" t="s">
        <v>726</v>
      </c>
    </row>
    <row r="20" spans="1:7" ht="21.95" customHeight="1">
      <c r="A20" s="35" t="s">
        <v>727</v>
      </c>
      <c r="B20" s="23" t="s">
        <v>728</v>
      </c>
      <c r="C20" s="23" t="s">
        <v>84</v>
      </c>
      <c r="D20" s="35" t="s">
        <v>269</v>
      </c>
      <c r="E20" s="35" t="s">
        <v>282</v>
      </c>
      <c r="F20" s="25" t="s">
        <v>18</v>
      </c>
      <c r="G20" s="23"/>
    </row>
    <row r="21" spans="1:7" ht="47.45" customHeight="1">
      <c r="A21" s="35" t="s">
        <v>729</v>
      </c>
      <c r="B21" s="23" t="s">
        <v>730</v>
      </c>
      <c r="C21" s="23" t="s">
        <v>731</v>
      </c>
      <c r="D21" s="35" t="s">
        <v>282</v>
      </c>
      <c r="E21" s="35" t="s">
        <v>320</v>
      </c>
      <c r="F21" s="25" t="s">
        <v>19</v>
      </c>
      <c r="G21" s="23" t="s">
        <v>732</v>
      </c>
    </row>
    <row r="22" spans="1:7" ht="33" customHeight="1">
      <c r="A22" s="35" t="s">
        <v>733</v>
      </c>
      <c r="B22" s="23" t="s">
        <v>734</v>
      </c>
      <c r="C22" s="23" t="s">
        <v>84</v>
      </c>
      <c r="D22" s="35" t="s">
        <v>269</v>
      </c>
      <c r="E22" s="35" t="s">
        <v>320</v>
      </c>
      <c r="F22" s="25" t="s">
        <v>19</v>
      </c>
      <c r="G22" s="23" t="s">
        <v>735</v>
      </c>
    </row>
    <row r="23" spans="1:7" ht="15" customHeight="1">
      <c r="A23" s="58" t="s">
        <v>736</v>
      </c>
      <c r="B23" s="39"/>
      <c r="C23" s="39"/>
      <c r="D23" s="39"/>
      <c r="E23" s="39"/>
      <c r="F23" s="39"/>
      <c r="G23" s="40"/>
    </row>
    <row r="24" spans="1:7" ht="21.95" customHeight="1">
      <c r="A24" s="35" t="s">
        <v>737</v>
      </c>
      <c r="B24" s="23" t="s">
        <v>738</v>
      </c>
      <c r="C24" s="23" t="s">
        <v>84</v>
      </c>
      <c r="D24" s="35" t="s">
        <v>346</v>
      </c>
      <c r="E24" s="35" t="s">
        <v>739</v>
      </c>
      <c r="F24" s="25" t="s">
        <v>19</v>
      </c>
      <c r="G24" s="23" t="s">
        <v>740</v>
      </c>
    </row>
    <row r="25" spans="1:7" ht="21.95" customHeight="1">
      <c r="A25" s="35" t="s">
        <v>741</v>
      </c>
      <c r="B25" s="23" t="s">
        <v>742</v>
      </c>
      <c r="C25" s="23" t="s">
        <v>84</v>
      </c>
      <c r="D25" s="35" t="s">
        <v>739</v>
      </c>
      <c r="E25" s="35" t="s">
        <v>743</v>
      </c>
      <c r="F25" s="25" t="s">
        <v>20</v>
      </c>
      <c r="G25" s="23"/>
    </row>
    <row r="26" spans="1:7" ht="21.95" customHeight="1">
      <c r="A26" s="35" t="s">
        <v>744</v>
      </c>
      <c r="B26" s="23" t="s">
        <v>745</v>
      </c>
      <c r="C26" s="23" t="s">
        <v>84</v>
      </c>
      <c r="D26" s="35" t="s">
        <v>743</v>
      </c>
      <c r="E26" s="35" t="s">
        <v>746</v>
      </c>
      <c r="F26" s="25" t="s">
        <v>20</v>
      </c>
      <c r="G26" s="23" t="s">
        <v>747</v>
      </c>
    </row>
    <row r="27" spans="1:7" ht="21.95" customHeight="1">
      <c r="A27" s="35" t="s">
        <v>748</v>
      </c>
      <c r="B27" s="23" t="s">
        <v>749</v>
      </c>
      <c r="C27" s="23" t="s">
        <v>84</v>
      </c>
      <c r="D27" s="35" t="s">
        <v>750</v>
      </c>
      <c r="E27" s="35" t="s">
        <v>751</v>
      </c>
      <c r="F27" s="25" t="s">
        <v>20</v>
      </c>
      <c r="G27" s="23"/>
    </row>
    <row r="28" spans="1:7" ht="21.95" customHeight="1">
      <c r="A28" s="35" t="s">
        <v>752</v>
      </c>
      <c r="B28" s="23" t="s">
        <v>753</v>
      </c>
      <c r="C28" s="23" t="s">
        <v>84</v>
      </c>
      <c r="D28" s="35" t="s">
        <v>751</v>
      </c>
      <c r="E28" s="35" t="s">
        <v>725</v>
      </c>
      <c r="F28" s="25" t="s">
        <v>20</v>
      </c>
      <c r="G28" s="23" t="s">
        <v>754</v>
      </c>
    </row>
  </sheetData>
  <mergeCells count="10">
    <mergeCell ref="A1:G1"/>
    <mergeCell ref="A11:G11"/>
    <mergeCell ref="B8:D8"/>
    <mergeCell ref="B4:D4"/>
    <mergeCell ref="A16:G16"/>
    <mergeCell ref="A2:G2"/>
    <mergeCell ref="B7:D7"/>
    <mergeCell ref="B6:D6"/>
    <mergeCell ref="A23:G23"/>
    <mergeCell ref="B5:D5"/>
  </mergeCells>
  <conditionalFormatting sqref="F4:F28">
    <cfRule type="cellIs" dxfId="7" priority="1" operator="equal">
      <formula>"Completed"</formula>
    </cfRule>
    <cfRule type="cellIs" dxfId="6" priority="2" operator="equal">
      <formula>"CA Implemented"</formula>
    </cfRule>
    <cfRule type="cellIs" dxfId="5" priority="3" operator="equal">
      <formula>"In Progress"</formula>
    </cfRule>
    <cfRule type="cellIs" dxfId="4" priority="4" operator="equal">
      <formula>"CA In Progress"</formula>
    </cfRule>
    <cfRule type="cellIs" dxfId="3" priority="5" operator="equal">
      <formula>"Partial"</formula>
    </cfRule>
    <cfRule type="cellIs" dxfId="2" priority="6" operator="equal">
      <formula>"Ongoing"</formula>
    </cfRule>
    <cfRule type="cellIs" dxfId="1" priority="7" operator="equal">
      <formula>"Pending"</formula>
    </cfRule>
    <cfRule type="cellIs" dxfId="0" priority="8" operator="equal">
      <formula>"Overdue"</formula>
    </cfRule>
  </conditionalFormatting>
  <dataValidations count="1">
    <dataValidation type="list" sqref="F11:F28" xr:uid="{00000000-0002-0000-0500-000000000000}">
      <formula1>"Completed,In Progress,Pending,Overdue,N/A"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Master Programme</vt:lpstr>
      <vt:lpstr>Shell Findings</vt:lpstr>
      <vt:lpstr>Shell OFIs</vt:lpstr>
      <vt:lpstr>45001 Clauses</vt:lpstr>
      <vt:lpstr>MS 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Watts</cp:lastModifiedBy>
  <cp:revision>0</cp:revision>
  <dcterms:created xsi:type="dcterms:W3CDTF">2026-03-23T12:42:36Z</dcterms:created>
  <dcterms:modified xsi:type="dcterms:W3CDTF">2026-04-23T12:34:41Z</dcterms:modified>
  <dc:language>en-US</dc:language>
</cp:coreProperties>
</file>