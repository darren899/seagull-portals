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A Information" sheetId="1" state="visible" r:id="rId1"/>
    <sheet xmlns:r="http://schemas.openxmlformats.org/officeDocument/2006/relationships" name="Methodology" sheetId="2" state="visible" r:id="rId2"/>
    <sheet xmlns:r="http://schemas.openxmlformats.org/officeDocument/2006/relationships" name="Risk Assessment" sheetId="3" state="visible" r:id="rId3"/>
    <sheet xmlns:r="http://schemas.openxmlformats.org/officeDocument/2006/relationships" name="Risk Dashboard"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1">
    <font>
      <name val="Calibri"/>
      <charset val="1"/>
      <family val="2"/>
      <color theme="1"/>
      <sz val="11"/>
    </font>
    <font>
      <name val="Arial"/>
      <family val="0"/>
      <sz val="10"/>
    </font>
    <font>
      <name val="Arial"/>
      <family val="0"/>
      <sz val="10"/>
    </font>
    <font>
      <name val="Arial"/>
      <family val="0"/>
      <sz val="10"/>
    </font>
    <font>
      <name val="Avenir Next LT Pro"/>
      <charset val="1"/>
      <family val="0"/>
      <b val="1"/>
      <color rgb="FF003C72"/>
      <sz val="20"/>
    </font>
    <font>
      <name val="Avenir Next LT Pro"/>
      <charset val="1"/>
      <family val="0"/>
      <b val="1"/>
      <color rgb="FFFFFFFF"/>
      <sz val="12"/>
    </font>
    <font>
      <name val="Aptos"/>
      <charset val="1"/>
      <family val="0"/>
      <b val="1"/>
      <color rgb="FF003C72"/>
      <sz val="9"/>
    </font>
    <font>
      <name val="Aptos"/>
      <charset val="1"/>
      <family val="0"/>
      <sz val="9"/>
    </font>
    <font>
      <name val="Avenir Next LT Pro"/>
      <charset val="1"/>
      <family val="0"/>
      <b val="1"/>
      <color rgb="FF003C72"/>
      <sz val="12"/>
    </font>
    <font>
      <name val="Aptos"/>
      <charset val="1"/>
      <family val="0"/>
      <b val="1"/>
      <color rgb="FFFFFFFF"/>
      <sz val="9"/>
    </font>
    <font>
      <name val="Aptos"/>
      <charset val="1"/>
      <family val="0"/>
      <b val="1"/>
      <sz val="9"/>
    </font>
    <font>
      <name val="Aptos"/>
      <charset val="1"/>
      <family val="0"/>
      <b val="1"/>
      <color rgb="FF000000"/>
      <sz val="9"/>
    </font>
    <font>
      <name val="Aptos"/>
      <charset val="1"/>
      <family val="0"/>
      <b val="1"/>
      <color rgb="FF003C72"/>
      <sz val="14"/>
    </font>
    <font>
      <name val="Aptos"/>
      <charset val="1"/>
      <family val="0"/>
      <b val="1"/>
      <color rgb="FF003C72"/>
      <sz val="10"/>
    </font>
    <font>
      <name val="Aptos"/>
      <color rgb="00FFFFFF"/>
      <sz val="9"/>
    </font>
    <font>
      <name val="Avenir Next LT Pro"/>
      <b val="1"/>
      <color rgb="00003C72"/>
      <sz val="12"/>
    </font>
    <font>
      <name val="Aptos"/>
      <sz val="9"/>
    </font>
    <font>
      <name val="Aptos"/>
      <color theme="1"/>
      <sz val="9"/>
    </font>
    <font>
      <name val="Aptos"/>
      <b val="1"/>
      <sz val="9"/>
    </font>
    <font>
      <name val="Avenir Next LT Pro"/>
      <b val="1"/>
      <color rgb="00003C72"/>
      <sz val="20"/>
    </font>
    <font>
      <name val="Avenir Next LT Pro"/>
      <b val="1"/>
      <color rgb="00FFFFFF"/>
      <sz val="12"/>
    </font>
  </fonts>
  <fills count="10">
    <fill>
      <patternFill/>
    </fill>
    <fill>
      <patternFill patternType="gray125"/>
    </fill>
    <fill>
      <patternFill patternType="solid">
        <fgColor rgb="FF003C72"/>
        <bgColor rgb="FF333399"/>
      </patternFill>
    </fill>
    <fill>
      <patternFill patternType="solid">
        <fgColor rgb="FFE6EDF5"/>
        <bgColor rgb="FFFFFFFF"/>
      </patternFill>
    </fill>
    <fill>
      <patternFill patternType="solid">
        <fgColor rgb="FF92D050"/>
        <bgColor rgb="FFC0C0C0"/>
      </patternFill>
    </fill>
    <fill>
      <patternFill patternType="solid">
        <fgColor rgb="FFFFB347"/>
        <bgColor rgb="FFFF9900"/>
      </patternFill>
    </fill>
    <fill>
      <patternFill patternType="solid">
        <fgColor rgb="FFFF4444"/>
        <bgColor rgb="FFFF8080"/>
      </patternFill>
    </fill>
    <fill>
      <patternFill patternType="solid">
        <fgColor rgb="FFCC0000"/>
        <bgColor rgb="FF800000"/>
      </patternFill>
    </fill>
    <fill>
      <patternFill patternType="solid">
        <fgColor rgb="00003C72"/>
        <bgColor rgb="00003C72"/>
      </patternFill>
    </fill>
    <fill>
      <patternFill patternType="solid">
        <fgColor rgb="00E6EDF5"/>
        <bgColor rgb="00E6EDF5"/>
      </patternFill>
    </fill>
  </fills>
  <borders count="25">
    <border>
      <left/>
      <right/>
      <top/>
      <bottom/>
      <diagonal/>
    </border>
    <border>
      <left style="medium">
        <color rgb="FF003C72"/>
      </left>
      <right style="medium">
        <color rgb="FF003C72"/>
      </right>
      <top style="medium">
        <color rgb="FF003C72"/>
      </top>
      <bottom style="medium">
        <color rgb="FF003C72"/>
      </bottom>
      <diagonal/>
    </border>
    <border>
      <left style="medium">
        <color rgb="FF003C72"/>
      </left>
      <right/>
      <top style="medium">
        <color rgb="FF003C72"/>
      </top>
      <bottom style="medium">
        <color rgb="FF003C72"/>
      </bottom>
      <diagonal/>
    </border>
    <border>
      <left style="thin">
        <color rgb="FF003C72"/>
      </left>
      <right style="thin">
        <color rgb="FF003C72"/>
      </right>
      <top style="thin">
        <color rgb="FF003C72"/>
      </top>
      <bottom style="thin">
        <color rgb="FF003C72"/>
      </bottom>
      <diagonal/>
    </border>
    <border>
      <left style="thin">
        <color rgb="FF003C72"/>
      </left>
      <right/>
      <top style="thin">
        <color rgb="FF003C72"/>
      </top>
      <bottom style="thin">
        <color rgb="FF003C72"/>
      </bottom>
      <diagonal/>
    </border>
    <border>
      <left/>
      <right/>
      <top/>
      <bottom style="medium">
        <color rgb="FF003C72"/>
      </bottom>
      <diagonal/>
    </border>
    <border>
      <left/>
      <right/>
      <top style="medium">
        <color rgb="FF003C72"/>
      </top>
      <bottom/>
      <diagonal/>
    </border>
    <border>
      <left/>
      <right/>
      <top style="medium">
        <color rgb="FF003C72"/>
      </top>
      <bottom style="medium">
        <color rgb="FF003C72"/>
      </bottom>
      <diagonal/>
    </border>
    <border>
      <left/>
      <right/>
      <top style="thin">
        <color rgb="FF003C72"/>
      </top>
      <bottom/>
      <diagonal/>
    </border>
    <border>
      <left/>
      <right style="thin">
        <color rgb="FF003C72"/>
      </right>
      <top style="thin">
        <color rgb="FF003C72"/>
      </top>
      <bottom/>
      <diagonal/>
    </border>
    <border>
      <left/>
      <right style="thin">
        <color rgb="FF003C72"/>
      </right>
      <top style="thin">
        <color rgb="FF003C72"/>
      </top>
      <bottom style="thin">
        <color rgb="FF003C72"/>
      </bottom>
      <diagonal/>
    </border>
    <border>
      <left/>
      <right/>
      <top style="thin">
        <color rgb="FF003C72"/>
      </top>
      <bottom style="thin">
        <color rgb="FF003C72"/>
      </bottom>
      <diagonal/>
    </border>
    <border>
      <left style="thin">
        <color rgb="00003C72"/>
      </left>
      <right style="thin">
        <color rgb="00003C72"/>
      </right>
      <top style="thin">
        <color rgb="00003C72"/>
      </top>
      <bottom style="thin">
        <color rgb="00003C72"/>
      </bottom>
    </border>
    <border/>
    <border>
      <left style="thin">
        <color rgb="00003C72"/>
      </left>
      <right/>
      <top/>
      <bottom/>
      <diagonal/>
    </border>
    <border>
      <left style="thin">
        <color rgb="00003C72"/>
      </left>
      <right style="thin">
        <color rgb="00003C72"/>
      </right>
      <top/>
      <bottom/>
      <diagonal/>
    </border>
    <border>
      <left style="thin">
        <color rgb="00003C72"/>
      </left>
      <right style="thin">
        <color rgb="00003C72"/>
      </right>
      <top/>
      <bottom style="thin">
        <color rgb="00003C72"/>
      </bottom>
      <diagonal/>
    </border>
    <border>
      <left/>
      <right/>
      <top style="thin">
        <color rgb="00003C72"/>
      </top>
      <bottom/>
      <diagonal/>
    </border>
    <border>
      <left/>
      <right style="thin">
        <color rgb="00003C72"/>
      </right>
      <top style="thin">
        <color rgb="00003C72"/>
      </top>
      <bottom/>
      <diagonal/>
    </border>
    <border>
      <left/>
      <right/>
      <top style="thin">
        <color rgb="00003C72"/>
      </top>
      <bottom style="thin">
        <color rgb="00003C72"/>
      </bottom>
      <diagonal/>
    </border>
    <border>
      <left/>
      <right style="thin">
        <color rgb="00003C72"/>
      </right>
      <top style="thin">
        <color rgb="00003C72"/>
      </top>
      <bottom style="thin">
        <color rgb="00003C72"/>
      </bottom>
      <diagonal/>
    </border>
    <border>
      <left style="medium">
        <color rgb="00003C72"/>
      </left>
      <right style="medium">
        <color rgb="00003C72"/>
      </right>
      <top style="medium">
        <color rgb="00003C72"/>
      </top>
      <bottom style="medium">
        <color rgb="00003C72"/>
      </bottom>
    </border>
    <border>
      <left style="medium">
        <color rgb="00003C72"/>
      </left>
      <top style="medium">
        <color rgb="00003C72"/>
      </top>
      <bottom style="medium">
        <color rgb="00003C72"/>
      </bottom>
    </border>
    <border>
      <top style="medium">
        <color rgb="00003C72"/>
      </top>
      <bottom style="medium">
        <color rgb="00003C72"/>
      </bottom>
    </border>
    <border>
      <right style="medium">
        <color rgb="00003C72"/>
      </right>
      <top style="medium">
        <color rgb="00003C72"/>
      </top>
      <bottom style="medium">
        <color rgb="00003C72"/>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 applyAlignment="1" pivotButton="0" quotePrefix="0" xfId="0">
      <alignment horizontal="general" vertical="bottom"/>
    </xf>
    <xf numFmtId="0" fontId="7" fillId="0" borderId="1" applyAlignment="1" pivotButton="0" quotePrefix="0" xfId="0">
      <alignment horizontal="left" vertical="center" wrapText="1"/>
    </xf>
    <xf numFmtId="0" fontId="7" fillId="0" borderId="2" applyAlignment="1" pivotButton="0" quotePrefix="0" xfId="0">
      <alignment horizontal="left" vertical="center" wrapText="1"/>
    </xf>
    <xf numFmtId="0" fontId="8" fillId="0" borderId="0" applyAlignment="1" pivotButton="0" quotePrefix="0" xfId="0">
      <alignment horizontal="center" vertical="center" wrapText="1"/>
    </xf>
    <xf numFmtId="0" fontId="9" fillId="2" borderId="0" applyAlignment="1" pivotButton="0" quotePrefix="0" xfId="0">
      <alignment horizontal="center" vertical="center" wrapText="1"/>
    </xf>
    <xf numFmtId="0" fontId="0" fillId="2" borderId="0" applyAlignment="1" pivotButton="0" quotePrefix="0" xfId="0">
      <alignment horizontal="general" vertical="bottom"/>
    </xf>
    <xf numFmtId="0" fontId="7" fillId="3" borderId="3" applyAlignment="1" pivotButton="0" quotePrefix="0" xfId="0">
      <alignment horizontal="center" vertical="center" wrapText="1"/>
    </xf>
    <xf numFmtId="0" fontId="7" fillId="3" borderId="3" applyAlignment="1" pivotButton="0" quotePrefix="0" xfId="0">
      <alignment horizontal="left" vertical="center" wrapText="1"/>
    </xf>
    <xf numFmtId="0" fontId="7" fillId="0" borderId="3" applyAlignment="1" pivotButton="0" quotePrefix="0" xfId="0">
      <alignment horizontal="center" vertical="center" wrapText="1"/>
    </xf>
    <xf numFmtId="0" fontId="7" fillId="0" borderId="3" applyAlignment="1" pivotButton="0" quotePrefix="0" xfId="0">
      <alignment horizontal="left" vertical="center" wrapText="1"/>
    </xf>
    <xf numFmtId="0" fontId="10" fillId="0" borderId="0" applyAlignment="1" pivotButton="0" quotePrefix="0" xfId="0">
      <alignment horizontal="general" vertical="bottom"/>
    </xf>
    <xf numFmtId="0" fontId="11" fillId="4" borderId="3" applyAlignment="1" pivotButton="0" quotePrefix="0" xfId="0">
      <alignment horizontal="center" vertical="center" wrapText="1"/>
    </xf>
    <xf numFmtId="0" fontId="11" fillId="5" borderId="3" applyAlignment="1" pivotButton="0" quotePrefix="0" xfId="0">
      <alignment horizontal="center" vertical="center" wrapText="1"/>
    </xf>
    <xf numFmtId="0" fontId="9" fillId="6" borderId="3" applyAlignment="1" pivotButton="0" quotePrefix="0" xfId="0">
      <alignment horizontal="center" vertical="center" wrapText="1"/>
    </xf>
    <xf numFmtId="0" fontId="9" fillId="7" borderId="3" applyAlignment="1" pivotButton="0" quotePrefix="0" xfId="0">
      <alignment horizontal="center" vertical="center" wrapText="1"/>
    </xf>
    <xf numFmtId="0" fontId="11" fillId="4" borderId="0" applyAlignment="1" pivotButton="0" quotePrefix="0" xfId="0">
      <alignment horizontal="center" vertical="center" wrapText="1"/>
    </xf>
    <xf numFmtId="0" fontId="7" fillId="0" borderId="4" applyAlignment="1" pivotButton="0" quotePrefix="0" xfId="0">
      <alignment horizontal="left" vertical="center" wrapText="1"/>
    </xf>
    <xf numFmtId="0" fontId="11" fillId="5" borderId="0" applyAlignment="1" pivotButton="0" quotePrefix="0" xfId="0">
      <alignment horizontal="center" vertical="center" wrapText="1"/>
    </xf>
    <xf numFmtId="0" fontId="9" fillId="6" borderId="0" applyAlignment="1" pivotButton="0" quotePrefix="0" xfId="0">
      <alignment horizontal="center" vertical="center" wrapText="1"/>
    </xf>
    <xf numFmtId="0" fontId="9" fillId="7" borderId="0" applyAlignment="1" pivotButton="0" quotePrefix="0" xfId="0">
      <alignment horizontal="center" vertical="center" wrapText="1"/>
    </xf>
    <xf numFmtId="0" fontId="9" fillId="2" borderId="3" applyAlignment="1" pivotButton="0" quotePrefix="0" xfId="0">
      <alignment horizontal="center" vertical="center" wrapText="1"/>
    </xf>
    <xf numFmtId="0" fontId="0" fillId="0" borderId="3" applyAlignment="1" pivotButton="0" quotePrefix="0" xfId="0">
      <alignment horizontal="center" vertical="center" wrapText="1"/>
    </xf>
    <xf numFmtId="0" fontId="0" fillId="0" borderId="3" applyAlignment="1" pivotButton="0" quotePrefix="0" xfId="0">
      <alignment horizontal="left" vertical="center" wrapText="1"/>
    </xf>
    <xf numFmtId="0" fontId="0" fillId="3" borderId="3" applyAlignment="1" pivotButton="0" quotePrefix="0" xfId="0">
      <alignment horizontal="center" vertical="center" wrapText="1"/>
    </xf>
    <xf numFmtId="0" fontId="0" fillId="3" borderId="3" applyAlignment="1" pivotButton="0" quotePrefix="0" xfId="0">
      <alignment horizontal="left" vertical="center" wrapText="1"/>
    </xf>
    <xf numFmtId="0" fontId="6" fillId="0" borderId="0" applyAlignment="1" pivotButton="0" quotePrefix="0" xfId="0">
      <alignment horizontal="center" vertical="bottom"/>
    </xf>
    <xf numFmtId="0" fontId="12" fillId="0" borderId="5" applyAlignment="1" pivotButton="0" quotePrefix="0" xfId="0">
      <alignment horizontal="center" vertical="bottom"/>
    </xf>
    <xf numFmtId="0" fontId="6" fillId="0" borderId="0" applyAlignment="1" pivotButton="0" quotePrefix="0" xfId="0">
      <alignment horizontal="general" vertical="bottom"/>
    </xf>
    <xf numFmtId="164" fontId="12" fillId="0" borderId="0" applyAlignment="1" pivotButton="0" quotePrefix="0" xfId="0">
      <alignment horizontal="center" vertical="bottom"/>
    </xf>
    <xf numFmtId="0" fontId="12" fillId="0" borderId="0" applyAlignment="1" pivotButton="0" quotePrefix="0" xfId="0">
      <alignment horizontal="center" vertical="bottom"/>
    </xf>
    <xf numFmtId="0" fontId="13" fillId="0" borderId="0" applyAlignment="1" pivotButton="0" quotePrefix="0" xfId="0">
      <alignment horizontal="center" vertical="bottom"/>
    </xf>
    <xf numFmtId="0" fontId="10" fillId="0" borderId="3" applyAlignment="1" pivotButton="0" quotePrefix="0" xfId="0">
      <alignment horizontal="general" vertical="bottom"/>
    </xf>
    <xf numFmtId="0" fontId="7" fillId="0" borderId="3" applyAlignment="1" pivotButton="0" quotePrefix="0" xfId="0">
      <alignment horizontal="center" vertical="bottom"/>
    </xf>
    <xf numFmtId="164" fontId="7" fillId="0" borderId="3" applyAlignment="1" pivotButton="0" quotePrefix="0" xfId="0">
      <alignment horizontal="center" vertical="bottom"/>
    </xf>
    <xf numFmtId="0" fontId="10" fillId="3" borderId="3" applyAlignment="1" pivotButton="0" quotePrefix="0" xfId="0">
      <alignment horizontal="general" vertical="bottom"/>
    </xf>
    <xf numFmtId="0" fontId="7" fillId="3" borderId="3" applyAlignment="1" pivotButton="0" quotePrefix="0" xfId="0">
      <alignment horizontal="center" vertical="bottom"/>
    </xf>
    <xf numFmtId="164" fontId="7" fillId="3" borderId="3"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 applyAlignment="1" pivotButton="0" quotePrefix="0" xfId="0">
      <alignment horizontal="general" vertical="bottom"/>
    </xf>
    <xf numFmtId="0" fontId="7" fillId="0" borderId="1" applyAlignment="1" pivotButton="0" quotePrefix="0" xfId="0">
      <alignment horizontal="left" vertical="center" wrapText="1"/>
    </xf>
    <xf numFmtId="0" fontId="7" fillId="0" borderId="2" applyAlignment="1" pivotButton="0" quotePrefix="0" xfId="0">
      <alignment horizontal="left" vertical="center" wrapText="1"/>
    </xf>
    <xf numFmtId="0" fontId="0" fillId="0" borderId="7" pivotButton="0" quotePrefix="0" xfId="0"/>
    <xf numFmtId="0" fontId="8" fillId="0" borderId="0" applyAlignment="1" pivotButton="0" quotePrefix="0" xfId="0">
      <alignment horizontal="center" vertical="center" wrapText="1"/>
    </xf>
    <xf numFmtId="0" fontId="9" fillId="2" borderId="0" applyAlignment="1" pivotButton="0" quotePrefix="0" xfId="0">
      <alignment horizontal="center" vertical="center" wrapText="1"/>
    </xf>
    <xf numFmtId="0" fontId="0" fillId="2" borderId="0" applyAlignment="1" pivotButton="0" quotePrefix="0" xfId="0">
      <alignment horizontal="general" vertical="bottom"/>
    </xf>
    <xf numFmtId="0" fontId="7" fillId="3" borderId="3" applyAlignment="1" pivotButton="0" quotePrefix="0" xfId="0">
      <alignment horizontal="center" vertical="center" wrapText="1"/>
    </xf>
    <xf numFmtId="0" fontId="7" fillId="3" borderId="3" applyAlignment="1" pivotButton="0" quotePrefix="0" xfId="0">
      <alignment horizontal="left" vertical="center" wrapText="1"/>
    </xf>
    <xf numFmtId="0" fontId="0" fillId="0" borderId="10" pivotButton="0" quotePrefix="0" xfId="0"/>
    <xf numFmtId="0" fontId="7" fillId="0" borderId="3" applyAlignment="1" pivotButton="0" quotePrefix="0" xfId="0">
      <alignment horizontal="center" vertical="center" wrapText="1"/>
    </xf>
    <xf numFmtId="0" fontId="7" fillId="0" borderId="3" applyAlignment="1" pivotButton="0" quotePrefix="0" xfId="0">
      <alignment horizontal="left" vertical="center" wrapText="1"/>
    </xf>
    <xf numFmtId="0" fontId="10" fillId="0" borderId="0" applyAlignment="1" pivotButton="0" quotePrefix="0" xfId="0">
      <alignment horizontal="general" vertical="bottom"/>
    </xf>
    <xf numFmtId="0" fontId="11" fillId="4" borderId="3" applyAlignment="1" pivotButton="0" quotePrefix="0" xfId="0">
      <alignment horizontal="center" vertical="center" wrapText="1"/>
    </xf>
    <xf numFmtId="0" fontId="11" fillId="5" borderId="3" applyAlignment="1" pivotButton="0" quotePrefix="0" xfId="0">
      <alignment horizontal="center" vertical="center" wrapText="1"/>
    </xf>
    <xf numFmtId="0" fontId="9" fillId="6" borderId="3" applyAlignment="1" pivotButton="0" quotePrefix="0" xfId="0">
      <alignment horizontal="center" vertical="center" wrapText="1"/>
    </xf>
    <xf numFmtId="0" fontId="9" fillId="7" borderId="3" applyAlignment="1" pivotButton="0" quotePrefix="0" xfId="0">
      <alignment horizontal="center" vertical="center" wrapText="1"/>
    </xf>
    <xf numFmtId="0" fontId="11" fillId="4" borderId="0" applyAlignment="1" pivotButton="0" quotePrefix="0" xfId="0">
      <alignment horizontal="center" vertical="center" wrapText="1"/>
    </xf>
    <xf numFmtId="0" fontId="7" fillId="0" borderId="4" applyAlignment="1" pivotButton="0" quotePrefix="0" xfId="0">
      <alignment horizontal="left" vertical="center" wrapText="1"/>
    </xf>
    <xf numFmtId="0" fontId="0" fillId="0" borderId="11" pivotButton="0" quotePrefix="0" xfId="0"/>
    <xf numFmtId="0" fontId="11" fillId="5" borderId="0" applyAlignment="1" pivotButton="0" quotePrefix="0" xfId="0">
      <alignment horizontal="center" vertical="center" wrapText="1"/>
    </xf>
    <xf numFmtId="0" fontId="9" fillId="6" borderId="0" applyAlignment="1" pivotButton="0" quotePrefix="0" xfId="0">
      <alignment horizontal="center" vertical="center" wrapText="1"/>
    </xf>
    <xf numFmtId="0" fontId="9" fillId="7" borderId="0" applyAlignment="1" pivotButton="0" quotePrefix="0" xfId="0">
      <alignment horizontal="center" vertical="center" wrapText="1"/>
    </xf>
    <xf numFmtId="0" fontId="9" fillId="2" borderId="3" applyAlignment="1" pivotButton="0" quotePrefix="0" xfId="0">
      <alignment horizontal="center" vertical="center" wrapText="1"/>
    </xf>
    <xf numFmtId="0" fontId="0" fillId="0" borderId="3" applyAlignment="1" pivotButton="0" quotePrefix="0" xfId="0">
      <alignment horizontal="center" vertical="center" wrapText="1"/>
    </xf>
    <xf numFmtId="0" fontId="0" fillId="0" borderId="3" applyAlignment="1" pivotButton="0" quotePrefix="0" xfId="0">
      <alignment horizontal="left" vertical="center" wrapText="1"/>
    </xf>
    <xf numFmtId="0" fontId="0" fillId="3" borderId="3" applyAlignment="1" pivotButton="0" quotePrefix="0" xfId="0">
      <alignment horizontal="center" vertical="center" wrapText="1"/>
    </xf>
    <xf numFmtId="0" fontId="0" fillId="3" borderId="3" applyAlignment="1" pivotButton="0" quotePrefix="0" xfId="0">
      <alignment horizontal="left" vertical="center" wrapText="1"/>
    </xf>
    <xf numFmtId="0" fontId="6" fillId="0" borderId="0" applyAlignment="1" pivotButton="0" quotePrefix="0" xfId="0">
      <alignment horizontal="center" vertical="bottom"/>
    </xf>
    <xf numFmtId="0" fontId="12" fillId="0" borderId="5" applyAlignment="1" pivotButton="0" quotePrefix="0" xfId="0">
      <alignment horizontal="center" vertical="bottom"/>
    </xf>
    <xf numFmtId="0" fontId="6" fillId="0" borderId="0" applyAlignment="1" pivotButton="0" quotePrefix="0" xfId="0">
      <alignment horizontal="general" vertical="bottom"/>
    </xf>
    <xf numFmtId="164" fontId="12" fillId="0" borderId="0" applyAlignment="1" pivotButton="0" quotePrefix="0" xfId="0">
      <alignment horizontal="center" vertical="bottom"/>
    </xf>
    <xf numFmtId="0" fontId="12" fillId="0" borderId="0" applyAlignment="1" pivotButton="0" quotePrefix="0" xfId="0">
      <alignment horizontal="center" vertical="bottom"/>
    </xf>
    <xf numFmtId="0" fontId="13" fillId="0" borderId="0" applyAlignment="1" pivotButton="0" quotePrefix="0" xfId="0">
      <alignment horizontal="center" vertical="bottom"/>
    </xf>
    <xf numFmtId="0" fontId="10" fillId="0" borderId="3" applyAlignment="1" pivotButton="0" quotePrefix="0" xfId="0">
      <alignment horizontal="general" vertical="bottom"/>
    </xf>
    <xf numFmtId="0" fontId="7" fillId="0" borderId="3" applyAlignment="1" pivotButton="0" quotePrefix="0" xfId="0">
      <alignment horizontal="center" vertical="bottom"/>
    </xf>
    <xf numFmtId="164" fontId="7" fillId="0" borderId="3" applyAlignment="1" pivotButton="0" quotePrefix="0" xfId="0">
      <alignment horizontal="center" vertical="bottom"/>
    </xf>
    <xf numFmtId="0" fontId="10" fillId="3" borderId="3" applyAlignment="1" pivotButton="0" quotePrefix="0" xfId="0">
      <alignment horizontal="general" vertical="bottom"/>
    </xf>
    <xf numFmtId="0" fontId="7" fillId="3" borderId="3" applyAlignment="1" pivotButton="0" quotePrefix="0" xfId="0">
      <alignment horizontal="center" vertical="bottom"/>
    </xf>
    <xf numFmtId="164" fontId="7" fillId="3" borderId="3" applyAlignment="1" pivotButton="0" quotePrefix="0" xfId="0">
      <alignment horizontal="center" vertical="bottom"/>
    </xf>
    <xf numFmtId="0" fontId="15" fillId="2" borderId="0" applyAlignment="1" pivotButton="0" quotePrefix="0" xfId="0">
      <alignment horizontal="center" vertical="center" wrapText="1"/>
    </xf>
    <xf numFmtId="0" fontId="14" fillId="8" borderId="12" applyAlignment="1" pivotButton="0" quotePrefix="0" xfId="0">
      <alignment horizontal="center" vertical="center" wrapText="1"/>
    </xf>
    <xf numFmtId="0" fontId="16" fillId="0" borderId="12" applyAlignment="1" pivotButton="0" quotePrefix="0" xfId="0">
      <alignment horizontal="center" vertical="center" wrapText="1"/>
    </xf>
    <xf numFmtId="0" fontId="16" fillId="0" borderId="12" applyAlignment="1" pivotButton="0" quotePrefix="0" xfId="0">
      <alignment horizontal="left" vertical="center" wrapText="1"/>
    </xf>
    <xf numFmtId="164" fontId="16" fillId="0" borderId="12" applyAlignment="1" pivotButton="0" quotePrefix="0" xfId="0">
      <alignment horizontal="center" vertical="center" wrapText="1"/>
    </xf>
    <xf numFmtId="0" fontId="16" fillId="9" borderId="12" applyAlignment="1" pivotButton="0" quotePrefix="0" xfId="0">
      <alignment horizontal="center" vertical="center" wrapText="1"/>
    </xf>
    <xf numFmtId="0" fontId="16" fillId="9" borderId="12" applyAlignment="1" pivotButton="0" quotePrefix="0" xfId="0">
      <alignment horizontal="left" vertical="center" wrapText="1"/>
    </xf>
    <xf numFmtId="164" fontId="16" fillId="9" borderId="12" applyAlignment="1" pivotButton="0" quotePrefix="0" xfId="0">
      <alignment horizontal="center" vertical="center" wrapText="1"/>
    </xf>
    <xf numFmtId="0" fontId="17" fillId="0" borderId="0" pivotButton="0" quotePrefix="0" xfId="0"/>
    <xf numFmtId="0" fontId="17" fillId="0" borderId="7" pivotButton="0" quotePrefix="0" xfId="0"/>
    <xf numFmtId="0" fontId="17" fillId="2" borderId="0" applyAlignment="1" pivotButton="0" quotePrefix="0" xfId="0">
      <alignment horizontal="general" vertical="bottom"/>
    </xf>
    <xf numFmtId="0" fontId="17" fillId="0" borderId="10" pivotButton="0" quotePrefix="0" xfId="0"/>
    <xf numFmtId="0" fontId="17" fillId="0" borderId="11" pivotButton="0" quotePrefix="0" xfId="0"/>
    <xf numFmtId="0" fontId="18" fillId="9" borderId="12" applyAlignment="1" pivotButton="0" quotePrefix="0" xfId="0">
      <alignment vertical="top" wrapText="1"/>
    </xf>
    <xf numFmtId="0" fontId="16" fillId="0" borderId="12" applyAlignment="1" pivotButton="0" quotePrefix="0" xfId="0">
      <alignment horizontal="left" vertical="top" wrapText="1"/>
    </xf>
    <xf numFmtId="0" fontId="0" fillId="0" borderId="12" pivotButton="0" quotePrefix="0" xfId="0"/>
    <xf numFmtId="0" fontId="16" fillId="0" borderId="13" pivotButton="0" quotePrefix="0" xfId="0"/>
    <xf numFmtId="0" fontId="0" fillId="0" borderId="15" pivotButton="0" quotePrefix="0" xfId="0"/>
    <xf numFmtId="0" fontId="0" fillId="0" borderId="16" pivotButton="0" quotePrefix="0" xfId="0"/>
    <xf numFmtId="0" fontId="15" fillId="0" borderId="13" applyAlignment="1" pivotButton="0" quotePrefix="0" xfId="0">
      <alignment vertical="center" wrapText="1"/>
    </xf>
    <xf numFmtId="0" fontId="16" fillId="0" borderId="13" applyAlignment="1" pivotButton="0" quotePrefix="0" xfId="0">
      <alignment horizontal="left" vertical="top" wrapText="1"/>
    </xf>
    <xf numFmtId="0" fontId="19" fillId="0" borderId="0" applyAlignment="1" pivotButton="0" quotePrefix="0" xfId="0">
      <alignment horizontal="left" vertical="center" wrapText="1"/>
    </xf>
    <xf numFmtId="0" fontId="20" fillId="8" borderId="0" applyAlignment="1" pivotButton="0" quotePrefix="0" xfId="0">
      <alignment vertical="center"/>
    </xf>
    <xf numFmtId="0" fontId="0" fillId="8" borderId="0" pivotButton="0" quotePrefix="0" xfId="0"/>
    <xf numFmtId="0" fontId="18" fillId="9" borderId="12" applyAlignment="1" pivotButton="0" quotePrefix="0" xfId="0">
      <alignment horizontal="left" vertical="top" wrapText="1"/>
    </xf>
    <xf numFmtId="0" fontId="0" fillId="0" borderId="19" pivotButton="0" quotePrefix="0" xfId="0"/>
    <xf numFmtId="0" fontId="0" fillId="0" borderId="20" pivotButton="0" quotePrefix="0" xfId="0"/>
    <xf numFmtId="0" fontId="18" fillId="9" borderId="21" applyAlignment="1" pivotButton="0" quotePrefix="0" xfId="0">
      <alignment horizontal="left" vertical="top" wrapText="1"/>
    </xf>
    <xf numFmtId="0" fontId="16" fillId="0" borderId="21" applyAlignment="1" pivotButton="0" quotePrefix="0" xfId="0">
      <alignment horizontal="left" vertical="top" wrapText="1"/>
    </xf>
    <xf numFmtId="0" fontId="16" fillId="0" borderId="22" applyAlignment="1" pivotButton="0" quotePrefix="0" xfId="0">
      <alignment horizontal="left" vertical="top" wrapText="1"/>
    </xf>
    <xf numFmtId="0" fontId="0" fillId="0" borderId="23" pivotButton="0" quotePrefix="0" xfId="0"/>
    <xf numFmtId="0" fontId="0" fillId="0" borderId="24"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ont>
        <name val="Aptos"/>
        <b val="1"/>
        <color rgb="00FFFFFF"/>
        <sz val="9"/>
      </font>
      <fill>
        <patternFill>
          <fgColor rgb="00FF4444"/>
          <bgColor rgb="00FF4444"/>
        </patternFill>
      </fill>
    </dxf>
    <dxf>
      <font>
        <name val="Aptos"/>
        <color rgb="009C0006"/>
        <sz val="9"/>
      </font>
      <fill>
        <patternFill>
          <fgColor rgb="00FFC7CE"/>
          <bgColor rgb="00FFC7CE"/>
        </patternFill>
      </fill>
    </dxf>
    <dxf>
      <font>
        <name val="Aptos"/>
        <color rgb="009C5700"/>
        <sz val="9"/>
      </font>
      <fill>
        <patternFill>
          <fgColor rgb="00FFEB9C"/>
          <bgColor rgb="00FFEB9C"/>
        </patternFill>
      </fill>
    </dxf>
    <dxf>
      <font>
        <name val="Aptos"/>
        <color rgb="00006100"/>
        <sz val="9"/>
      </font>
      <fill>
        <patternFill>
          <fgColor rgb="00C6EFCE"/>
          <bgColor rgb="00C6EFCE"/>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6ED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B347"/>
      <rgbColor rgb="FFFF9900"/>
      <rgbColor rgb="FFFF4444"/>
      <rgbColor rgb="FF666699"/>
      <rgbColor rgb="FF969696"/>
      <rgbColor rgb="FF003C72"/>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twoCellAnchor editAs="oneCell">
    <from>
      <col>0</col>
      <colOff>0</colOff>
      <row>0</row>
      <rowOff>0</rowOff>
    </from>
    <to>
      <col>1</col>
      <colOff>162720</colOff>
      <row>0</row>
      <rowOff>427320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713240" cy="42732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drawings/drawing2.xml><?xml version="1.0" encoding="utf-8"?>
<wsDr xmlns="http://schemas.openxmlformats.org/drawingml/2006/spreadsheetDrawing">
  <twoCellAnchor editAs="oneCell">
    <from>
      <col>0</col>
      <colOff>0</colOff>
      <row>0</row>
      <rowOff>0</rowOff>
    </from>
    <to>
      <col>2</col>
      <colOff>232920</colOff>
      <row>0</row>
      <rowOff>427320</rowOff>
    </to>
    <pic>
      <nvPicPr>
        <cNvPr id="1"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713240" cy="42732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drawings/drawing3.xml><?xml version="1.0" encoding="utf-8"?>
<wsDr xmlns="http://schemas.openxmlformats.org/drawingml/2006/spreadsheetDrawing">
  <twoCellAnchor editAs="oneCell">
    <from>
      <col>0</col>
      <colOff>0</colOff>
      <row>0</row>
      <rowOff>0</rowOff>
    </from>
    <to>
      <col>2</col>
      <colOff>303480</colOff>
      <row>0</row>
      <rowOff>427320</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713240" cy="42732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drawings/drawing4.xml><?xml version="1.0" encoding="utf-8"?>
<wsDr xmlns="http://schemas.openxmlformats.org/drawingml/2006/spreadsheetDrawing">
  <twoCellAnchor editAs="oneCell">
    <from>
      <col>0</col>
      <colOff>0</colOff>
      <row>0</row>
      <rowOff>0</rowOff>
    </from>
    <to>
      <col>1</col>
      <colOff>726480</colOff>
      <row>0</row>
      <rowOff>427320</rowOff>
    </to>
    <pic>
      <nvPicPr>
        <cNvPr id="3"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713240" cy="42732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filterMode="0">
    <outlinePr summaryBelow="1" summaryRight="1"/>
    <pageSetUpPr fitToPage="0"/>
  </sheetPr>
  <dimension ref="A1:F29"/>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1" customWidth="1" style="41" min="1" max="1"/>
    <col width="31" customWidth="1" style="41" min="2" max="2"/>
    <col width="14" customWidth="1" style="41" min="3" max="3"/>
    <col width="68" customWidth="1" style="41" min="4" max="4"/>
    <col width="13" customWidth="1" style="41" min="5" max="6"/>
    <col width="13" customWidth="1" style="42" min="6" max="6"/>
  </cols>
  <sheetData>
    <row r="1" ht="53.25" customHeight="1" s="42">
      <c r="A1" s="93" t="n"/>
      <c r="B1" s="93" t="n"/>
      <c r="C1" s="93" t="n"/>
      <c r="D1" s="93" t="n"/>
      <c r="E1" s="93" t="n"/>
      <c r="F1" s="93" t="n"/>
    </row>
    <row r="2" ht="30" customHeight="1" s="42">
      <c r="A2" s="106" t="inlineStr">
        <is>
          <t>SECURITY &amp; BUSINESS RISK ASSESSMENT — GULF OF GUINEA OPERATIONS</t>
        </is>
      </c>
    </row>
    <row r="3">
      <c r="A3" s="93" t="n"/>
      <c r="B3" s="93" t="n"/>
      <c r="C3" s="93" t="n"/>
      <c r="D3" s="93" t="n"/>
      <c r="E3" s="93" t="n"/>
      <c r="F3" s="93" t="n"/>
    </row>
    <row r="4" ht="15" customHeight="1" s="42">
      <c r="A4" s="107" t="inlineStr">
        <is>
          <t>RISK MANAGEMENT INFORMATION</t>
        </is>
      </c>
    </row>
    <row r="5">
      <c r="A5" s="93" t="n"/>
      <c r="B5" s="93" t="n"/>
      <c r="C5" s="93" t="n"/>
      <c r="D5" s="93" t="n"/>
      <c r="E5" s="93" t="n"/>
      <c r="F5" s="93" t="n"/>
    </row>
    <row r="6" ht="21.75" customHeight="1" s="42">
      <c r="A6" s="112" t="inlineStr">
        <is>
          <t>Risk Assessment ID:</t>
        </is>
      </c>
      <c r="B6" s="113" t="inlineStr">
        <is>
          <t>SM RA-004-WAF-001</t>
        </is>
      </c>
      <c r="C6" s="112" t="inlineStr">
        <is>
          <t>Location:</t>
        </is>
      </c>
      <c r="D6" s="114" t="inlineStr">
        <is>
          <t>Gulf of Guinea — Nigerian EEZ, Bight of Bonny, Gulf of Benin, wider GOG</t>
        </is>
      </c>
      <c r="E6" s="115" t="n"/>
      <c r="F6" s="116" t="n"/>
    </row>
    <row r="7" ht="75" customHeight="1" s="42">
      <c r="A7" s="112" t="inlineStr">
        <is>
          <t>Activity Description:</t>
        </is>
      </c>
      <c r="B7" s="113" t="inlineStr">
        <is>
          <t>Security and business risk assessment for Security Escort Vessel (SEV) operations, local naval team activities, and vessel guarding/escort services in the Gulf of Guinea region, with focus on Nigerian territorial and EEZ waters.</t>
        </is>
      </c>
      <c r="C7" s="112" t="n"/>
      <c r="D7" s="114" t="n"/>
      <c r="E7" s="115" t="n"/>
      <c r="F7" s="116" t="n"/>
    </row>
    <row r="8" ht="32" customHeight="1" s="42">
      <c r="A8" s="112" t="inlineStr">
        <is>
          <t>Applicable Standards:</t>
        </is>
      </c>
      <c r="B8" s="113" t="inlineStr">
        <is>
          <t>ISO 18788:2015, ISO 28007:2015, ISO 28000:2022, ISO 9001:2015, ISO 45001:2018</t>
        </is>
      </c>
      <c r="C8" s="112" t="inlineStr">
        <is>
          <t>Regulatory Framework:</t>
        </is>
      </c>
      <c r="D8" s="114" t="inlineStr">
        <is>
          <t>NIMASA, SPOMO Act, Nigeria Navy MOU, ISPS Code</t>
        </is>
      </c>
      <c r="E8" s="115" t="n"/>
      <c r="F8" s="116" t="n"/>
    </row>
    <row r="9" ht="15" customHeight="1" s="42">
      <c r="A9" s="112" t="inlineStr">
        <is>
          <t>Assessment Date:</t>
        </is>
      </c>
      <c r="B9" s="113" t="inlineStr">
        <is>
          <t>23 March 2026</t>
        </is>
      </c>
      <c r="C9" s="112" t="inlineStr">
        <is>
          <t>Risk Owner:</t>
        </is>
      </c>
      <c r="D9" s="114" t="inlineStr">
        <is>
          <t>Group Compliance Director</t>
        </is>
      </c>
      <c r="E9" s="115" t="n"/>
      <c r="F9" s="116" t="n"/>
    </row>
    <row r="10" ht="21.75" customHeight="1" s="42">
      <c r="A10" s="112" t="inlineStr">
        <is>
          <t>Assessed By:</t>
        </is>
      </c>
      <c r="B10" s="113" t="inlineStr">
        <is>
          <t>Darren Watts — Group Compliance Director</t>
        </is>
      </c>
      <c r="C10" s="112" t="inlineStr">
        <is>
          <t>Next Review:</t>
        </is>
      </c>
      <c r="D10" s="114" t="inlineStr">
        <is>
          <t>23 June 2026 (or following significant threat change)</t>
        </is>
      </c>
      <c r="E10" s="115" t="n"/>
      <c r="F10" s="116" t="n"/>
    </row>
    <row r="11" ht="32.25" customHeight="1" s="42">
      <c r="A11" s="112" t="inlineStr">
        <is>
          <t>Classification:</t>
        </is>
      </c>
      <c r="B11" s="113" t="inlineStr">
        <is>
          <t>CONFIDENTIAL — INTERNAL USE ONLY</t>
        </is>
      </c>
      <c r="C11" s="112" t="inlineStr">
        <is>
          <t>Applicable Entities:</t>
        </is>
      </c>
      <c r="D11" s="114" t="inlineStr">
        <is>
          <t>Seagull Maritime Ltd (Malta), Seagull Logistics and Maritime Services Ltd (Nigeria), Seagull Maritime Hellas (Greece)</t>
        </is>
      </c>
      <c r="E11" s="115" t="n"/>
      <c r="F11" s="116" t="n"/>
    </row>
    <row r="12" ht="32" customHeight="1" s="42">
      <c r="A12" s="112" t="inlineStr">
        <is>
          <t>Threat Sources:</t>
        </is>
      </c>
      <c r="B12" s="113" t="inlineStr">
        <is>
          <t>IMB Annual Report 2025, MARAD 2025-008, MDAT-GoG, Dryad Global, NIMASA, Atlantic Council GOG Assessment</t>
        </is>
      </c>
      <c r="C12" s="112" t="n"/>
      <c r="D12" s="114" t="n"/>
      <c r="E12" s="115" t="n"/>
      <c r="F12" s="116" t="n"/>
    </row>
    <row r="13" ht="15.75" customHeight="1" s="42">
      <c r="A13" s="98" t="inlineStr">
        <is>
          <t>Responsible Persons:</t>
        </is>
      </c>
      <c r="B13" s="99" t="inlineStr">
        <is>
          <t>WAF Operations Director, Senior Operations Manager, Group Compliance Director, Client Representative</t>
        </is>
      </c>
      <c r="C13" s="110" t="n"/>
      <c r="D13" s="111" t="n"/>
      <c r="E13" s="101" t="n"/>
      <c r="F13" s="101" t="n"/>
    </row>
    <row r="14" ht="30" customHeight="1" s="42">
      <c r="A14" s="102" t="n"/>
      <c r="B14" s="99" t="inlineStr">
        <is>
          <t>Senior Management have responsibility for approving SEV and naval team operations based on the security and business risk profile. All risks rated High or Critical must be explicitly acknowledged before operations proceed.</t>
        </is>
      </c>
      <c r="C14" s="110" t="n"/>
      <c r="D14" s="111" t="n"/>
      <c r="E14" s="101" t="n"/>
      <c r="F14" s="101" t="n"/>
    </row>
    <row r="15" ht="30" customHeight="1" s="42">
      <c r="A15" s="102" t="n"/>
      <c r="B15" s="99" t="inlineStr">
        <is>
          <t>The Project Team must ensure all security, legal, commercial, and operational risks are understood and appropriate controls are in place before team deployment. This includes compliance with Nigerian Navy MOU requirements, NIMASA regulations, and local licensing.</t>
        </is>
      </c>
      <c r="C15" s="110" t="n"/>
      <c r="D15" s="111" t="n"/>
      <c r="E15" s="101" t="n"/>
      <c r="F15" s="101" t="n"/>
    </row>
    <row r="16" ht="30" customHeight="1" s="42">
      <c r="A16" s="103" t="n"/>
      <c r="B16" s="99" t="inlineStr">
        <is>
          <t>The Client is respectfully requested to review this assessment and provide any vessel-specific, operational, or location-specific information that may affect the risk profile.</t>
        </is>
      </c>
      <c r="C16" s="110" t="n"/>
      <c r="D16" s="111" t="n"/>
      <c r="E16" s="101" t="n"/>
      <c r="F16" s="101" t="n"/>
    </row>
    <row r="17" ht="6" customHeight="1" s="42">
      <c r="A17" s="101" t="n"/>
      <c r="B17" s="101" t="n"/>
      <c r="C17" s="101" t="n"/>
      <c r="D17" s="101" t="n"/>
      <c r="E17" s="101" t="n"/>
      <c r="F17" s="101" t="n"/>
    </row>
    <row r="18" ht="21.75" customHeight="1" s="42">
      <c r="A18" s="101" t="n"/>
      <c r="B18" s="101" t="n"/>
      <c r="C18" s="101" t="n"/>
      <c r="D18" s="101" t="n"/>
      <c r="E18" s="101" t="n"/>
      <c r="F18" s="101" t="n"/>
    </row>
    <row r="19" ht="44.25" customHeight="1" s="42">
      <c r="A19" s="104" t="inlineStr">
        <is>
          <t>COMMUNICATION &amp; CONSULTATION / RECORDING &amp; REPORTING / MONITORING &amp; REVIEW</t>
        </is>
      </c>
      <c r="E19" s="101" t="n"/>
      <c r="F19" s="101" t="n"/>
    </row>
    <row r="20" ht="30" customHeight="1" s="42">
      <c r="A20" s="105" t="inlineStr">
        <is>
          <t>This security and business risk assessment must be reviewed by Senior Management prior to commencement of operations. Findings must be communicated to all relevant personnel including Operations, Commercial, WAF Operations Director, and team leaders. Any changes to the threat environment must trigger an immediate re-assessment.</t>
        </is>
      </c>
      <c r="E20" s="101" t="n"/>
      <c r="F20" s="101" t="n"/>
    </row>
    <row r="21" ht="30" customHeight="1" s="42">
      <c r="A21" s="105" t="inlineStr">
        <is>
          <t>Monitoring: The risk profile must be reviewed if circumstances change materially — including changes to GOG threat levels, Nigerian Navy MOU status, NIMASA regulatory requirements, insurance conditions, or client operational requirements. Minimum review frequency: quarterly or following any significant incident.</t>
        </is>
      </c>
      <c r="E21" s="101" t="n"/>
      <c r="F21" s="101" t="n"/>
    </row>
    <row r="22" ht="30" customHeight="1" s="42">
      <c r="A22" s="105" t="inlineStr">
        <is>
          <t>This assessment is complementary to SM RA-003 (Health &amp; Safety Risk Assessment) and must be read in conjunction with applicable SOPs (SMS/SOP/WAF series), the company SMS, and current BMP-MS/MISTO guidance for West Africa.</t>
        </is>
      </c>
      <c r="E22" s="101" t="n"/>
      <c r="F22" s="101" t="n"/>
    </row>
    <row r="23" ht="24.75" customHeight="1" s="42">
      <c r="A23" s="104" t="inlineStr">
        <is>
          <t>SCOPE &amp; CONTEXT</t>
        </is>
      </c>
      <c r="E23" s="101" t="n"/>
      <c r="F23" s="101" t="n"/>
    </row>
    <row r="24" ht="180" customHeight="1" s="42">
      <c r="A24" s="105" t="inlineStr">
        <is>
          <t>Seagull Maritime provides armed security teams for vessel protection in the Gulf of Guinea (GOG) and wider West African (WAF) maritime area. Operations include Ship Escort Vessel (SEV) deployment and locally sourced Nigerian Navy team coordination for protection against piracy, armed robbery, kidnap for ransom (KFR), and maritime crime. This assessment covers the full spectrum of security, political, economic, social, technological, legal, and environmental risks associated with these operations, including the complex regulatory environment in Nigeria, the ongoing threat of Niger Delta-linked maritime crime, and the commercial challenges of operating in a competitive market alongside the Nigerian Navy Deep Blue Project.</t>
        </is>
      </c>
      <c r="E24" s="101" t="n"/>
      <c r="F24" s="101" t="n"/>
    </row>
    <row r="25">
      <c r="A25" s="101" t="n"/>
      <c r="B25" s="101" t="n"/>
      <c r="C25" s="101" t="n"/>
      <c r="D25" s="101" t="n"/>
      <c r="E25" s="101" t="n"/>
      <c r="F25" s="101" t="n"/>
    </row>
    <row r="26">
      <c r="A26" s="101" t="n"/>
      <c r="B26" s="101" t="n"/>
      <c r="C26" s="101" t="n"/>
      <c r="D26" s="101" t="n"/>
      <c r="E26" s="101" t="n"/>
      <c r="F26" s="101" t="n"/>
    </row>
    <row r="27">
      <c r="A27" s="101" t="n"/>
      <c r="B27" s="101" t="n"/>
      <c r="C27" s="101" t="n"/>
      <c r="D27" s="101" t="n"/>
      <c r="E27" s="101" t="n"/>
      <c r="F27" s="101" t="n"/>
    </row>
    <row r="28">
      <c r="A28" s="101" t="n"/>
      <c r="B28" s="101" t="n"/>
      <c r="C28" s="101" t="n"/>
      <c r="D28" s="101" t="n"/>
      <c r="E28" s="101" t="n"/>
      <c r="F28" s="101" t="n"/>
    </row>
    <row r="29">
      <c r="A29" s="101" t="n"/>
      <c r="B29" s="101" t="n"/>
      <c r="C29" s="101" t="n"/>
      <c r="D29" s="101" t="n"/>
      <c r="E29" s="101" t="n"/>
      <c r="F29" s="101" t="n"/>
    </row>
  </sheetData>
  <mergeCells count="20">
    <mergeCell ref="A23:D23"/>
    <mergeCell ref="D11:F11"/>
    <mergeCell ref="B14:D14"/>
    <mergeCell ref="A22:D22"/>
    <mergeCell ref="A20:D20"/>
    <mergeCell ref="B13:D13"/>
    <mergeCell ref="A19:D19"/>
    <mergeCell ref="D7:F7"/>
    <mergeCell ref="A2:F2"/>
    <mergeCell ref="D12:F12"/>
    <mergeCell ref="D9:F9"/>
    <mergeCell ref="A24:D24"/>
    <mergeCell ref="A4:F4"/>
    <mergeCell ref="B15:D15"/>
    <mergeCell ref="D8:F8"/>
    <mergeCell ref="B16:D16"/>
    <mergeCell ref="D10:F10"/>
    <mergeCell ref="A13:A16"/>
    <mergeCell ref="A21:D21"/>
    <mergeCell ref="D6:F6"/>
  </mergeCells>
  <printOptions horizontalCentered="0" verticalCentered="0" headings="0" gridLines="0" gridLinesSet="1"/>
  <pageMargins left="0.75" right="0.75" top="1" bottom="1" header="0.511811023622047" footer="0.511811023622047"/>
  <pageSetup orientation="landscape" paperSize="9" scale="100" fitToHeight="1"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0"/>
  </sheetPr>
  <dimension ref="A1:G3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3" customWidth="1" style="41" min="1" max="1"/>
    <col width="18" customWidth="1" style="41" min="2" max="2"/>
    <col width="25" customWidth="1" style="41" min="3" max="3"/>
    <col width="20" customWidth="1" style="41" min="4" max="4"/>
    <col width="18" customWidth="1" style="41" min="5" max="5"/>
    <col width="25" customWidth="1" style="41" min="6" max="7"/>
  </cols>
  <sheetData>
    <row r="1" ht="53.25" customHeight="1" s="42">
      <c r="A1" s="93" t="n"/>
      <c r="B1" s="93" t="n"/>
      <c r="C1" s="93" t="n"/>
      <c r="D1" s="93" t="n"/>
      <c r="E1" s="93" t="n"/>
      <c r="F1" s="93" t="n"/>
      <c r="G1" s="93" t="n"/>
    </row>
    <row r="2" ht="24" customHeight="1" s="42">
      <c r="A2" s="43" t="inlineStr">
        <is>
          <t>RISK ASSESSMENT METHODOLOGY</t>
        </is>
      </c>
    </row>
    <row r="3">
      <c r="A3" s="93" t="n"/>
      <c r="B3" s="93" t="n"/>
      <c r="C3" s="93" t="n"/>
      <c r="D3" s="93" t="n"/>
      <c r="E3" s="93" t="n"/>
      <c r="F3" s="93" t="n"/>
      <c r="G3" s="93" t="n"/>
    </row>
    <row r="4" ht="15" customHeight="1" s="42">
      <c r="A4" s="93" t="n"/>
      <c r="B4" s="49" t="inlineStr">
        <is>
          <t>Probability Rating x Consequence Rating = Risk Rating</t>
        </is>
      </c>
      <c r="G4" s="93" t="n"/>
    </row>
    <row r="5">
      <c r="A5" s="93" t="n"/>
      <c r="B5" s="93" t="n"/>
      <c r="C5" s="93" t="n"/>
      <c r="D5" s="93" t="n"/>
      <c r="E5" s="93" t="n"/>
      <c r="F5" s="93" t="n"/>
      <c r="G5" s="93" t="n"/>
    </row>
    <row r="6" ht="15" customHeight="1" s="42">
      <c r="A6" s="93" t="n"/>
      <c r="B6" s="44" t="inlineStr">
        <is>
          <t>PROBABILITY</t>
        </is>
      </c>
      <c r="G6" s="93" t="n"/>
    </row>
    <row r="7" ht="21.75" customHeight="1" s="42">
      <c r="A7" s="93" t="n"/>
      <c r="B7" s="50" t="inlineStr">
        <is>
          <t>Likelihood</t>
        </is>
      </c>
      <c r="C7" s="50" t="inlineStr">
        <is>
          <t>Description</t>
        </is>
      </c>
      <c r="D7" s="95" t="n"/>
      <c r="E7" s="50" t="inlineStr">
        <is>
          <t>Previous Occurrences</t>
        </is>
      </c>
      <c r="F7" s="50" t="inlineStr">
        <is>
          <t>Description</t>
        </is>
      </c>
      <c r="G7" s="93" t="n"/>
    </row>
    <row r="8" ht="15" customHeight="1" s="42">
      <c r="A8" s="93" t="n"/>
      <c r="B8" s="52" t="n">
        <v>1</v>
      </c>
      <c r="C8" s="53" t="inlineStr">
        <is>
          <t>Cannot occur / not applicable</t>
        </is>
      </c>
      <c r="D8" s="54" t="n"/>
      <c r="E8" s="52" t="n">
        <v>1</v>
      </c>
      <c r="F8" s="53" t="inlineStr">
        <is>
          <t>Has never occurred</t>
        </is>
      </c>
      <c r="G8" s="93" t="n"/>
    </row>
    <row r="9" ht="21.75" customHeight="1" s="42">
      <c r="A9" s="93" t="n"/>
      <c r="B9" s="55" t="n">
        <v>2</v>
      </c>
      <c r="C9" s="56" t="inlineStr">
        <is>
          <t>Unlikely to occur</t>
        </is>
      </c>
      <c r="D9" s="54" t="n"/>
      <c r="E9" s="55" t="n">
        <v>2</v>
      </c>
      <c r="F9" s="56" t="inlineStr">
        <is>
          <t>Has occurred once in similar ops</t>
        </is>
      </c>
      <c r="G9" s="93" t="n"/>
    </row>
    <row r="10" ht="21.75" customHeight="1" s="42">
      <c r="A10" s="93" t="n"/>
      <c r="B10" s="52" t="n">
        <v>3</v>
      </c>
      <c r="C10" s="53" t="inlineStr">
        <is>
          <t>Could occur at some point</t>
        </is>
      </c>
      <c r="D10" s="54" t="n"/>
      <c r="E10" s="52" t="n">
        <v>3</v>
      </c>
      <c r="F10" s="53" t="inlineStr">
        <is>
          <t>Has occurred more than once</t>
        </is>
      </c>
      <c r="G10" s="93" t="n"/>
    </row>
    <row r="11" ht="15" customHeight="1" s="42">
      <c r="A11" s="93" t="n"/>
      <c r="B11" s="55" t="n">
        <v>4</v>
      </c>
      <c r="C11" s="56" t="inlineStr">
        <is>
          <t>Likely to occur</t>
        </is>
      </c>
      <c r="D11" s="54" t="n"/>
      <c r="E11" s="55" t="n">
        <v>4</v>
      </c>
      <c r="F11" s="56" t="inlineStr">
        <is>
          <t>Has occurred frequently</t>
        </is>
      </c>
      <c r="G11" s="93" t="n"/>
    </row>
    <row r="12" ht="21.75" customHeight="1" s="42">
      <c r="A12" s="93" t="n"/>
      <c r="B12" s="52" t="n">
        <v>5</v>
      </c>
      <c r="C12" s="53" t="inlineStr">
        <is>
          <t>Almost certain to occur</t>
        </is>
      </c>
      <c r="D12" s="54" t="n"/>
      <c r="E12" s="52" t="n">
        <v>5</v>
      </c>
      <c r="F12" s="53" t="inlineStr">
        <is>
          <t>Common/expected occurrence</t>
        </is>
      </c>
      <c r="G12" s="93" t="n"/>
    </row>
    <row r="13">
      <c r="A13" s="93" t="n"/>
      <c r="B13" s="93" t="n"/>
      <c r="C13" s="93" t="n"/>
      <c r="D13" s="93" t="n"/>
      <c r="E13" s="93" t="n"/>
      <c r="F13" s="93" t="n"/>
      <c r="G13" s="93" t="n"/>
    </row>
    <row r="14">
      <c r="A14" s="93" t="n"/>
      <c r="B14" s="93" t="n"/>
      <c r="C14" s="93" t="n"/>
      <c r="D14" s="93" t="n"/>
      <c r="E14" s="93" t="n"/>
      <c r="F14" s="93" t="n"/>
      <c r="G14" s="93" t="n"/>
    </row>
    <row r="15" ht="15" customHeight="1" s="42">
      <c r="A15" s="93" t="n"/>
      <c r="B15" s="44" t="inlineStr">
        <is>
          <t>CONSEQUENCE (6 Sub-Categories Averaged)</t>
        </is>
      </c>
    </row>
    <row r="16" ht="32.25" customHeight="1" s="42">
      <c r="A16" s="50" t="inlineStr">
        <is>
          <t>Rating</t>
        </is>
      </c>
      <c r="B16" s="50" t="inlineStr">
        <is>
          <t>Loss of Client/Contract</t>
        </is>
      </c>
      <c r="C16" s="50" t="inlineStr">
        <is>
          <t>Inability to Meet Requirements</t>
        </is>
      </c>
      <c r="D16" s="50" t="inlineStr">
        <is>
          <t>Risk to Human Health</t>
        </is>
      </c>
      <c r="E16" s="50" t="inlineStr">
        <is>
          <t>Violation of Regulations</t>
        </is>
      </c>
      <c r="F16" s="50" t="inlineStr">
        <is>
          <t>Company Reputation</t>
        </is>
      </c>
      <c r="G16" s="50" t="inlineStr">
        <is>
          <t>Financial Impact</t>
        </is>
      </c>
    </row>
    <row r="17" ht="15" customHeight="1" s="42">
      <c r="A17" s="55" t="n">
        <v>1</v>
      </c>
      <c r="B17" s="56" t="inlineStr">
        <is>
          <t>No impact</t>
        </is>
      </c>
      <c r="C17" s="56" t="inlineStr">
        <is>
          <t>No impact</t>
        </is>
      </c>
      <c r="D17" s="56" t="inlineStr">
        <is>
          <t>No injury</t>
        </is>
      </c>
      <c r="E17" s="56" t="inlineStr">
        <is>
          <t>No breach</t>
        </is>
      </c>
      <c r="F17" s="56" t="inlineStr">
        <is>
          <t>No impact</t>
        </is>
      </c>
      <c r="G17" s="56" t="inlineStr">
        <is>
          <t>Negligible cost</t>
        </is>
      </c>
    </row>
    <row r="18" ht="21.75" customHeight="1" s="42">
      <c r="A18" s="52" t="n">
        <v>2</v>
      </c>
      <c r="B18" s="53" t="inlineStr">
        <is>
          <t>Minor dissatisfaction</t>
        </is>
      </c>
      <c r="C18" s="53" t="inlineStr">
        <is>
          <t>Minor delay</t>
        </is>
      </c>
      <c r="D18" s="53" t="inlineStr">
        <is>
          <t>First aid injury</t>
        </is>
      </c>
      <c r="E18" s="53" t="inlineStr">
        <is>
          <t>Minor non-compliance</t>
        </is>
      </c>
      <c r="F18" s="53" t="inlineStr">
        <is>
          <t>Local negative comment</t>
        </is>
      </c>
      <c r="G18" s="53" t="inlineStr">
        <is>
          <t>&lt;$10,000</t>
        </is>
      </c>
    </row>
    <row r="19" ht="15" customHeight="1" s="42">
      <c r="A19" s="55" t="n">
        <v>3</v>
      </c>
      <c r="B19" s="56" t="inlineStr">
        <is>
          <t>Formal complaint</t>
        </is>
      </c>
      <c r="C19" s="56" t="inlineStr">
        <is>
          <t>Partial failure</t>
        </is>
      </c>
      <c r="D19" s="56" t="inlineStr">
        <is>
          <t>Medical treatment</t>
        </is>
      </c>
      <c r="E19" s="56" t="inlineStr">
        <is>
          <t>Regulatory warning</t>
        </is>
      </c>
      <c r="F19" s="56" t="inlineStr">
        <is>
          <t>Industry-level negative</t>
        </is>
      </c>
      <c r="G19" s="56" t="inlineStr">
        <is>
          <t>$10,000-$100,000</t>
        </is>
      </c>
    </row>
    <row r="20" ht="21.75" customHeight="1" s="42">
      <c r="A20" s="52" t="n">
        <v>4</v>
      </c>
      <c r="B20" s="53" t="inlineStr">
        <is>
          <t>Contract at risk</t>
        </is>
      </c>
      <c r="C20" s="53" t="inlineStr">
        <is>
          <t>Major failure</t>
        </is>
      </c>
      <c r="D20" s="53" t="inlineStr">
        <is>
          <t>Serious injury/hospitalisation</t>
        </is>
      </c>
      <c r="E20" s="53" t="inlineStr">
        <is>
          <t>Formal investigation</t>
        </is>
      </c>
      <c r="F20" s="53" t="inlineStr">
        <is>
          <t>Media coverage</t>
        </is>
      </c>
      <c r="G20" s="53" t="inlineStr">
        <is>
          <t>$100,000-$1,000,000</t>
        </is>
      </c>
    </row>
    <row r="21" ht="21.75" customHeight="1" s="42">
      <c r="A21" s="55" t="n">
        <v>5</v>
      </c>
      <c r="B21" s="56" t="inlineStr">
        <is>
          <t>Contract terminated</t>
        </is>
      </c>
      <c r="C21" s="56" t="inlineStr">
        <is>
          <t>Total failure</t>
        </is>
      </c>
      <c r="D21" s="56" t="inlineStr">
        <is>
          <t>Death or permanent disability</t>
        </is>
      </c>
      <c r="E21" s="56" t="inlineStr">
        <is>
          <t>Criminal prosecution</t>
        </is>
      </c>
      <c r="F21" s="56" t="inlineStr">
        <is>
          <t>International media/boycott</t>
        </is>
      </c>
      <c r="G21" s="56" t="inlineStr">
        <is>
          <t>&gt;$1,000,000</t>
        </is>
      </c>
    </row>
    <row r="22">
      <c r="A22" s="93" t="n"/>
      <c r="B22" s="93" t="n"/>
      <c r="C22" s="93" t="n"/>
      <c r="D22" s="93" t="n"/>
      <c r="E22" s="93" t="n"/>
      <c r="F22" s="93" t="n"/>
      <c r="G22" s="93" t="n"/>
    </row>
    <row r="23">
      <c r="A23" s="93" t="n"/>
      <c r="B23" s="93" t="n"/>
      <c r="C23" s="93" t="n"/>
      <c r="D23" s="93" t="n"/>
      <c r="E23" s="93" t="n"/>
      <c r="F23" s="93" t="n"/>
      <c r="G23" s="93" t="n"/>
    </row>
    <row r="24" ht="15" customHeight="1" s="42">
      <c r="A24" s="93" t="n"/>
      <c r="B24" s="44" t="inlineStr">
        <is>
          <t>RISK RATING MATRIX (Probability × Consequence Average)</t>
        </is>
      </c>
    </row>
    <row r="25" ht="15" customHeight="1" s="42">
      <c r="A25" s="93" t="n"/>
      <c r="B25" s="57" t="inlineStr">
        <is>
          <t>Probability ↓ / Consequence →</t>
        </is>
      </c>
      <c r="C25" s="50" t="n">
        <v>1</v>
      </c>
      <c r="D25" s="50" t="n">
        <v>2</v>
      </c>
      <c r="E25" s="50" t="n">
        <v>3</v>
      </c>
      <c r="F25" s="50" t="n">
        <v>4</v>
      </c>
      <c r="G25" s="50" t="n">
        <v>5</v>
      </c>
    </row>
    <row r="26" ht="15" customHeight="1" s="42">
      <c r="A26" s="93" t="n"/>
      <c r="B26" s="50" t="n">
        <v>1</v>
      </c>
      <c r="C26" s="58" t="n">
        <v>1</v>
      </c>
      <c r="D26" s="58" t="n">
        <v>2</v>
      </c>
      <c r="E26" s="58" t="n">
        <v>3</v>
      </c>
      <c r="F26" s="58" t="n">
        <v>4</v>
      </c>
      <c r="G26" s="59" t="n">
        <v>5</v>
      </c>
    </row>
    <row r="27" ht="15" customHeight="1" s="42">
      <c r="A27" s="93" t="n"/>
      <c r="B27" s="50" t="n">
        <v>2</v>
      </c>
      <c r="C27" s="58" t="n">
        <v>2</v>
      </c>
      <c r="D27" s="58" t="n">
        <v>4</v>
      </c>
      <c r="E27" s="59" t="n">
        <v>6</v>
      </c>
      <c r="F27" s="59" t="n">
        <v>8</v>
      </c>
      <c r="G27" s="59" t="n">
        <v>10</v>
      </c>
    </row>
    <row r="28" ht="15" customHeight="1" s="42">
      <c r="A28" s="93" t="n"/>
      <c r="B28" s="50" t="n">
        <v>3</v>
      </c>
      <c r="C28" s="58" t="n">
        <v>3</v>
      </c>
      <c r="D28" s="59" t="n">
        <v>6</v>
      </c>
      <c r="E28" s="59" t="n">
        <v>9</v>
      </c>
      <c r="F28" s="59" t="n">
        <v>12</v>
      </c>
      <c r="G28" s="60" t="n">
        <v>15</v>
      </c>
    </row>
    <row r="29" ht="15" customHeight="1" s="42">
      <c r="A29" s="93" t="n"/>
      <c r="B29" s="50" t="n">
        <v>4</v>
      </c>
      <c r="C29" s="58" t="n">
        <v>4</v>
      </c>
      <c r="D29" s="59" t="n">
        <v>8</v>
      </c>
      <c r="E29" s="59" t="n">
        <v>12</v>
      </c>
      <c r="F29" s="60" t="n">
        <v>16</v>
      </c>
      <c r="G29" s="61" t="n">
        <v>20</v>
      </c>
    </row>
    <row r="30" ht="15" customHeight="1" s="42">
      <c r="A30" s="93" t="n"/>
      <c r="B30" s="50" t="n">
        <v>5</v>
      </c>
      <c r="C30" s="59" t="n">
        <v>5</v>
      </c>
      <c r="D30" s="59" t="n">
        <v>10</v>
      </c>
      <c r="E30" s="60" t="n">
        <v>15</v>
      </c>
      <c r="F30" s="61" t="n">
        <v>20</v>
      </c>
      <c r="G30" s="61" t="n">
        <v>25</v>
      </c>
    </row>
    <row r="31">
      <c r="A31" s="93" t="n"/>
      <c r="B31" s="93" t="n"/>
      <c r="C31" s="93" t="n"/>
      <c r="D31" s="93" t="n"/>
      <c r="E31" s="93" t="n"/>
      <c r="F31" s="93" t="n"/>
      <c r="G31" s="93" t="n"/>
    </row>
    <row r="32" ht="15" customHeight="1" s="42">
      <c r="A32" s="93" t="n"/>
      <c r="B32" s="44" t="inlineStr">
        <is>
          <t>RISK LEVELS</t>
        </is>
      </c>
    </row>
    <row r="33" ht="15" customHeight="1" s="42">
      <c r="A33" s="93" t="n"/>
      <c r="B33" s="62" t="inlineStr">
        <is>
          <t>Low (1-4)</t>
        </is>
      </c>
      <c r="D33" s="63" t="inlineStr">
        <is>
          <t>Acceptable. Monitor and review.</t>
        </is>
      </c>
      <c r="E33" s="64" t="n"/>
      <c r="F33" s="64" t="n"/>
      <c r="G33" s="64" t="n"/>
    </row>
    <row r="34" ht="15" customHeight="1" s="42">
      <c r="A34" s="93" t="n"/>
      <c r="B34" s="65" t="inlineStr">
        <is>
          <t>Moderate (5-12)</t>
        </is>
      </c>
      <c r="D34" s="63" t="inlineStr">
        <is>
          <t>Requires documented controls. Review regularly.</t>
        </is>
      </c>
      <c r="E34" s="64" t="n"/>
      <c r="F34" s="64" t="n"/>
      <c r="G34" s="64" t="n"/>
    </row>
    <row r="35" ht="15" customHeight="1" s="42">
      <c r="A35" s="93" t="n"/>
      <c r="B35" s="66" t="inlineStr">
        <is>
          <t>High (13-16)</t>
        </is>
      </c>
      <c r="D35" s="63" t="inlineStr">
        <is>
          <t>Significant risk. Senior management approval required.</t>
        </is>
      </c>
      <c r="E35" s="64" t="n"/>
      <c r="F35" s="64" t="n"/>
      <c r="G35" s="64" t="n"/>
    </row>
    <row r="36" ht="15" customHeight="1" s="42">
      <c r="A36" s="93" t="n"/>
      <c r="B36" s="67" t="inlineStr">
        <is>
          <t>Critical (17-25)</t>
        </is>
      </c>
      <c r="D36" s="63" t="inlineStr">
        <is>
          <t>Unacceptable. TERMINATE or redesign operation.</t>
        </is>
      </c>
      <c r="E36" s="64" t="n"/>
      <c r="F36" s="64" t="n"/>
      <c r="G36" s="64" t="n"/>
    </row>
  </sheetData>
  <mergeCells count="19">
    <mergeCell ref="B4:F4"/>
    <mergeCell ref="D33:G33"/>
    <mergeCell ref="C10:D10"/>
    <mergeCell ref="D35:G35"/>
    <mergeCell ref="D34:G34"/>
    <mergeCell ref="C9:D9"/>
    <mergeCell ref="B15:G15"/>
    <mergeCell ref="B24:G24"/>
    <mergeCell ref="C12:D12"/>
    <mergeCell ref="D36:G36"/>
    <mergeCell ref="C11:D11"/>
    <mergeCell ref="B34:C34"/>
    <mergeCell ref="B32:G32"/>
    <mergeCell ref="C8:D8"/>
    <mergeCell ref="B6:F6"/>
    <mergeCell ref="B33:C33"/>
    <mergeCell ref="B36:C36"/>
    <mergeCell ref="A2:G2"/>
    <mergeCell ref="B35:C35"/>
  </mergeCells>
  <printOptions horizontalCentered="0" verticalCentered="0" headings="0" gridLines="0" gridLinesSet="1"/>
  <pageMargins left="0.75" right="0.75" top="1" bottom="1" header="0.511811023622047" footer="0.511811023622047"/>
  <pageSetup orientation="landscape" paperSize="9" scale="100" fitToHeight="1" fitToWidth="1" pageOrder="downThenOver" blackAndWhite="0" draft="0" horizontalDpi="300" verticalDpi="300" copies="1"/>
  <drawing xmlns:r="http://schemas.openxmlformats.org/officeDocument/2006/relationships" r:id="rId1"/>
</worksheet>
</file>

<file path=xl/worksheets/sheet3.xml><?xml version="1.0" encoding="utf-8"?>
<worksheet xmlns="http://schemas.openxmlformats.org/spreadsheetml/2006/main">
  <sheetPr filterMode="0">
    <outlinePr summaryBelow="1" summaryRight="1"/>
    <pageSetUpPr fitToPage="0"/>
  </sheetPr>
  <dimension ref="A2:X24"/>
  <sheetViews>
    <sheetView showFormulas="0" showGridLines="0" showRowColHeaders="1" showZeros="1" rightToLeft="0" tabSelected="0" showOutlineSymbols="1" defaultGridColor="1"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baseColWidth="8" defaultColWidth="8.6796875" defaultRowHeight="15" customHeight="1" zeroHeight="0" outlineLevelRow="0"/>
  <cols>
    <col width="8" customWidth="1" style="41" min="1" max="1"/>
    <col width="12" customWidth="1" style="41" min="2" max="2"/>
    <col width="50" customWidth="1" style="41" min="3" max="3"/>
    <col width="14" customWidth="1" style="41" min="4" max="4"/>
    <col width="10" customWidth="1" style="41" min="5" max="16"/>
    <col width="14" customWidth="1" style="41" min="17" max="17"/>
    <col width="50" customWidth="1" style="41" min="18" max="18"/>
    <col width="10" customWidth="1" style="41" min="19" max="22"/>
    <col width="14" customWidth="1" style="41" min="23" max="23"/>
    <col width="10" customWidth="1" style="41" min="24" max="24"/>
  </cols>
  <sheetData>
    <row r="1" ht="53.25" customHeight="1" s="42"/>
    <row r="2" ht="24" customHeight="1" s="42">
      <c r="A2" s="43" t="inlineStr">
        <is>
          <t>SECURITY &amp; BUSINESS RISK ASSESSMENT</t>
        </is>
      </c>
    </row>
    <row r="3" ht="15" customHeight="1" s="42">
      <c r="E3" s="85" t="inlineStr">
        <is>
          <t>PROBABILITY</t>
        </is>
      </c>
      <c r="H3" s="85" t="inlineStr">
        <is>
          <t>CONSEQUENCE</t>
        </is>
      </c>
      <c r="O3" s="85" t="inlineStr">
        <is>
          <t>PRE-RISK</t>
        </is>
      </c>
      <c r="S3" s="85" t="inlineStr">
        <is>
          <t>POST-RISK</t>
        </is>
      </c>
    </row>
    <row r="4" ht="45" customHeight="1" s="42">
      <c r="A4" s="86" t="inlineStr">
        <is>
          <t>Ref</t>
        </is>
      </c>
      <c r="B4" s="86" t="inlineStr">
        <is>
          <t>Risk
Category</t>
        </is>
      </c>
      <c r="C4" s="86" t="inlineStr">
        <is>
          <t>Risk / Threat Description</t>
        </is>
      </c>
      <c r="D4" s="86" t="inlineStr">
        <is>
          <t>Affected
Processes</t>
        </is>
      </c>
      <c r="E4" s="86" t="inlineStr">
        <is>
          <t>Likelihood
(1-5)</t>
        </is>
      </c>
      <c r="F4" s="86" t="inlineStr">
        <is>
          <t>Prev.
Occurrences
(1-5)</t>
        </is>
      </c>
      <c r="G4" s="86" t="inlineStr">
        <is>
          <t>Prob.
Rating</t>
        </is>
      </c>
      <c r="H4" s="86" t="inlineStr">
        <is>
          <t>Loss of
Client/
Contract</t>
        </is>
      </c>
      <c r="I4" s="86" t="inlineStr">
        <is>
          <t>Inability
to Meet Job
Requirements</t>
        </is>
      </c>
      <c r="J4" s="86" t="inlineStr">
        <is>
          <t>Risk to
Human
Health</t>
        </is>
      </c>
      <c r="K4" s="86" t="inlineStr">
        <is>
          <t>Violation
of
Regulations</t>
        </is>
      </c>
      <c r="L4" s="86" t="inlineStr">
        <is>
          <t>Company
Reputation</t>
        </is>
      </c>
      <c r="M4" s="86" t="inlineStr">
        <is>
          <t>Cost of
Correction/
Financial</t>
        </is>
      </c>
      <c r="N4" s="86" t="inlineStr">
        <is>
          <t>Cons.
Rating</t>
        </is>
      </c>
      <c r="O4" s="86" t="inlineStr">
        <is>
          <t>Pre-Risk
Rating</t>
        </is>
      </c>
      <c r="P4" s="86" t="inlineStr">
        <is>
          <t>Risk
Level</t>
        </is>
      </c>
      <c r="Q4" s="86" t="inlineStr">
        <is>
          <t>Risk
Treatment</t>
        </is>
      </c>
      <c r="R4" s="86" t="inlineStr">
        <is>
          <t>Control Measures (Mitigation Plan)</t>
        </is>
      </c>
      <c r="S4" s="86" t="inlineStr">
        <is>
          <t>Post-Prob.
Rating</t>
        </is>
      </c>
      <c r="T4" s="86" t="inlineStr">
        <is>
          <t>Post-Cons.
Rating</t>
        </is>
      </c>
      <c r="U4" s="86" t="inlineStr">
        <is>
          <t>Post-Risk
Rating</t>
        </is>
      </c>
      <c r="V4" s="86" t="inlineStr">
        <is>
          <t>Risk
Level</t>
        </is>
      </c>
      <c r="W4" s="86" t="inlineStr">
        <is>
          <t>Responsibility</t>
        </is>
      </c>
      <c r="X4" s="86" t="inlineStr">
        <is>
          <t>Status</t>
        </is>
      </c>
    </row>
    <row r="5" s="42">
      <c r="A5" s="87" t="inlineStr">
        <is>
          <t>SEC-001</t>
        </is>
      </c>
      <c r="B5" s="87" t="inlineStr">
        <is>
          <t>POLITICAL</t>
        </is>
      </c>
      <c r="C5" s="88" t="inlineStr">
        <is>
          <t>Political instability in Nigeria and wider Gulf of Guinea. Changing government policies toward maritime security, potential shifts in NIMASA/Nigeria Navy cooperation. Inconsistent enforcement of maritime regulations across coastal states (Nigeria, Benin, Cameroon, Ghana, Togo). Military coup risk in region (recent history in West Africa).</t>
        </is>
      </c>
      <c r="D5" s="88" t="inlineStr">
        <is>
          <t>Operations
Business Dev</t>
        </is>
      </c>
      <c r="E5" s="87" t="n">
        <v>4</v>
      </c>
      <c r="F5" s="87" t="n">
        <v>4</v>
      </c>
      <c r="G5" s="89">
        <f>AVERAGE(E5,F5)</f>
        <v/>
      </c>
      <c r="H5" s="87" t="n">
        <v>4</v>
      </c>
      <c r="I5" s="87" t="n">
        <v>4</v>
      </c>
      <c r="J5" s="87" t="n">
        <v>3</v>
      </c>
      <c r="K5" s="87" t="n">
        <v>3</v>
      </c>
      <c r="L5" s="87" t="n">
        <v>4</v>
      </c>
      <c r="M5" s="87" t="n">
        <v>4</v>
      </c>
      <c r="N5" s="89">
        <f>AVERAGE(H5:M5)</f>
        <v/>
      </c>
      <c r="O5" s="89">
        <f>G5*N5</f>
        <v/>
      </c>
      <c r="P5" s="87">
        <f>IF(O5&gt;=17,"Critical",IF(O5&gt;=13,"High",IF(O5&gt;=5,"Moderate","Low")))</f>
        <v/>
      </c>
      <c r="Q5" s="87" t="inlineStr">
        <is>
          <t>TREAT</t>
        </is>
      </c>
      <c r="R5" s="88" t="inlineStr">
        <is>
          <t>Ongoing monitoring of political developments across GOG coastal states (Nigeria, Benin, Cameroon, Ghana). Country risk assessments reviewed quarterly. In-country representation through Seagull Nigeria (Lagos) and Seagull Hellas (Greece) provides local intelligence. Christoforos Antzoulatos (WAF Ops Director) maintains government and military relationships on the ground. Contingency plans for political disruption — alternative operational bases identified. Client contracts include force majeure clauses covering political instability.</t>
        </is>
      </c>
      <c r="S5" s="87" t="n">
        <v>3</v>
      </c>
      <c r="T5" s="89" t="n">
        <v>3</v>
      </c>
      <c r="U5" s="89">
        <f>IF(AND(S5&lt;&gt;"[PROJECT TEAM]",T5&lt;&gt;"[PROJECT TEAM]"),S5*T5,"")</f>
        <v/>
      </c>
      <c r="V5" s="87">
        <f>IF(U5="","",IF(U5&gt;=17,"Critical",IF(U5&gt;=13,"High",IF(U5&gt;=5,"Moderate","Low"))))</f>
        <v/>
      </c>
      <c r="W5" s="88" t="inlineStr">
        <is>
          <t>WAF Operations Director / GCD</t>
        </is>
      </c>
      <c r="X5" s="87" t="inlineStr">
        <is>
          <t>Open</t>
        </is>
      </c>
    </row>
    <row r="6" s="42">
      <c r="A6" s="90" t="inlineStr">
        <is>
          <t>SEC-002</t>
        </is>
      </c>
      <c r="B6" s="90" t="inlineStr">
        <is>
          <t>POLITICAL</t>
        </is>
      </c>
      <c r="C6" s="91" t="inlineStr">
        <is>
          <t>Nigeria Navy MOU dependency. Seagull operations in Nigerian waters require active MOU with Nigeria Navy. MOU renewal, compliance, and relationship management are critical. Navy personnel quality and reliability varies. Risk of MOU termination or non-renewal disrupting all WAF operations.</t>
        </is>
      </c>
      <c r="D6" s="91" t="inlineStr">
        <is>
          <t>Operations
Legal</t>
        </is>
      </c>
      <c r="E6" s="90" t="n">
        <v>3</v>
      </c>
      <c r="F6" s="90" t="n">
        <v>3</v>
      </c>
      <c r="G6" s="92">
        <f>AVERAGE(E6,F6)</f>
        <v/>
      </c>
      <c r="H6" s="90" t="n">
        <v>5</v>
      </c>
      <c r="I6" s="90" t="n">
        <v>5</v>
      </c>
      <c r="J6" s="90" t="n">
        <v>2</v>
      </c>
      <c r="K6" s="90" t="n">
        <v>4</v>
      </c>
      <c r="L6" s="90" t="n">
        <v>4</v>
      </c>
      <c r="M6" s="90" t="n">
        <v>5</v>
      </c>
      <c r="N6" s="92">
        <f>AVERAGE(H6:M6)</f>
        <v/>
      </c>
      <c r="O6" s="92">
        <f>G6*N6</f>
        <v/>
      </c>
      <c r="P6" s="90">
        <f>IF(O6&gt;=17,"Critical",IF(O6&gt;=13,"High",IF(O6&gt;=5,"Moderate","Low")))</f>
        <v/>
      </c>
      <c r="Q6" s="90" t="inlineStr">
        <is>
          <t>TREAT</t>
        </is>
      </c>
      <c r="R6" s="91" t="inlineStr">
        <is>
          <t>Nigeria Navy MOU managed as a critical relationship — regular engagement meetings with Navy command. MOU renewal tracked with 6-month lead time — Compliance flags renewal at 180 days before expiry. Relationship not dependent on single point of contact — multiple Navy liaison officers engaged. MOU compliance documented and evidenced continuously — ready for Navy review at any time. Alternative security delivery model explored as contingency (private armed security where legally permissible). MOU terms reviewed annually by legal advisors to ensure current regulatory alignment.</t>
        </is>
      </c>
      <c r="S6" s="90" t="n">
        <v>2</v>
      </c>
      <c r="T6" s="92" t="n">
        <v>3.5</v>
      </c>
      <c r="U6" s="92">
        <f>IF(AND(S6&lt;&gt;"[PROJECT TEAM]",T6&lt;&gt;"[PROJECT TEAM]"),S6*T6,"")</f>
        <v/>
      </c>
      <c r="V6" s="90">
        <f>IF(U6="","",IF(U6&gt;=17,"Critical",IF(U6&gt;=13,"High",IF(U6&gt;=5,"Moderate","Low"))))</f>
        <v/>
      </c>
      <c r="W6" s="91" t="inlineStr">
        <is>
          <t>WAF Operations Director / CEO</t>
        </is>
      </c>
      <c r="X6" s="90" t="inlineStr">
        <is>
          <t>Open</t>
        </is>
      </c>
    </row>
    <row r="7" s="42">
      <c r="A7" s="87" t="inlineStr">
        <is>
          <t>SEC-003</t>
        </is>
      </c>
      <c r="B7" s="87" t="inlineStr">
        <is>
          <t>POLITICAL</t>
        </is>
      </c>
      <c r="C7" s="88" t="inlineStr">
        <is>
          <t>Niger Delta militancy and kidnapping for ransom (KFR). KFR groups target senior crew members and Western/foreign personnel. 23 crew kidnapped across 4 incidents in GOG in 2025. 8 passengers abducted in Ikang Waterways (Dec 2025). KFR gangs operate from Niger Delta with sophisticated intelligence networks.</t>
        </is>
      </c>
      <c r="D7" s="88" t="inlineStr">
        <is>
          <t>Operations
Security
HR</t>
        </is>
      </c>
      <c r="E7" s="87" t="n">
        <v>4</v>
      </c>
      <c r="F7" s="87" t="n">
        <v>5</v>
      </c>
      <c r="G7" s="89">
        <f>AVERAGE(E7,F7)</f>
        <v/>
      </c>
      <c r="H7" s="87" t="n">
        <v>5</v>
      </c>
      <c r="I7" s="87" t="n">
        <v>5</v>
      </c>
      <c r="J7" s="87" t="n">
        <v>5</v>
      </c>
      <c r="K7" s="87" t="n">
        <v>4</v>
      </c>
      <c r="L7" s="87" t="n">
        <v>5</v>
      </c>
      <c r="M7" s="87" t="n">
        <v>5</v>
      </c>
      <c r="N7" s="89">
        <f>AVERAGE(H7:M7)</f>
        <v/>
      </c>
      <c r="O7" s="89">
        <f>G7*N7</f>
        <v/>
      </c>
      <c r="P7" s="87">
        <f>IF(O7&gt;=17,"Critical",IF(O7&gt;=13,"High",IF(O7&gt;=5,"Moderate","Low")))</f>
        <v/>
      </c>
      <c r="Q7" s="87" t="inlineStr">
        <is>
          <t>TREAT</t>
        </is>
      </c>
      <c r="R7" s="88" t="inlineStr">
        <is>
          <t>Mandatory pre-transit intelligence assessment covering Niger Delta militancy and KFR threat for specific operating area. Enhanced watch routines on all SEVs — minimum 2 lookouts during darkness/restricted visibility. Foreign/senior crew personnel movements restricted in high-risk port areas — shore leave policy enforced. K&amp;R insurance maintained with adequate cover levels reviewed annually. Crisis management plan in place with designated CMT — tested annually via tabletop exercise. Anti-KFR training included in all WAF deployment briefs — recognition, avoidance, and survival if taken. Vessel lighting and security watch procedures per SM SOP at anchor and in port.</t>
        </is>
      </c>
      <c r="S7" s="87" t="n">
        <v>3</v>
      </c>
      <c r="T7" s="89" t="n">
        <v>3.5</v>
      </c>
      <c r="U7" s="89">
        <f>IF(AND(S7&lt;&gt;"[PROJECT TEAM]",T7&lt;&gt;"[PROJECT TEAM]"),S7*T7,"")</f>
        <v/>
      </c>
      <c r="V7" s="87">
        <f>IF(U7="","",IF(U7&gt;=17,"Critical",IF(U7&gt;=13,"High",IF(U7&gt;=5,"Moderate","Low"))))</f>
        <v/>
      </c>
      <c r="W7" s="88" t="inlineStr">
        <is>
          <t>WAF Operations Director / PCASP TL</t>
        </is>
      </c>
      <c r="X7" s="87" t="inlineStr">
        <is>
          <t>Open</t>
        </is>
      </c>
    </row>
    <row r="8" s="42">
      <c r="A8" s="90" t="inlineStr">
        <is>
          <t>SEC-004</t>
        </is>
      </c>
      <c r="B8" s="90" t="inlineStr">
        <is>
          <t>ECONOMIC</t>
        </is>
      </c>
      <c r="C8" s="91" t="inlineStr">
        <is>
          <t>SEV charter and operating cost exposure. Time-chartered vessels (A30, Elijah, Eltee 1, Holy Shield 1, Mediator, Titran) represent significant fixed costs. Client contract delays, cancellations, or payment defaults leave Seagull exposed. Fuel price volatility. Currency fluctuation (Naira instability).</t>
        </is>
      </c>
      <c r="D8" s="91" t="inlineStr">
        <is>
          <t>Finance
Operations</t>
        </is>
      </c>
      <c r="E8" s="90" t="n">
        <v>4</v>
      </c>
      <c r="F8" s="90" t="n">
        <v>4</v>
      </c>
      <c r="G8" s="92">
        <f>AVERAGE(E8,F8)</f>
        <v/>
      </c>
      <c r="H8" s="90" t="n">
        <v>4</v>
      </c>
      <c r="I8" s="90" t="n">
        <v>3</v>
      </c>
      <c r="J8" s="90" t="n">
        <v>1</v>
      </c>
      <c r="K8" s="90" t="n">
        <v>2</v>
      </c>
      <c r="L8" s="90" t="n">
        <v>3</v>
      </c>
      <c r="M8" s="90" t="n">
        <v>5</v>
      </c>
      <c r="N8" s="92">
        <f>AVERAGE(H8:M8)</f>
        <v/>
      </c>
      <c r="O8" s="92">
        <f>G8*N8</f>
        <v/>
      </c>
      <c r="P8" s="90">
        <f>IF(O8&gt;=17,"Critical",IF(O8&gt;=13,"High",IF(O8&gt;=5,"Moderate","Low")))</f>
        <v/>
      </c>
      <c r="Q8" s="90" t="inlineStr">
        <is>
          <t>TREAT</t>
        </is>
      </c>
      <c r="R8" s="91" t="inlineStr">
        <is>
          <t>SEV charter costs managed through long-term time charter agreements with defined notice periods. Client contract terms require minimum commitment periods to cover fixed vessel costs. Financial exposure monitored monthly — charter costs vs revenue by vessel. Fuel hedging or pass-through clauses in client contracts where possible. Currency exposure managed — USD-denominated contracts preferred. Naira exposure minimised. Vessel utilisation tracked — underperforming vessels flagged for redeployment or release.</t>
        </is>
      </c>
      <c r="S8" s="90" t="n">
        <v>3</v>
      </c>
      <c r="T8" s="92" t="n">
        <v>3</v>
      </c>
      <c r="U8" s="92">
        <f>IF(AND(S8&lt;&gt;"[PROJECT TEAM]",T8&lt;&gt;"[PROJECT TEAM]"),S8*T8,"")</f>
        <v/>
      </c>
      <c r="V8" s="90">
        <f>IF(U8="","",IF(U8&gt;=17,"Critical",IF(U8&gt;=13,"High",IF(U8&gt;=5,"Moderate","Low"))))</f>
        <v/>
      </c>
      <c r="W8" s="91" t="inlineStr">
        <is>
          <t>CCO / Finance</t>
        </is>
      </c>
      <c r="X8" s="90" t="inlineStr">
        <is>
          <t>Open</t>
        </is>
      </c>
    </row>
    <row r="9" s="42">
      <c r="A9" s="87" t="inlineStr">
        <is>
          <t>SEC-005</t>
        </is>
      </c>
      <c r="B9" s="87" t="inlineStr">
        <is>
          <t>ECONOMIC</t>
        </is>
      </c>
      <c r="C9" s="88" t="inlineStr">
        <is>
          <t>Oil price dependency. GOG maritime security demand directly linked to oil and gas operations. Low oil prices reduce E&amp;P activity, reducing demand for escort and guarding services. Client budget cuts cascade to PMSC contract values and volumes.</t>
        </is>
      </c>
      <c r="D9" s="88" t="inlineStr">
        <is>
          <t>Business Dev
Finance</t>
        </is>
      </c>
      <c r="E9" s="87" t="n">
        <v>3</v>
      </c>
      <c r="F9" s="87" t="n">
        <v>4</v>
      </c>
      <c r="G9" s="89">
        <f>AVERAGE(E9,F9)</f>
        <v/>
      </c>
      <c r="H9" s="87" t="n">
        <v>4</v>
      </c>
      <c r="I9" s="87" t="n">
        <v>3</v>
      </c>
      <c r="J9" s="87" t="n">
        <v>1</v>
      </c>
      <c r="K9" s="87" t="n">
        <v>1</v>
      </c>
      <c r="L9" s="87" t="n">
        <v>3</v>
      </c>
      <c r="M9" s="87" t="n">
        <v>4</v>
      </c>
      <c r="N9" s="89">
        <f>AVERAGE(H9:M9)</f>
        <v/>
      </c>
      <c r="O9" s="89">
        <f>G9*N9</f>
        <v/>
      </c>
      <c r="P9" s="87">
        <f>IF(O9&gt;=17,"Critical",IF(O9&gt;=13,"High",IF(O9&gt;=5,"Moderate","Low")))</f>
        <v/>
      </c>
      <c r="Q9" s="87" t="inlineStr">
        <is>
          <t>TREAT</t>
        </is>
      </c>
      <c r="R9" s="88" t="inlineStr">
        <is>
          <t>Client base diversified across oil majors, traders, and independents — not dependent on single client. Service diversification — escort, guarding, consultancy, vessel provision — reduces single-service dependency. Market intelligence monitored — E&amp;P activity levels, rig counts, cargo volumes tracked quarterly. Flexible cost model — ability to scale down operations if market contracts. Seagull Offshore development provides alternative revenue stream independent of oil price.</t>
        </is>
      </c>
      <c r="S9" s="87" t="n">
        <v>3</v>
      </c>
      <c r="T9" s="89" t="n">
        <v>2.5</v>
      </c>
      <c r="U9" s="89">
        <f>IF(AND(S9&lt;&gt;"[PROJECT TEAM]",T9&lt;&gt;"[PROJECT TEAM]"),S9*T9,"")</f>
        <v/>
      </c>
      <c r="V9" s="87">
        <f>IF(U9="","",IF(U9&gt;=17,"Critical",IF(U9&gt;=13,"High",IF(U9&gt;=5,"Moderate","Low"))))</f>
        <v/>
      </c>
      <c r="W9" s="88" t="inlineStr">
        <is>
          <t>CCO / CEO</t>
        </is>
      </c>
      <c r="X9" s="87" t="inlineStr">
        <is>
          <t>Open</t>
        </is>
      </c>
    </row>
    <row r="10" s="42">
      <c r="A10" s="90" t="inlineStr">
        <is>
          <t>SEC-006</t>
        </is>
      </c>
      <c r="B10" s="90" t="inlineStr">
        <is>
          <t>ECONOMIC</t>
        </is>
      </c>
      <c r="C10" s="91" t="inlineStr">
        <is>
          <t>Insurance and P&amp;I exposure for SEV operations. Hull and machinery insurance for chartered vessels. War risk and K&amp;R insurance premiums. P&amp;I cover for crew and third-party liability. GOG insurance costs rising due to persistent KFR threat. Entity alignment (UK vs Malta) for insurance — recently resolved per Shell finding.</t>
        </is>
      </c>
      <c r="D10" s="91" t="inlineStr">
        <is>
          <t>Finance
Compliance</t>
        </is>
      </c>
      <c r="E10" s="90" t="n">
        <v>3</v>
      </c>
      <c r="F10" s="90" t="n">
        <v>3</v>
      </c>
      <c r="G10" s="92">
        <f>AVERAGE(E10,F10)</f>
        <v/>
      </c>
      <c r="H10" s="90" t="n">
        <v>3</v>
      </c>
      <c r="I10" s="90" t="n">
        <v>3</v>
      </c>
      <c r="J10" s="90" t="n">
        <v>2</v>
      </c>
      <c r="K10" s="90" t="n">
        <v>4</v>
      </c>
      <c r="L10" s="90" t="n">
        <v>3</v>
      </c>
      <c r="M10" s="90" t="n">
        <v>4</v>
      </c>
      <c r="N10" s="92">
        <f>AVERAGE(H10:M10)</f>
        <v/>
      </c>
      <c r="O10" s="92">
        <f>G10*N10</f>
        <v/>
      </c>
      <c r="P10" s="90">
        <f>IF(O10&gt;=17,"Critical",IF(O10&gt;=13,"High",IF(O10&gt;=5,"Moderate","Low")))</f>
        <v/>
      </c>
      <c r="Q10" s="90" t="inlineStr">
        <is>
          <t>TRANSFER / TREAT</t>
        </is>
      </c>
      <c r="R10" s="91" t="inlineStr">
        <is>
          <t>Hull &amp; machinery, P&amp;I, and war risk insurance maintained across all chartered vessels. K&amp;R insurance in place for all deployed personnel. Insurance broker annual review of cover adequacy against operational risk profile. Insurance entity alignment confirmed (Malta entity — Shell Finding #4 COMPLETED). Claims management procedure documented — prompt notification and evidence preservation. Insurance certificates current and available in DD folder.</t>
        </is>
      </c>
      <c r="S10" s="90" t="n">
        <v>2</v>
      </c>
      <c r="T10" s="92" t="n">
        <v>2.5</v>
      </c>
      <c r="U10" s="92">
        <f>IF(AND(S10&lt;&gt;"[PROJECT TEAM]",T10&lt;&gt;"[PROJECT TEAM]"),S10*T10,"")</f>
        <v/>
      </c>
      <c r="V10" s="90">
        <f>IF(U10="","",IF(U10&gt;=17,"Critical",IF(U10&gt;=13,"High",IF(U10&gt;=5,"Moderate","Low"))))</f>
        <v/>
      </c>
      <c r="W10" s="91" t="inlineStr">
        <is>
          <t>Finance / GCD</t>
        </is>
      </c>
      <c r="X10" s="90" t="inlineStr">
        <is>
          <t>Open</t>
        </is>
      </c>
    </row>
    <row r="11" s="42">
      <c r="A11" s="87" t="inlineStr">
        <is>
          <t>SEC-007</t>
        </is>
      </c>
      <c r="B11" s="87" t="inlineStr">
        <is>
          <t>SOCIAL</t>
        </is>
      </c>
      <c r="C11" s="88" t="inlineStr">
        <is>
          <t>Right to Life — armed confrontation during escort or guarding operations. Nigerian naval team or Seagull security personnel may need to use lethal force. Rules of engagement defined by Nigeria Navy MOU. Proportionality and escalation of force under ISO 18788 Clause 6.1.1. Risk of civilian casualties in congested Nigerian waters.</t>
        </is>
      </c>
      <c r="D11" s="88" t="inlineStr">
        <is>
          <t>Operations
Legal
Compliance</t>
        </is>
      </c>
      <c r="E11" s="87" t="n">
        <v>3</v>
      </c>
      <c r="F11" s="87" t="n">
        <v>3</v>
      </c>
      <c r="G11" s="89">
        <f>AVERAGE(E11,F11)</f>
        <v/>
      </c>
      <c r="H11" s="87" t="n">
        <v>5</v>
      </c>
      <c r="I11" s="87" t="n">
        <v>5</v>
      </c>
      <c r="J11" s="87" t="n">
        <v>5</v>
      </c>
      <c r="K11" s="87" t="n">
        <v>5</v>
      </c>
      <c r="L11" s="87" t="n">
        <v>5</v>
      </c>
      <c r="M11" s="87" t="n">
        <v>5</v>
      </c>
      <c r="N11" s="89">
        <f>AVERAGE(H11:M11)</f>
        <v/>
      </c>
      <c r="O11" s="89">
        <f>G11*N11</f>
        <v/>
      </c>
      <c r="P11" s="87">
        <f>IF(O11&gt;=17,"Critical",IF(O11&gt;=13,"High",IF(O11&gt;=5,"Moderate","Low")))</f>
        <v/>
      </c>
      <c r="Q11" s="87" t="inlineStr">
        <is>
          <t>TREAT</t>
        </is>
      </c>
      <c r="R11" s="88" t="inlineStr">
        <is>
          <t>Rules of Engagement (ROE) governed by Nigeria Navy MOU — Seagull personnel operate within Navy-defined parameters. Clear legal separation: weapons handled by Navy personnel only under MOU terms. Seagull observers document all security incidents — independent evidence trail. Graduated response procedures briefed to all onboard personnel. ISO 18788 Clause 6.1.1 human rights due diligence applied — proportionality is non-negotiable. Post-incident reporting within 2 hours to Ops and Compliance. Annual use of force training/refresher for all Seagull WAF personnel.</t>
        </is>
      </c>
      <c r="S11" s="87" t="n">
        <v>2</v>
      </c>
      <c r="T11" s="89" t="n">
        <v>3.5</v>
      </c>
      <c r="U11" s="89">
        <f>IF(AND(S11&lt;&gt;"[PROJECT TEAM]",T11&lt;&gt;"[PROJECT TEAM]"),S11*T11,"")</f>
        <v/>
      </c>
      <c r="V11" s="87">
        <f>IF(U11="","",IF(U11&gt;=17,"Critical",IF(U11&gt;=13,"High",IF(U11&gt;=5,"Moderate","Low"))))</f>
        <v/>
      </c>
      <c r="W11" s="88" t="inlineStr">
        <is>
          <t>WAF Operations Director / GCD</t>
        </is>
      </c>
      <c r="X11" s="87" t="inlineStr">
        <is>
          <t>Open</t>
        </is>
      </c>
    </row>
    <row r="12" s="42">
      <c r="A12" s="90" t="inlineStr">
        <is>
          <t>SEC-008</t>
        </is>
      </c>
      <c r="B12" s="90" t="inlineStr">
        <is>
          <t>SOCIAL</t>
        </is>
      </c>
      <c r="C12" s="91" t="inlineStr">
        <is>
          <t>Freedom from Inhumane Treatment — kidnapped crew or security personnel. If SEV or client vessel boarded, crew and guards face KFR captivity. Historical precedent of weeks to months in captivity in Niger Delta. Physical abuse, deprivation, psychological trauma during captivity. No guaranteed rescue — ransom typically the only resolution.</t>
        </is>
      </c>
      <c r="D12" s="91" t="inlineStr">
        <is>
          <t>Operations
HR
Security</t>
        </is>
      </c>
      <c r="E12" s="90" t="n">
        <v>3</v>
      </c>
      <c r="F12" s="90" t="n">
        <v>4</v>
      </c>
      <c r="G12" s="92">
        <f>AVERAGE(E12,F12)</f>
        <v/>
      </c>
      <c r="H12" s="90" t="n">
        <v>5</v>
      </c>
      <c r="I12" s="90" t="n">
        <v>5</v>
      </c>
      <c r="J12" s="90" t="n">
        <v>5</v>
      </c>
      <c r="K12" s="90" t="n">
        <v>4</v>
      </c>
      <c r="L12" s="90" t="n">
        <v>5</v>
      </c>
      <c r="M12" s="90" t="n">
        <v>5</v>
      </c>
      <c r="N12" s="92">
        <f>AVERAGE(H12:M12)</f>
        <v/>
      </c>
      <c r="O12" s="92">
        <f>G12*N12</f>
        <v/>
      </c>
      <c r="P12" s="90">
        <f>IF(O12&gt;=17,"Critical",IF(O12&gt;=13,"High",IF(O12&gt;=5,"Moderate","Low")))</f>
        <v/>
      </c>
      <c r="Q12" s="90" t="inlineStr">
        <is>
          <t>TREAT</t>
        </is>
      </c>
      <c r="R12" s="91" t="inlineStr">
        <is>
          <t>K&amp;R insurance with specialist response provider (Specialist crisis consultancy retained). Crisis management plan tested annually — roles, communications, family liaison defined. Anti-KFR SOPs — vessel hardening, citadel/safe room on SEVs, SSAS activation protocol. Personnel tracking — all deployed staff positions known and reported daily. No ransom payment policy communicated — but crisis response prioritises life preservation. Post-incident psychological support contracted for all affected personnel and families.</t>
        </is>
      </c>
      <c r="S12" s="90" t="n">
        <v>2</v>
      </c>
      <c r="T12" s="92" t="n">
        <v>3.5</v>
      </c>
      <c r="U12" s="92">
        <f>IF(AND(S12&lt;&gt;"[PROJECT TEAM]",T12&lt;&gt;"[PROJECT TEAM]"),S12*T12,"")</f>
        <v/>
      </c>
      <c r="V12" s="90">
        <f>IF(U12="","",IF(U12&gt;=17,"Critical",IF(U12&gt;=13,"High",IF(U12&gt;=5,"Moderate","Low"))))</f>
        <v/>
      </c>
      <c r="W12" s="91" t="inlineStr">
        <is>
          <t>CEO / WAF Operations Director</t>
        </is>
      </c>
      <c r="X12" s="90" t="inlineStr">
        <is>
          <t>Open</t>
        </is>
      </c>
    </row>
    <row r="13" s="42">
      <c r="A13" s="87" t="inlineStr">
        <is>
          <t>SEC-009</t>
        </is>
      </c>
      <c r="B13" s="87" t="inlineStr">
        <is>
          <t>SOCIAL</t>
        </is>
      </c>
      <c r="C13" s="88" t="inlineStr">
        <is>
          <t>Local naval team welfare and performance. Nigeria Navy personnel assigned under MOU may have variable training, discipline, and reliability. Cultural and language barriers. Fatigue from extended deployments. Risk of unauthorised actions by naval personnel reflecting on Seagull. Need for continuous monitoring and reporting.</t>
        </is>
      </c>
      <c r="D13" s="88" t="inlineStr">
        <is>
          <t>Operations
HR</t>
        </is>
      </c>
      <c r="E13" s="87" t="n">
        <v>4</v>
      </c>
      <c r="F13" s="87" t="n">
        <v>4</v>
      </c>
      <c r="G13" s="89">
        <f>AVERAGE(E13,F13)</f>
        <v/>
      </c>
      <c r="H13" s="87" t="n">
        <v>3</v>
      </c>
      <c r="I13" s="87" t="n">
        <v>4</v>
      </c>
      <c r="J13" s="87" t="n">
        <v>3</v>
      </c>
      <c r="K13" s="87" t="n">
        <v>3</v>
      </c>
      <c r="L13" s="87" t="n">
        <v>4</v>
      </c>
      <c r="M13" s="87" t="n">
        <v>2</v>
      </c>
      <c r="N13" s="89">
        <f>AVERAGE(H13:M13)</f>
        <v/>
      </c>
      <c r="O13" s="89">
        <f>G13*N13</f>
        <v/>
      </c>
      <c r="P13" s="87">
        <f>IF(O13&gt;=17,"Critical",IF(O13&gt;=13,"High",IF(O13&gt;=5,"Moderate","Low")))</f>
        <v/>
      </c>
      <c r="Q13" s="87" t="inlineStr">
        <is>
          <t>TREAT</t>
        </is>
      </c>
      <c r="R13" s="88" t="inlineStr">
        <is>
          <t>Navy personnel performance monitored by Seagull vessel master and TL — issues reported immediately. Regular feedback to Navy command on personnel quality — positive and negative. Cultural awareness training for Seagull international crew working alongside Nigerian Navy. Welfare provisions for Navy personnel onboard — meals, accommodation, rest periods per MOU. Clear command structure defined in MOU — vessel master retains overall authority for navigation and safety. Rotation requests submitted to Navy when individual performance is unsatisfactory.</t>
        </is>
      </c>
      <c r="S13" s="87" t="n">
        <v>3</v>
      </c>
      <c r="T13" s="89" t="n">
        <v>2.5</v>
      </c>
      <c r="U13" s="89">
        <f>IF(AND(S13&lt;&gt;"[PROJECT TEAM]",T13&lt;&gt;"[PROJECT TEAM]"),S13*T13,"")</f>
        <v/>
      </c>
      <c r="V13" s="87">
        <f>IF(U13="","",IF(U13&gt;=17,"Critical",IF(U13&gt;=13,"High",IF(U13&gt;=5,"Moderate","Low"))))</f>
        <v/>
      </c>
      <c r="W13" s="88" t="inlineStr">
        <is>
          <t>WAF Operations Director / Vessel Master</t>
        </is>
      </c>
      <c r="X13" s="87" t="inlineStr">
        <is>
          <t>Open</t>
        </is>
      </c>
    </row>
    <row r="14" s="42">
      <c r="A14" s="90" t="inlineStr">
        <is>
          <t>SEC-010</t>
        </is>
      </c>
      <c r="B14" s="90" t="inlineStr">
        <is>
          <t>SOCIAL</t>
        </is>
      </c>
      <c r="C14" s="91" t="inlineStr">
        <is>
          <t>Non-discrimination and labour rights for local and deployed personnel. Fair treatment of Nigerian crew, naval liaison, and subcontracted staff. ISO 18788 Clause 6.1.1 human rights requirements. Risk of exploitation allegations or labour disputes undermining compliance standing.</t>
        </is>
      </c>
      <c r="D14" s="91" t="inlineStr">
        <is>
          <t>HR
Compliance</t>
        </is>
      </c>
      <c r="E14" s="90" t="n">
        <v>2</v>
      </c>
      <c r="F14" s="90" t="n">
        <v>2</v>
      </c>
      <c r="G14" s="92">
        <f>AVERAGE(E14,F14)</f>
        <v/>
      </c>
      <c r="H14" s="90" t="n">
        <v>3</v>
      </c>
      <c r="I14" s="90" t="n">
        <v>2</v>
      </c>
      <c r="J14" s="90" t="n">
        <v>2</v>
      </c>
      <c r="K14" s="90" t="n">
        <v>4</v>
      </c>
      <c r="L14" s="90" t="n">
        <v>4</v>
      </c>
      <c r="M14" s="90" t="n">
        <v>3</v>
      </c>
      <c r="N14" s="92">
        <f>AVERAGE(H14:M14)</f>
        <v/>
      </c>
      <c r="O14" s="92">
        <f>G14*N14</f>
        <v/>
      </c>
      <c r="P14" s="90">
        <f>IF(O14&gt;=17,"Critical",IF(O14&gt;=13,"High",IF(O14&gt;=5,"Moderate","Low")))</f>
        <v/>
      </c>
      <c r="Q14" s="90" t="inlineStr">
        <is>
          <t>TREAT</t>
        </is>
      </c>
      <c r="R14" s="91" t="inlineStr">
        <is>
          <t>SM POL Equal Opportunities Policy applies to all personnel regardless of engagement type. Local employment terms reviewed by legal to ensure compliance with Nigerian labour law. Grievance procedure accessible to all staff including subcontracted and Navy personnel. Whistleblowing procedure per SM POL — confidential reporting channel available. Annual training module on human rights and non-discrimination per ISO 18788.</t>
        </is>
      </c>
      <c r="S14" s="90" t="n">
        <v>2</v>
      </c>
      <c r="T14" s="92" t="n">
        <v>2</v>
      </c>
      <c r="U14" s="92">
        <f>IF(AND(S14&lt;&gt;"[PROJECT TEAM]",T14&lt;&gt;"[PROJECT TEAM]"),S14*T14,"")</f>
        <v/>
      </c>
      <c r="V14" s="90">
        <f>IF(U14="","",IF(U14&gt;=17,"Critical",IF(U14&gt;=13,"High",IF(U14&gt;=5,"Moderate","Low"))))</f>
        <v/>
      </c>
      <c r="W14" s="91" t="inlineStr">
        <is>
          <t>HR / GCD</t>
        </is>
      </c>
      <c r="X14" s="90" t="inlineStr">
        <is>
          <t>Open</t>
        </is>
      </c>
    </row>
    <row r="15" s="42">
      <c r="A15" s="87" t="inlineStr">
        <is>
          <t>SEC-011</t>
        </is>
      </c>
      <c r="B15" s="87" t="inlineStr">
        <is>
          <t>TECHNOLOGICAL</t>
        </is>
      </c>
      <c r="C15" s="88" t="inlineStr">
        <is>
          <t>SEV maintenance and seaworthiness. Chartered vessels operating in tropical waters subject to corrosion, mechanical degradation, and age-related failures. Critical spares availability (ref: SM RA-SEV MED4 001 - Critical Spares Risk Assessment). Drydocking schedules vs operational commitments. Class society compliance.</t>
        </is>
      </c>
      <c r="D15" s="88" t="inlineStr">
        <is>
          <t>Operations
Safety</t>
        </is>
      </c>
      <c r="E15" s="87" t="n">
        <v>4</v>
      </c>
      <c r="F15" s="87" t="n">
        <v>4</v>
      </c>
      <c r="G15" s="89">
        <f>AVERAGE(E15,F15)</f>
        <v/>
      </c>
      <c r="H15" s="87" t="n">
        <v>4</v>
      </c>
      <c r="I15" s="87" t="n">
        <v>5</v>
      </c>
      <c r="J15" s="87" t="n">
        <v>4</v>
      </c>
      <c r="K15" s="87" t="n">
        <v>4</v>
      </c>
      <c r="L15" s="87" t="n">
        <v>4</v>
      </c>
      <c r="M15" s="87" t="n">
        <v>4</v>
      </c>
      <c r="N15" s="89">
        <f>AVERAGE(H15:M15)</f>
        <v/>
      </c>
      <c r="O15" s="89">
        <f>G15*N15</f>
        <v/>
      </c>
      <c r="P15" s="87">
        <f>IF(O15&gt;=17,"Critical",IF(O15&gt;=13,"High",IF(O15&gt;=5,"Moderate","Low")))</f>
        <v/>
      </c>
      <c r="Q15" s="87" t="inlineStr">
        <is>
          <t>TREAT</t>
        </is>
      </c>
      <c r="R15" s="88" t="inlineStr">
        <is>
          <t>Planned maintenance system (PMS) implemented on all SEVs — maintained by vessel engineering team. Critical spares risk assessment completed (ref SM RA-SEV MED4 001) — minimum stock levels defined and monitored. Drydocking schedule planned 12 months ahead — coordinated with operational commitments. Class society surveys tracked and completed on time — no overdue conditions of class. Vessel condition reports submitted monthly by vessel master — defects tracked to closure. Charter party terms include maintenance obligations and minimum vessel standards.</t>
        </is>
      </c>
      <c r="S15" s="87" t="n">
        <v>3</v>
      </c>
      <c r="T15" s="89" t="n">
        <v>3</v>
      </c>
      <c r="U15" s="89">
        <f>IF(AND(S15&lt;&gt;"[PROJECT TEAM]",T15&lt;&gt;"[PROJECT TEAM]"),S15*T15,"")</f>
        <v/>
      </c>
      <c r="V15" s="87">
        <f>IF(U15="","",IF(U15&gt;=17,"Critical",IF(U15&gt;=13,"High",IF(U15&gt;=5,"Moderate","Low"))))</f>
        <v/>
      </c>
      <c r="W15" s="88" t="inlineStr">
        <is>
          <t>WAF Operations Director / Vessel Master</t>
        </is>
      </c>
      <c r="X15" s="87" t="inlineStr">
        <is>
          <t>Open</t>
        </is>
      </c>
    </row>
    <row r="16" s="42">
      <c r="A16" s="90" t="inlineStr">
        <is>
          <t>SEC-012</t>
        </is>
      </c>
      <c r="B16" s="90" t="inlineStr">
        <is>
          <t>TECHNOLOGICAL</t>
        </is>
      </c>
      <c r="C16" s="91" t="inlineStr">
        <is>
          <t>Communication and tracking in GOG operating areas. AIS manipulation/spoofing by pirate groups. VHF/HF radio reliability. Satellite communication costs for fleet. Real-time tracking of multiple vessels across wide operating area. Coordination between SEVs, client vessels, and Nigeria Navy.</t>
        </is>
      </c>
      <c r="D16" s="91" t="inlineStr">
        <is>
          <t>Operations
Safety</t>
        </is>
      </c>
      <c r="E16" s="90" t="n">
        <v>3</v>
      </c>
      <c r="F16" s="90" t="n">
        <v>3</v>
      </c>
      <c r="G16" s="92">
        <f>AVERAGE(E16,F16)</f>
        <v/>
      </c>
      <c r="H16" s="90" t="n">
        <v>3</v>
      </c>
      <c r="I16" s="90" t="n">
        <v>4</v>
      </c>
      <c r="J16" s="90" t="n">
        <v>3</v>
      </c>
      <c r="K16" s="90" t="n">
        <v>3</v>
      </c>
      <c r="L16" s="90" t="n">
        <v>3</v>
      </c>
      <c r="M16" s="90" t="n">
        <v>3</v>
      </c>
      <c r="N16" s="92">
        <f>AVERAGE(H16:M16)</f>
        <v/>
      </c>
      <c r="O16" s="92">
        <f>G16*N16</f>
        <v/>
      </c>
      <c r="P16" s="90">
        <f>IF(O16&gt;=17,"Critical",IF(O16&gt;=13,"High",IF(O16&gt;=5,"Moderate","Low")))</f>
        <v/>
      </c>
      <c r="Q16" s="90" t="inlineStr">
        <is>
          <t>TREAT</t>
        </is>
      </c>
      <c r="R16" s="91" t="inlineStr">
        <is>
          <t>Dual communication systems on all SEVs (VHF + satellite). AIS monitoring at Seagull operations centre — any AIS anomalies flagged immediately. Fleet tracking system with geo-fencing alerts for operating area boundaries. Communication schedule defined — vessels report position and status minimum every 4 hours. Contingency protocol for comms failure — pre-defined rally points and escalation to Navy/MDAT-GoG.</t>
        </is>
      </c>
      <c r="S16" s="90" t="n">
        <v>2</v>
      </c>
      <c r="T16" s="92" t="n">
        <v>2.5</v>
      </c>
      <c r="U16" s="92">
        <f>IF(AND(S16&lt;&gt;"[PROJECT TEAM]",T16&lt;&gt;"[PROJECT TEAM]"),S16*T16,"")</f>
        <v/>
      </c>
      <c r="V16" s="90">
        <f>IF(U16="","",IF(U16&gt;=17,"Critical",IF(U16&gt;=13,"High",IF(U16&gt;=5,"Moderate","Low"))))</f>
        <v/>
      </c>
      <c r="W16" s="91" t="inlineStr">
        <is>
          <t>Operations Manager / Vessel Master</t>
        </is>
      </c>
      <c r="X16" s="90" t="inlineStr">
        <is>
          <t>Open</t>
        </is>
      </c>
    </row>
    <row r="17" s="42">
      <c r="A17" s="87" t="inlineStr">
        <is>
          <t>SEC-013</t>
        </is>
      </c>
      <c r="B17" s="87" t="inlineStr">
        <is>
          <t>LEGAL</t>
        </is>
      </c>
      <c r="C17" s="88" t="inlineStr">
        <is>
          <t>Nigerian maritime regulatory compliance. NIMASA regulations, Suppression of Piracy and Other Maritime Offences (SPOMO) Act, cabotage requirements, port state control. Multiple regulatory bodies with overlapping jurisdiction. Corruption risk in regulatory interactions. Regulatory changes without notice.</t>
        </is>
      </c>
      <c r="D17" s="88" t="inlineStr">
        <is>
          <t>Compliance
Operations</t>
        </is>
      </c>
      <c r="E17" s="87" t="n">
        <v>4</v>
      </c>
      <c r="F17" s="87" t="n">
        <v>4</v>
      </c>
      <c r="G17" s="89">
        <f>AVERAGE(E17,F17)</f>
        <v/>
      </c>
      <c r="H17" s="87" t="n">
        <v>4</v>
      </c>
      <c r="I17" s="87" t="n">
        <v>4</v>
      </c>
      <c r="J17" s="87" t="n">
        <v>2</v>
      </c>
      <c r="K17" s="87" t="n">
        <v>5</v>
      </c>
      <c r="L17" s="87" t="n">
        <v>4</v>
      </c>
      <c r="M17" s="87" t="n">
        <v>4</v>
      </c>
      <c r="N17" s="89">
        <f>AVERAGE(H17:M17)</f>
        <v/>
      </c>
      <c r="O17" s="89">
        <f>G17*N17</f>
        <v/>
      </c>
      <c r="P17" s="87">
        <f>IF(O17&gt;=17,"Critical",IF(O17&gt;=13,"High",IF(O17&gt;=5,"Moderate","Low")))</f>
        <v/>
      </c>
      <c r="Q17" s="87" t="inlineStr">
        <is>
          <t>TREAT</t>
        </is>
      </c>
      <c r="R17" s="88" t="inlineStr">
        <is>
          <t>Nigerian regulatory requirements tracked in compliance register — NIMASA, port state, cabotage requirements. In-country legal advisor retained for Nigerian maritime law. Seagull Nigeria entity manages local regulatory interface with NIMASA and port authorities. Christoforos manages regulatory relationships from Lagos office. Regulatory changes monitored — industry associations (NIMASA bulletins, OMSA) provide advance notice. All regulatory approvals and licences logged with expiry tracking — 90-day renewal trigger.</t>
        </is>
      </c>
      <c r="S17" s="87" t="n">
        <v>3</v>
      </c>
      <c r="T17" s="89" t="n">
        <v>3</v>
      </c>
      <c r="U17" s="89">
        <f>IF(AND(S17&lt;&gt;"[PROJECT TEAM]",T17&lt;&gt;"[PROJECT TEAM]"),S17*T17,"")</f>
        <v/>
      </c>
      <c r="V17" s="87">
        <f>IF(U17="","",IF(U17&gt;=17,"Critical",IF(U17&gt;=13,"High",IF(U17&gt;=5,"Moderate","Low"))))</f>
        <v/>
      </c>
      <c r="W17" s="88" t="inlineStr">
        <is>
          <t>WAF Operations Director / GCD</t>
        </is>
      </c>
      <c r="X17" s="87" t="inlineStr">
        <is>
          <t>Open</t>
        </is>
      </c>
    </row>
    <row r="18" s="42">
      <c r="A18" s="90" t="inlineStr">
        <is>
          <t>SEC-014</t>
        </is>
      </c>
      <c r="B18" s="90" t="inlineStr">
        <is>
          <t>LEGAL</t>
        </is>
      </c>
      <c r="C18" s="91" t="inlineStr">
        <is>
          <t>Weapons and arms licensing in Nigerian waters. Arms importation and carriage regulated by Nigeria. Navy personnel carry weapons under MOU — Seagull must ensure clear legal separation. Risk of weapons misuse, loss, or diversion. Documentation and audit trail for all weapons movements. Maltese exemption documentation (Shell Finding #1).</t>
        </is>
      </c>
      <c r="D18" s="91" t="inlineStr">
        <is>
          <t>Compliance
Legal</t>
        </is>
      </c>
      <c r="E18" s="90" t="n">
        <v>3</v>
      </c>
      <c r="F18" s="90" t="n">
        <v>3</v>
      </c>
      <c r="G18" s="92">
        <f>AVERAGE(E18,F18)</f>
        <v/>
      </c>
      <c r="H18" s="90" t="n">
        <v>4</v>
      </c>
      <c r="I18" s="90" t="n">
        <v>4</v>
      </c>
      <c r="J18" s="90" t="n">
        <v>3</v>
      </c>
      <c r="K18" s="90" t="n">
        <v>5</v>
      </c>
      <c r="L18" s="90" t="n">
        <v>4</v>
      </c>
      <c r="M18" s="90" t="n">
        <v>4</v>
      </c>
      <c r="N18" s="92">
        <f>AVERAGE(H18:M18)</f>
        <v/>
      </c>
      <c r="O18" s="92">
        <f>G18*N18</f>
        <v/>
      </c>
      <c r="P18" s="90">
        <f>IF(O18&gt;=17,"Critical",IF(O18&gt;=13,"High",IF(O18&gt;=5,"Moderate","Low")))</f>
        <v/>
      </c>
      <c r="Q18" s="90" t="inlineStr">
        <is>
          <t>TREAT</t>
        </is>
      </c>
      <c r="R18" s="91" t="inlineStr">
        <is>
          <t>Clear legal separation: all weapons under Nigeria Navy control per MOU. Seagull does not import, hold, or manage weapons in Nigerian jurisdiction. MOU explicitly defines weapons responsibility chain. Weapons inventory documented by Navy at embark/disembark — Seagull observer witnesses and countersigns. Maltese exemption documentation in progress (Shell Finding #1 — ongoing). Any weapons-related non-compliance by Navy reported immediately to Navy command and logged by Compliance.</t>
        </is>
      </c>
      <c r="S18" s="90" t="n">
        <v>2</v>
      </c>
      <c r="T18" s="92" t="n">
        <v>3</v>
      </c>
      <c r="U18" s="92">
        <f>IF(AND(S18&lt;&gt;"[PROJECT TEAM]",T18&lt;&gt;"[PROJECT TEAM]"),S18*T18,"")</f>
        <v/>
      </c>
      <c r="V18" s="90">
        <f>IF(U18="","",IF(U18&gt;=17,"Critical",IF(U18&gt;=13,"High",IF(U18&gt;=5,"Moderate","Low"))))</f>
        <v/>
      </c>
      <c r="W18" s="91" t="inlineStr">
        <is>
          <t>WAF Operations Director / GCD</t>
        </is>
      </c>
      <c r="X18" s="90" t="inlineStr">
        <is>
          <t>Open</t>
        </is>
      </c>
    </row>
    <row r="19" s="42">
      <c r="A19" s="87" t="inlineStr">
        <is>
          <t>SEC-015</t>
        </is>
      </c>
      <c r="B19" s="87" t="inlineStr">
        <is>
          <t>LEGAL</t>
        </is>
      </c>
      <c r="C19" s="88" t="inlineStr">
        <is>
          <t>ISO 28000/28007/18788/9001 certification for WAF operations. SEV and local naval team operations must demonstrate compliance at audit. Libero surveillance audits. Shell approval maintenance. Distinct operational model from IOR PCASP operations requires separate documented procedures and evidence.</t>
        </is>
      </c>
      <c r="D19" s="88" t="inlineStr">
        <is>
          <t>Compliance
Business Dev</t>
        </is>
      </c>
      <c r="E19" s="87" t="n">
        <v>3</v>
      </c>
      <c r="F19" s="87" t="n">
        <v>3</v>
      </c>
      <c r="G19" s="89">
        <f>AVERAGE(E19,F19)</f>
        <v/>
      </c>
      <c r="H19" s="87" t="n">
        <v>4</v>
      </c>
      <c r="I19" s="87" t="n">
        <v>3</v>
      </c>
      <c r="J19" s="87" t="n">
        <v>2</v>
      </c>
      <c r="K19" s="87" t="n">
        <v>4</v>
      </c>
      <c r="L19" s="87" t="n">
        <v>4</v>
      </c>
      <c r="M19" s="87" t="n">
        <v>3</v>
      </c>
      <c r="N19" s="89">
        <f>AVERAGE(H19:M19)</f>
        <v/>
      </c>
      <c r="O19" s="89">
        <f>G19*N19</f>
        <v/>
      </c>
      <c r="P19" s="87">
        <f>IF(O19&gt;=17,"Critical",IF(O19&gt;=13,"High",IF(O19&gt;=5,"Moderate","Low")))</f>
        <v/>
      </c>
      <c r="Q19" s="87" t="inlineStr">
        <is>
          <t>TREAT</t>
        </is>
      </c>
      <c r="R19" s="88" t="inlineStr">
        <is>
          <t>Internal audit programme includes WAF operations — minimum annual audit of Nigerian ops. Pre-audit readiness review 30 days before any surveillance or certification audit. WAF-specific operational procedures documented and maintained in SMS. Shell finding closure tracker maintained — all findings tracked to evidence of closure. NCR and CPA register actively managed — no overdue items at audit. Management Review includes WAF operational compliance as standing agenda item.</t>
        </is>
      </c>
      <c r="S19" s="87" t="n">
        <v>2</v>
      </c>
      <c r="T19" s="89" t="n">
        <v>2.5</v>
      </c>
      <c r="U19" s="89">
        <f>IF(AND(S19&lt;&gt;"[PROJECT TEAM]",T19&lt;&gt;"[PROJECT TEAM]"),S19*T19,"")</f>
        <v/>
      </c>
      <c r="V19" s="87">
        <f>IF(U19="","",IF(U19&gt;=17,"Critical",IF(U19&gt;=13,"High",IF(U19&gt;=5,"Moderate","Low"))))</f>
        <v/>
      </c>
      <c r="W19" s="88" t="inlineStr">
        <is>
          <t>GCD</t>
        </is>
      </c>
      <c r="X19" s="87" t="inlineStr">
        <is>
          <t>Open</t>
        </is>
      </c>
    </row>
    <row r="20" s="42">
      <c r="A20" s="90" t="inlineStr">
        <is>
          <t>SEC-016</t>
        </is>
      </c>
      <c r="B20" s="90" t="inlineStr">
        <is>
          <t>LEGAL</t>
        </is>
      </c>
      <c r="C20" s="91" t="inlineStr">
        <is>
          <t>Anti-bribery and corruption risk. Nigeria ranked 145/180 on Transparency International CPI. Customs clearance, port operations, regulatory approvals, and Navy MOU management all carry corruption risk. UK Bribery Act applies to Seagull Malta/UK entities regardless of where the offence occurs. Zero tolerance required but operationally challenging.</t>
        </is>
      </c>
      <c r="D20" s="91" t="inlineStr">
        <is>
          <t>Compliance
Operations
Legal</t>
        </is>
      </c>
      <c r="E20" s="90" t="n">
        <v>4</v>
      </c>
      <c r="F20" s="90" t="n">
        <v>4</v>
      </c>
      <c r="G20" s="92">
        <f>AVERAGE(E20,F20)</f>
        <v/>
      </c>
      <c r="H20" s="90" t="n">
        <v>5</v>
      </c>
      <c r="I20" s="90" t="n">
        <v>4</v>
      </c>
      <c r="J20" s="90" t="n">
        <v>2</v>
      </c>
      <c r="K20" s="90" t="n">
        <v>5</v>
      </c>
      <c r="L20" s="90" t="n">
        <v>5</v>
      </c>
      <c r="M20" s="90" t="n">
        <v>5</v>
      </c>
      <c r="N20" s="92">
        <f>AVERAGE(H20:M20)</f>
        <v/>
      </c>
      <c r="O20" s="92">
        <f>G20*N20</f>
        <v/>
      </c>
      <c r="P20" s="90">
        <f>IF(O20&gt;=17,"Critical",IF(O20&gt;=13,"High",IF(O20&gt;=5,"Moderate","Low")))</f>
        <v/>
      </c>
      <c r="Q20" s="90" t="inlineStr">
        <is>
          <t>TREAT</t>
        </is>
      </c>
      <c r="R20" s="91" t="inlineStr">
        <is>
          <t>SM POL Anti-Bribery &amp; Corruption Policy applied — zero tolerance, no exceptions. All staff and subcontractors sign ABC declaration annually. Facilitation payments prohibited — documented in all agent/intermediary agreements. Third-party due diligence on all Nigerian agents, suppliers, and subcontractors — sanctions and PEP screening. Gift and hospitality register maintained. Annual ABC training mandatory for all WAF-deployed personnel. Whistleblowing channel available for anonymous corruption reporting. Procurement approvals require dual sign-off above defined thresholds.</t>
        </is>
      </c>
      <c r="S20" s="90" t="n">
        <v>3</v>
      </c>
      <c r="T20" s="92" t="n">
        <v>3</v>
      </c>
      <c r="U20" s="92">
        <f>IF(AND(S20&lt;&gt;"[PROJECT TEAM]",T20&lt;&gt;"[PROJECT TEAM]"),S20*T20,"")</f>
        <v/>
      </c>
      <c r="V20" s="90">
        <f>IF(U20="","",IF(U20&gt;=17,"Critical",IF(U20&gt;=13,"High",IF(U20&gt;=5,"Moderate","Low"))))</f>
        <v/>
      </c>
      <c r="W20" s="91" t="inlineStr">
        <is>
          <t>GCD / WAF Operations Director</t>
        </is>
      </c>
      <c r="X20" s="90" t="inlineStr">
        <is>
          <t>Open</t>
        </is>
      </c>
    </row>
    <row r="21" s="42">
      <c r="A21" s="87" t="inlineStr">
        <is>
          <t>SEC-017</t>
        </is>
      </c>
      <c r="B21" s="87" t="inlineStr">
        <is>
          <t>ENVIRONMENTAL</t>
        </is>
      </c>
      <c r="C21" s="88" t="inlineStr">
        <is>
          <t>Tropical weather and sea state impacts on SEV operations. Rainy season (Apr-Oct) with heavy squalls reducing visibility and small boat operations capability. Harmattan dust season (Dec-Feb) affecting navigation and equipment. Swell patterns impacting vessel stability and personnel transfer safety.</t>
        </is>
      </c>
      <c r="D21" s="88" t="inlineStr">
        <is>
          <t>Operations
Safety</t>
        </is>
      </c>
      <c r="E21" s="87" t="n">
        <v>4</v>
      </c>
      <c r="F21" s="87" t="n">
        <v>4</v>
      </c>
      <c r="G21" s="89">
        <f>AVERAGE(E21,F21)</f>
        <v/>
      </c>
      <c r="H21" s="87" t="n">
        <v>3</v>
      </c>
      <c r="I21" s="87" t="n">
        <v>4</v>
      </c>
      <c r="J21" s="87" t="n">
        <v>4</v>
      </c>
      <c r="K21" s="87" t="n">
        <v>2</v>
      </c>
      <c r="L21" s="87" t="n">
        <v>3</v>
      </c>
      <c r="M21" s="87" t="n">
        <v>3</v>
      </c>
      <c r="N21" s="89">
        <f>AVERAGE(H21:M21)</f>
        <v/>
      </c>
      <c r="O21" s="89">
        <f>G21*N21</f>
        <v/>
      </c>
      <c r="P21" s="87">
        <f>IF(O21&gt;=17,"Critical",IF(O21&gt;=13,"High",IF(O21&gt;=5,"Moderate","Low")))</f>
        <v/>
      </c>
      <c r="Q21" s="87" t="inlineStr">
        <is>
          <t>TREAT</t>
        </is>
      </c>
      <c r="R21" s="88" t="inlineStr">
        <is>
          <t>Seasonal operational restrictions documented — small boat operations restricted in defined sea states. Weather monitoring service — 72hr and 24hr forecasts reviewed before operations. Personnel transfer risk assessment per SM MS — conducted before every transfer. Vessel stability assessments maintained current — loading conditions monitored. Harmattan season procedures — enhanced navigation watch, equipment covers, increased maintenance frequency.</t>
        </is>
      </c>
      <c r="S21" s="87" t="n">
        <v>3</v>
      </c>
      <c r="T21" s="89" t="n">
        <v>2.5</v>
      </c>
      <c r="U21" s="89">
        <f>IF(AND(S21&lt;&gt;"[PROJECT TEAM]",T21&lt;&gt;"[PROJECT TEAM]"),S21*T21,"")</f>
        <v/>
      </c>
      <c r="V21" s="87">
        <f>IF(U21="","",IF(U21&gt;=17,"Critical",IF(U21&gt;=13,"High",IF(U21&gt;=5,"Moderate","Low"))))</f>
        <v/>
      </c>
      <c r="W21" s="88" t="inlineStr">
        <is>
          <t>Vessel Master / Operations Manager</t>
        </is>
      </c>
      <c r="X21" s="87" t="inlineStr">
        <is>
          <t>Open</t>
        </is>
      </c>
    </row>
    <row r="22" s="42">
      <c r="A22" s="90" t="inlineStr">
        <is>
          <t>SEC-018</t>
        </is>
      </c>
      <c r="B22" s="90" t="inlineStr">
        <is>
          <t>ENVIRONMENTAL</t>
        </is>
      </c>
      <c r="C22" s="91" t="inlineStr">
        <is>
          <t>Medical emergency in Nigerian/GOG waters. Limited MEDEVAC capability. Nigerian medical facilities variable quality. Infectious disease risk (malaria, yellow fever, cholera, COVID). Delayed access to definitive medical care. Crew health screening and prophylaxis requirements.</t>
        </is>
      </c>
      <c r="D22" s="91" t="inlineStr">
        <is>
          <t>Operations
HR
Safety</t>
        </is>
      </c>
      <c r="E22" s="90" t="n">
        <v>3</v>
      </c>
      <c r="F22" s="90" t="n">
        <v>3</v>
      </c>
      <c r="G22" s="92">
        <f>AVERAGE(E22,F22)</f>
        <v/>
      </c>
      <c r="H22" s="90" t="n">
        <v>3</v>
      </c>
      <c r="I22" s="90" t="n">
        <v>3</v>
      </c>
      <c r="J22" s="90" t="n">
        <v>5</v>
      </c>
      <c r="K22" s="90" t="n">
        <v>3</v>
      </c>
      <c r="L22" s="90" t="n">
        <v>4</v>
      </c>
      <c r="M22" s="90" t="n">
        <v>4</v>
      </c>
      <c r="N22" s="92">
        <f>AVERAGE(H22:M22)</f>
        <v/>
      </c>
      <c r="O22" s="92">
        <f>G22*N22</f>
        <v/>
      </c>
      <c r="P22" s="90">
        <f>IF(O22&gt;=17,"Critical",IF(O22&gt;=13,"High",IF(O22&gt;=5,"Moderate","Low")))</f>
        <v/>
      </c>
      <c r="Q22" s="90" t="inlineStr">
        <is>
          <t>TREAT</t>
        </is>
      </c>
      <c r="R22" s="91" t="inlineStr">
        <is>
          <t>Pre-deployment medical screening for all personnel deploying to WAF — fitness declaration, vaccination record (yellow fever, typhoid, hepatitis mandatory). Malaria prophylaxis mandatory for all deployed personnel — compliance monitored by TL. Medical kit on all SEVs scaled for tropical operations — includes malaria test kits, antivenoms, rehydration. Telemedicine service contracted. MEDEVAC plan for every deployment — nearest hospital with trauma capability identified (Lagos, Port Harcourt). Minimum one advanced first aider per vessel (STCW medical or equivalent).</t>
        </is>
      </c>
      <c r="S22" s="90" t="n">
        <v>2</v>
      </c>
      <c r="T22" s="92" t="n">
        <v>3</v>
      </c>
      <c r="U22" s="92">
        <f>IF(AND(S22&lt;&gt;"[PROJECT TEAM]",T22&lt;&gt;"[PROJECT TEAM]"),S22*T22,"")</f>
        <v/>
      </c>
      <c r="V22" s="90">
        <f>IF(U22="","",IF(U22&gt;=17,"Critical",IF(U22&gt;=13,"High",IF(U22&gt;=5,"Moderate","Low"))))</f>
        <v/>
      </c>
      <c r="W22" s="91" t="inlineStr">
        <is>
          <t>Operations Manager / HR</t>
        </is>
      </c>
      <c r="X22" s="90" t="inlineStr">
        <is>
          <t>Open</t>
        </is>
      </c>
    </row>
    <row r="23" s="42">
      <c r="A23" s="87" t="inlineStr">
        <is>
          <t>SEC-019</t>
        </is>
      </c>
      <c r="B23" s="87" t="inlineStr">
        <is>
          <t>ENVIRONMENTAL</t>
        </is>
      </c>
      <c r="C23" s="88" t="inlineStr">
        <is>
          <t>Oil spill and pollution risk from SEV operations. Fuel bunkering, bilge management, and waste disposal in Nigerian waters. MARPOL compliance. Environmental penalties from Nigerian authorities. Reputational damage from pollution incidents. Client ESG requirements increasingly stringent.</t>
        </is>
      </c>
      <c r="D23" s="88" t="inlineStr">
        <is>
          <t>Operations
Compliance</t>
        </is>
      </c>
      <c r="E23" s="87" t="n">
        <v>3</v>
      </c>
      <c r="F23" s="87" t="n">
        <v>3</v>
      </c>
      <c r="G23" s="89">
        <f>AVERAGE(E23,F23)</f>
        <v/>
      </c>
      <c r="H23" s="87" t="n">
        <v>3</v>
      </c>
      <c r="I23" s="87" t="n">
        <v>3</v>
      </c>
      <c r="J23" s="87" t="n">
        <v>2</v>
      </c>
      <c r="K23" s="87" t="n">
        <v>4</v>
      </c>
      <c r="L23" s="87" t="n">
        <v>4</v>
      </c>
      <c r="M23" s="87" t="n">
        <v>4</v>
      </c>
      <c r="N23" s="89">
        <f>AVERAGE(H23:M23)</f>
        <v/>
      </c>
      <c r="O23" s="89">
        <f>G23*N23</f>
        <v/>
      </c>
      <c r="P23" s="87">
        <f>IF(O23&gt;=17,"Critical",IF(O23&gt;=13,"High",IF(O23&gt;=5,"Moderate","Low")))</f>
        <v/>
      </c>
      <c r="Q23" s="87" t="inlineStr">
        <is>
          <t>TREAT</t>
        </is>
      </c>
      <c r="R23" s="88" t="inlineStr">
        <is>
          <t>MARPOL compliance maintained on all vessels — Oil Record Books, Garbage Management Plans current. Fuel bunkering procedures documented — spill prevention and response kit on all SEVs. Bilge management per ISM Code — no unauthorised discharges. Waste disposal contracted through approved shore facilities only. SOPEP (Shipboard Oil Pollution Emergency Plan) maintained and tested annually. Environmental incident reporting per SM PRO — any pollution event reported within 1 hour.</t>
        </is>
      </c>
      <c r="S23" s="87" t="n">
        <v>2</v>
      </c>
      <c r="T23" s="89" t="n">
        <v>2.5</v>
      </c>
      <c r="U23" s="89">
        <f>IF(AND(S23&lt;&gt;"[PROJECT TEAM]",T23&lt;&gt;"[PROJECT TEAM]"),S23*T23,"")</f>
        <v/>
      </c>
      <c r="V23" s="87">
        <f>IF(U23="","",IF(U23&gt;=17,"Critical",IF(U23&gt;=13,"High",IF(U23&gt;=5,"Moderate","Low"))))</f>
        <v/>
      </c>
      <c r="W23" s="88" t="inlineStr">
        <is>
          <t>Vessel Master / Operations Manager</t>
        </is>
      </c>
      <c r="X23" s="87" t="inlineStr">
        <is>
          <t>Open</t>
        </is>
      </c>
    </row>
    <row r="24" s="42">
      <c r="A24" s="90" t="inlineStr">
        <is>
          <t>SEC-020</t>
        </is>
      </c>
      <c r="B24" s="90" t="inlineStr">
        <is>
          <t>ECONOMIC</t>
        </is>
      </c>
      <c r="C24" s="91" t="inlineStr">
        <is>
          <t>Competitor and market dynamics in GOG. Local Nigerian security companies with lower cost base. International PMSCs competing for same contracts. Deep Blue Project and improved Navy capability could reduce client demand for private maritime security. Market consolidation pressure.</t>
        </is>
      </c>
      <c r="D24" s="91" t="inlineStr">
        <is>
          <t>Business Dev
Finance</t>
        </is>
      </c>
      <c r="E24" s="90" t="n">
        <v>4</v>
      </c>
      <c r="F24" s="90" t="n">
        <v>4</v>
      </c>
      <c r="G24" s="92">
        <f>AVERAGE(E24,F24)</f>
        <v/>
      </c>
      <c r="H24" s="90" t="n">
        <v>4</v>
      </c>
      <c r="I24" s="90" t="n">
        <v>3</v>
      </c>
      <c r="J24" s="90" t="n">
        <v>1</v>
      </c>
      <c r="K24" s="90" t="n">
        <v>2</v>
      </c>
      <c r="L24" s="90" t="n">
        <v>3</v>
      </c>
      <c r="M24" s="90" t="n">
        <v>4</v>
      </c>
      <c r="N24" s="92">
        <f>AVERAGE(H24:M24)</f>
        <v/>
      </c>
      <c r="O24" s="92">
        <f>G24*N24</f>
        <v/>
      </c>
      <c r="P24" s="90">
        <f>IF(O24&gt;=17,"Critical",IF(O24&gt;=13,"High",IF(O24&gt;=5,"Moderate","Low")))</f>
        <v/>
      </c>
      <c r="Q24" s="90" t="inlineStr">
        <is>
          <t>TREAT</t>
        </is>
      </c>
      <c r="R24" s="91" t="inlineStr">
        <is>
          <t>Value-based competitive positioning — ISO certifications, Shell approval, ICoCA membership as differentiators. Client retention focus — regular client engagement meetings, feedback loops, service improvement. Market intelligence on Deep Blue Project development — monitor for impact on private security demand. Local partnership model through Seagull Nigeria — cost advantage over purely international competitors. Tender response quality maintained — Compliance review of all tenders before submission. Diversification into adjacent services (vessel provision, consultancy) reduces dependency on escort/guarding market.</t>
        </is>
      </c>
      <c r="S24" s="90" t="n">
        <v>3</v>
      </c>
      <c r="T24" s="92" t="n">
        <v>2.5</v>
      </c>
      <c r="U24" s="92">
        <f>IF(AND(S24&lt;&gt;"[PROJECT TEAM]",T24&lt;&gt;"[PROJECT TEAM]"),S24*T24,"")</f>
        <v/>
      </c>
      <c r="V24" s="90">
        <f>IF(U24="","",IF(U24&gt;=17,"Critical",IF(U24&gt;=13,"High",IF(U24&gt;=5,"Moderate","Low"))))</f>
        <v/>
      </c>
      <c r="W24" s="91" t="inlineStr">
        <is>
          <t>CCO / CEO</t>
        </is>
      </c>
      <c r="X24" s="90" t="inlineStr">
        <is>
          <t>Open</t>
        </is>
      </c>
    </row>
  </sheetData>
  <mergeCells count="5">
    <mergeCell ref="O3:P3"/>
    <mergeCell ref="S3:V3"/>
    <mergeCell ref="A2:X2"/>
    <mergeCell ref="H3:N3"/>
    <mergeCell ref="E3:G3"/>
  </mergeCells>
  <conditionalFormatting sqref="P5:P24">
    <cfRule type="cellIs" priority="1" operator="equal" dxfId="0">
      <formula>"Critical"</formula>
    </cfRule>
    <cfRule type="cellIs" priority="2" operator="equal" dxfId="1">
      <formula>"High"</formula>
    </cfRule>
    <cfRule type="cellIs" priority="3" operator="equal" dxfId="2">
      <formula>"Moderate"</formula>
    </cfRule>
    <cfRule type="cellIs" priority="4" operator="equal" dxfId="3">
      <formula>"Low"</formula>
    </cfRule>
  </conditionalFormatting>
  <conditionalFormatting sqref="V5:V24">
    <cfRule type="cellIs" priority="5" operator="equal" dxfId="0">
      <formula>"Critical"</formula>
    </cfRule>
    <cfRule type="cellIs" priority="6" operator="equal" dxfId="1">
      <formula>"High"</formula>
    </cfRule>
    <cfRule type="cellIs" priority="7" operator="equal" dxfId="2">
      <formula>"Moderate"</formula>
    </cfRule>
    <cfRule type="cellIs" priority="8" operator="equal" dxfId="3">
      <formula>"Low"</formula>
    </cfRule>
  </conditionalFormatting>
  <conditionalFormatting sqref="O5:O24">
    <cfRule type="cellIs" priority="9" operator="greaterThanOrEqual" dxfId="0">
      <formula>17</formula>
    </cfRule>
    <cfRule type="cellIs" priority="10" operator="between" dxfId="1">
      <formula>13</formula>
      <formula>16.99</formula>
    </cfRule>
    <cfRule type="cellIs" priority="11" operator="between" dxfId="2">
      <formula>5</formula>
      <formula>12.99</formula>
    </cfRule>
    <cfRule type="cellIs" priority="12" operator="between" dxfId="3">
      <formula>1</formula>
      <formula>4.99</formula>
    </cfRule>
  </conditionalFormatting>
  <conditionalFormatting sqref="U5:U24">
    <cfRule type="cellIs" priority="13" operator="greaterThanOrEqual" dxfId="0">
      <formula>17</formula>
    </cfRule>
    <cfRule type="cellIs" priority="14" operator="between" dxfId="1">
      <formula>13</formula>
      <formula>16.99</formula>
    </cfRule>
    <cfRule type="cellIs" priority="15" operator="between" dxfId="2">
      <formula>5</formula>
      <formula>12.99</formula>
    </cfRule>
    <cfRule type="cellIs" priority="16" operator="between" dxfId="3">
      <formula>1</formula>
      <formula>4.99</formula>
    </cfRule>
  </conditionalFormatting>
  <printOptions horizontalCentered="0" verticalCentered="0" headings="0" gridLines="0" gridLinesSet="1"/>
  <pageMargins left="0.75" right="0.75" top="1" bottom="1" header="0.511811023622047" footer="0.511811023622047"/>
  <pageSetup orientation="landscape" paperSize="9"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J2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4" customWidth="1" style="41" min="1" max="1"/>
    <col width="20" customWidth="1" style="41" min="2" max="2"/>
    <col width="14" customWidth="1" style="41" min="3" max="10"/>
  </cols>
  <sheetData>
    <row r="1" ht="53.25" customHeight="1" s="42">
      <c r="A1" s="93" t="n"/>
      <c r="B1" s="93" t="n"/>
      <c r="C1" s="93" t="n"/>
      <c r="D1" s="93" t="n"/>
      <c r="E1" s="93" t="n"/>
      <c r="F1" s="93" t="n"/>
      <c r="G1" s="93" t="n"/>
      <c r="H1" s="93" t="n"/>
      <c r="I1" s="93" t="n"/>
      <c r="J1" s="93" t="n"/>
    </row>
    <row r="2" ht="24" customHeight="1" s="42">
      <c r="A2" s="43" t="inlineStr">
        <is>
          <t>RISK DASHBOARD</t>
        </is>
      </c>
    </row>
    <row r="3">
      <c r="A3" s="93" t="n"/>
      <c r="B3" s="93" t="n"/>
      <c r="C3" s="93" t="n"/>
      <c r="D3" s="93" t="n"/>
      <c r="E3" s="93" t="n"/>
      <c r="F3" s="93" t="n"/>
      <c r="G3" s="93" t="n"/>
      <c r="H3" s="93" t="n"/>
      <c r="I3" s="93" t="n"/>
      <c r="J3" s="93" t="n"/>
    </row>
    <row r="4" ht="15" customHeight="1" s="42">
      <c r="A4" s="93" t="n"/>
      <c r="B4" s="44" t="inlineStr">
        <is>
          <t>KEY METRICS</t>
        </is>
      </c>
      <c r="J4" s="93" t="n"/>
    </row>
    <row r="5" ht="15" customHeight="1" s="42">
      <c r="A5" s="93" t="n"/>
      <c r="B5" s="73" t="inlineStr">
        <is>
          <t>Total Risks</t>
        </is>
      </c>
      <c r="C5" s="93" t="n"/>
      <c r="D5" s="73" t="inlineStr">
        <is>
          <t>Critical</t>
        </is>
      </c>
      <c r="E5" s="93" t="n"/>
      <c r="F5" s="73" t="inlineStr">
        <is>
          <t>High</t>
        </is>
      </c>
      <c r="G5" s="93" t="n"/>
      <c r="H5" s="73" t="inlineStr">
        <is>
          <t>Moderate</t>
        </is>
      </c>
      <c r="I5" s="93" t="n"/>
      <c r="J5" s="93" t="n"/>
    </row>
    <row r="6" ht="17.25" customHeight="1" s="42">
      <c r="A6" s="93" t="n"/>
      <c r="B6" s="74">
        <f>COUNTA('Risk Assessment'!A5:A24)</f>
        <v/>
      </c>
      <c r="C6" s="93" t="n"/>
      <c r="D6" s="74">
        <f>COUNTIF('Risk Assessment'!P5:P24,"Critical")</f>
        <v/>
      </c>
      <c r="E6" s="93" t="n"/>
      <c r="F6" s="74">
        <f>COUNTIF('Risk Assessment'!P5:P24,"High")</f>
        <v/>
      </c>
      <c r="G6" s="93" t="n"/>
      <c r="H6" s="74">
        <f>COUNTIF('Risk Assessment'!P5:P24,"Moderate")</f>
        <v/>
      </c>
      <c r="I6" s="93" t="n"/>
      <c r="J6" s="93" t="n"/>
    </row>
    <row r="7">
      <c r="A7" s="93" t="n"/>
      <c r="B7" s="93" t="n"/>
      <c r="C7" s="93" t="n"/>
      <c r="D7" s="93" t="n"/>
      <c r="E7" s="93" t="n"/>
      <c r="F7" s="93" t="n"/>
      <c r="G7" s="93" t="n"/>
      <c r="H7" s="93" t="n"/>
      <c r="I7" s="93" t="n"/>
      <c r="J7" s="93" t="n"/>
    </row>
    <row r="8" ht="15" customHeight="1" s="42">
      <c r="A8" s="93" t="n"/>
      <c r="B8" s="75" t="inlineStr">
        <is>
          <t>Avg. Pre-Risk Rating</t>
        </is>
      </c>
      <c r="C8" s="93" t="n"/>
      <c r="D8" s="75" t="inlineStr">
        <is>
          <t>Highest Pre-Risk Rating</t>
        </is>
      </c>
      <c r="E8" s="93" t="n"/>
      <c r="F8" s="75" t="inlineStr">
        <is>
          <t>Low Risk Count</t>
        </is>
      </c>
      <c r="G8" s="93" t="n"/>
      <c r="H8" s="93" t="n"/>
      <c r="I8" s="93" t="n"/>
      <c r="J8" s="93" t="n"/>
    </row>
    <row r="9" ht="17.25" customHeight="1" s="42">
      <c r="A9" s="93" t="n"/>
      <c r="B9" s="76">
        <f>AVERAGE('Risk Assessment'!O5:O24)</f>
        <v/>
      </c>
      <c r="C9" s="93" t="n"/>
      <c r="D9" s="76">
        <f>MAX('Risk Assessment'!O5:O24)</f>
        <v/>
      </c>
      <c r="E9" s="93" t="n"/>
      <c r="F9" s="77">
        <f>COUNTIF('Risk Assessment'!P5:P24,"Low")</f>
        <v/>
      </c>
      <c r="G9" s="93" t="n"/>
      <c r="H9" s="93" t="n"/>
      <c r="I9" s="93" t="n"/>
      <c r="J9" s="93" t="n"/>
    </row>
    <row r="10">
      <c r="A10" s="93" t="n"/>
      <c r="B10" s="93" t="n"/>
      <c r="C10" s="93" t="n"/>
      <c r="D10" s="93" t="n"/>
      <c r="E10" s="93" t="n"/>
      <c r="F10" s="93" t="n"/>
      <c r="G10" s="93" t="n"/>
      <c r="H10" s="93" t="n"/>
      <c r="I10" s="93" t="n"/>
      <c r="J10" s="93" t="n"/>
    </row>
    <row r="11" ht="15" customHeight="1" s="42">
      <c r="A11" s="93" t="n"/>
      <c r="B11" s="44" t="inlineStr">
        <is>
          <t>PRE-RISK OUTLOOK</t>
        </is>
      </c>
      <c r="J11" s="93" t="n"/>
    </row>
    <row r="12" ht="15" customHeight="1" s="42">
      <c r="A12" s="93" t="n"/>
      <c r="B12" s="67" t="inlineStr">
        <is>
          <t>Critical (17-25)</t>
        </is>
      </c>
      <c r="E12" s="78">
        <f>COUNTIF('Risk Assessment'!P5:P24,"Critical")</f>
        <v/>
      </c>
      <c r="F12" s="93" t="n"/>
      <c r="G12" s="93" t="n"/>
      <c r="H12" s="93" t="n"/>
      <c r="I12" s="93" t="n"/>
      <c r="J12" s="93" t="n"/>
    </row>
    <row r="13" ht="15" customHeight="1" s="42">
      <c r="A13" s="93" t="n"/>
      <c r="B13" s="66" t="inlineStr">
        <is>
          <t>High (13-16)</t>
        </is>
      </c>
      <c r="E13" s="78">
        <f>COUNTIF('Risk Assessment'!P5:P24,"High")</f>
        <v/>
      </c>
      <c r="F13" s="93" t="n"/>
      <c r="G13" s="93" t="n"/>
      <c r="H13" s="93" t="n"/>
      <c r="I13" s="93" t="n"/>
      <c r="J13" s="93" t="n"/>
    </row>
    <row r="14" ht="15" customHeight="1" s="42">
      <c r="A14" s="93" t="n"/>
      <c r="B14" s="65" t="inlineStr">
        <is>
          <t>Moderate (5-12)</t>
        </is>
      </c>
      <c r="E14" s="78">
        <f>COUNTIF('Risk Assessment'!P5:P24,"Moderate")</f>
        <v/>
      </c>
      <c r="F14" s="93" t="n"/>
      <c r="G14" s="93" t="n"/>
      <c r="H14" s="93" t="n"/>
      <c r="I14" s="93" t="n"/>
      <c r="J14" s="93" t="n"/>
    </row>
    <row r="15" ht="15" customHeight="1" s="42">
      <c r="A15" s="93" t="n"/>
      <c r="B15" s="62" t="inlineStr">
        <is>
          <t>Low (1-4)</t>
        </is>
      </c>
      <c r="E15" s="78">
        <f>COUNTIF('Risk Assessment'!P5:P24,"Low")</f>
        <v/>
      </c>
      <c r="F15" s="93" t="n"/>
      <c r="G15" s="93" t="n"/>
      <c r="H15" s="93" t="n"/>
      <c r="I15" s="93" t="n"/>
      <c r="J15" s="93" t="n"/>
    </row>
    <row r="16">
      <c r="A16" s="93" t="n"/>
      <c r="B16" s="93" t="n"/>
      <c r="C16" s="93" t="n"/>
      <c r="D16" s="93" t="n"/>
      <c r="E16" s="93" t="n"/>
      <c r="F16" s="93" t="n"/>
      <c r="G16" s="93" t="n"/>
      <c r="H16" s="93" t="n"/>
      <c r="I16" s="93" t="n"/>
      <c r="J16" s="93" t="n"/>
    </row>
    <row r="17" ht="15" customHeight="1" s="42">
      <c r="A17" s="93" t="n"/>
      <c r="B17" s="44" t="inlineStr">
        <is>
          <t>RISK DISTRIBUTION BY PESTLE CATEGORY</t>
        </is>
      </c>
      <c r="J17" s="93" t="n"/>
    </row>
    <row r="18" ht="15" customHeight="1" s="42">
      <c r="A18" s="93" t="n"/>
      <c r="B18" s="50" t="inlineStr">
        <is>
          <t>Category</t>
        </is>
      </c>
      <c r="C18" s="50" t="inlineStr">
        <is>
          <t>Count</t>
        </is>
      </c>
      <c r="D18" s="50" t="inlineStr">
        <is>
          <t>Avg Rating</t>
        </is>
      </c>
      <c r="E18" s="50" t="inlineStr">
        <is>
          <t>Highest</t>
        </is>
      </c>
      <c r="F18" s="93" t="n"/>
      <c r="G18" s="93" t="n"/>
      <c r="H18" s="93" t="n"/>
      <c r="I18" s="93" t="n"/>
      <c r="J18" s="93" t="n"/>
    </row>
    <row r="19" ht="15" customHeight="1" s="42">
      <c r="A19" s="93" t="n"/>
      <c r="B19" s="79" t="inlineStr">
        <is>
          <t>POLITICAL</t>
        </is>
      </c>
      <c r="C19" s="80">
        <f>COUNTIF('Risk Assessment'!B5:B24,"POLITICAL")</f>
        <v/>
      </c>
      <c r="D19" s="81">
        <f>IFERROR(AVERAGEIF('Risk Assessment'!B5:B24,"POLITICAL",'Risk Assessment'!O5:O24),0)</f>
        <v/>
      </c>
      <c r="E19" s="81">
        <f>IFERROR(aggregate(14,6,'Risk Assessment'!O5:O24/('Risk Assessment'!B5:B24="POLITICAL"),1),0)</f>
        <v/>
      </c>
      <c r="F19" s="93" t="n"/>
      <c r="G19" s="93" t="n"/>
      <c r="H19" s="93" t="n"/>
      <c r="I19" s="93" t="n"/>
      <c r="J19" s="93" t="n"/>
    </row>
    <row r="20" ht="15" customHeight="1" s="42">
      <c r="A20" s="93" t="n"/>
      <c r="B20" s="82" t="inlineStr">
        <is>
          <t>ECONOMIC</t>
        </is>
      </c>
      <c r="C20" s="83">
        <f>COUNTIF('Risk Assessment'!B5:B24,"ECONOMIC")</f>
        <v/>
      </c>
      <c r="D20" s="84">
        <f>IFERROR(AVERAGEIF('Risk Assessment'!B5:B24,"ECONOMIC",'Risk Assessment'!O5:O24),0)</f>
        <v/>
      </c>
      <c r="E20" s="84">
        <f>IFERROR(aggregate(14,6,'Risk Assessment'!O5:O24/('Risk Assessment'!B5:B24="ECONOMIC"),1),0)</f>
        <v/>
      </c>
      <c r="F20" s="93" t="n"/>
      <c r="G20" s="93" t="n"/>
      <c r="H20" s="93" t="n"/>
      <c r="I20" s="93" t="n"/>
      <c r="J20" s="93" t="n"/>
    </row>
    <row r="21" ht="15" customHeight="1" s="42">
      <c r="A21" s="93" t="n"/>
      <c r="B21" s="79" t="inlineStr">
        <is>
          <t>SOCIAL</t>
        </is>
      </c>
      <c r="C21" s="80">
        <f>COUNTIF('Risk Assessment'!B5:B24,"SOCIAL")</f>
        <v/>
      </c>
      <c r="D21" s="81">
        <f>IFERROR(AVERAGEIF('Risk Assessment'!B5:B24,"SOCIAL",'Risk Assessment'!O5:O24),0)</f>
        <v/>
      </c>
      <c r="E21" s="81">
        <f>IFERROR(aggregate(14,6,'Risk Assessment'!O5:O24/('Risk Assessment'!B5:B24="SOCIAL"),1),0)</f>
        <v/>
      </c>
      <c r="F21" s="93" t="n"/>
      <c r="G21" s="93" t="n"/>
      <c r="H21" s="93" t="n"/>
      <c r="I21" s="93" t="n"/>
      <c r="J21" s="93" t="n"/>
    </row>
    <row r="22" ht="15" customHeight="1" s="42">
      <c r="A22" s="93" t="n"/>
      <c r="B22" s="82" t="inlineStr">
        <is>
          <t>TECHNOLOGICAL</t>
        </is>
      </c>
      <c r="C22" s="83">
        <f>COUNTIF('Risk Assessment'!B5:B24,"TECHNOLOGICAL")</f>
        <v/>
      </c>
      <c r="D22" s="84">
        <f>IFERROR(AVERAGEIF('Risk Assessment'!B5:B24,"TECHNOLOGICAL",'Risk Assessment'!O5:O24),0)</f>
        <v/>
      </c>
      <c r="E22" s="84">
        <f>IFERROR(aggregate(14,6,'Risk Assessment'!O5:O24/('Risk Assessment'!B5:B24="TECHNOLOGICAL"),1),0)</f>
        <v/>
      </c>
      <c r="F22" s="93" t="n"/>
      <c r="G22" s="93" t="n"/>
      <c r="H22" s="93" t="n"/>
      <c r="I22" s="93" t="n"/>
      <c r="J22" s="93" t="n"/>
    </row>
    <row r="23" ht="15" customHeight="1" s="42">
      <c r="A23" s="93" t="n"/>
      <c r="B23" s="79" t="inlineStr">
        <is>
          <t>LEGAL</t>
        </is>
      </c>
      <c r="C23" s="80">
        <f>COUNTIF('Risk Assessment'!B5:B24,"LEGAL")</f>
        <v/>
      </c>
      <c r="D23" s="81">
        <f>IFERROR(AVERAGEIF('Risk Assessment'!B5:B24,"LEGAL",'Risk Assessment'!O5:O24),0)</f>
        <v/>
      </c>
      <c r="E23" s="81">
        <f>IFERROR(aggregate(14,6,'Risk Assessment'!O5:O24/('Risk Assessment'!B5:B24="LEGAL"),1),0)</f>
        <v/>
      </c>
      <c r="F23" s="93" t="n"/>
      <c r="G23" s="93" t="n"/>
      <c r="H23" s="93" t="n"/>
      <c r="I23" s="93" t="n"/>
      <c r="J23" s="93" t="n"/>
    </row>
    <row r="24" ht="15" customHeight="1" s="42">
      <c r="A24" s="93" t="n"/>
      <c r="B24" s="82" t="inlineStr">
        <is>
          <t>ENVIRONMENTAL</t>
        </is>
      </c>
      <c r="C24" s="83">
        <f>COUNTIF('Risk Assessment'!B5:B24,"ENVIRONMENTAL")</f>
        <v/>
      </c>
      <c r="D24" s="84">
        <f>IFERROR(AVERAGEIF('Risk Assessment'!B5:B24,"ENVIRONMENTAL",'Risk Assessment'!O5:O24),0)</f>
        <v/>
      </c>
      <c r="E24" s="84">
        <f>IFERROR(aggregate(14,6,'Risk Assessment'!O5:O24/('Risk Assessment'!B5:B24="ENVIRONMENTAL"),1),0)</f>
        <v/>
      </c>
      <c r="F24" s="93" t="n"/>
      <c r="G24" s="93" t="n"/>
      <c r="H24" s="93" t="n"/>
      <c r="I24" s="93" t="n"/>
      <c r="J24" s="93" t="n"/>
    </row>
  </sheetData>
  <mergeCells count="8">
    <mergeCell ref="B14:D14"/>
    <mergeCell ref="B11:I11"/>
    <mergeCell ref="B13:D13"/>
    <mergeCell ref="B12:D12"/>
    <mergeCell ref="A2:J2"/>
    <mergeCell ref="B15:D15"/>
    <mergeCell ref="B4:I4"/>
    <mergeCell ref="B17:I17"/>
  </mergeCells>
  <printOptions horizontalCentered="0" verticalCentered="0" headings="0" gridLines="0" gridLinesSet="1"/>
  <pageMargins left="0.75" right="0.75" top="1" bottom="1" header="0.511811023622047" footer="0.511811023622047"/>
  <pageSetup orientation="landscape" paperSize="9" scale="100" fitToHeight="1"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2026-03-23T06:19:16Z</dcterms:created>
  <dcterms:modified xmlns:dcterms="http://purl.org/dc/terms/" xmlns:xsi="http://www.w3.org/2001/XMLSchema-instance" xsi:type="dcterms:W3CDTF">2026-03-23T07:58:56Z</dcterms:modified>
  <cp:revision>0</cp:revision>
</cp:coreProperties>
</file>