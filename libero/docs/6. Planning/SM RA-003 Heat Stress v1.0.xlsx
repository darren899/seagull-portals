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dbcad5c95b35c585/Documents/Claude - Work/Projects/Seagull Maritime/Seagull Maritime Management System/03 - Risk Assessments/RA-003 Series (HS - ISO 45001)/"/>
    </mc:Choice>
  </mc:AlternateContent>
  <xr:revisionPtr revIDLastSave="5" documentId="11_DE35C98A0663FB6634CCE10DF41655C384FB661B" xr6:coauthVersionLast="47" xr6:coauthVersionMax="47" xr10:uidLastSave="{41B2B362-DF7C-4AA6-97FE-510417E76628}"/>
  <bookViews>
    <workbookView xWindow="-120" yWindow="-120" windowWidth="77040" windowHeight="21120" tabRatio="500" xr2:uid="{00000000-000D-0000-FFFF-FFFF00000000}"/>
  </bookViews>
  <sheets>
    <sheet name="RA Information" sheetId="2" r:id="rId1"/>
    <sheet name="Risk Assessment" sheetId="4" r:id="rId2"/>
    <sheet name="Dashboard" sheetId="1" r:id="rId3"/>
    <sheet name="Methodology" sheetId="3"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16" i="4" l="1"/>
  <c r="L16" i="4"/>
  <c r="H16" i="4"/>
  <c r="G16" i="4"/>
  <c r="M15" i="4"/>
  <c r="L15" i="4"/>
  <c r="G15" i="4"/>
  <c r="H15" i="4" s="1"/>
  <c r="M14" i="4"/>
  <c r="L14" i="4"/>
  <c r="H14" i="4"/>
  <c r="G14" i="4"/>
  <c r="M13" i="4"/>
  <c r="L13" i="4"/>
  <c r="G13" i="4"/>
  <c r="H13" i="4" s="1"/>
  <c r="M12" i="4"/>
  <c r="L12" i="4"/>
  <c r="H12" i="4"/>
  <c r="G12" i="4"/>
  <c r="M11" i="4"/>
  <c r="L11" i="4"/>
  <c r="G11" i="4"/>
  <c r="H11" i="4" s="1"/>
  <c r="M10" i="4"/>
  <c r="L10" i="4"/>
  <c r="H10" i="4"/>
  <c r="G10" i="4"/>
  <c r="M9" i="4"/>
  <c r="L9" i="4"/>
  <c r="G9" i="4"/>
  <c r="H9" i="4" s="1"/>
  <c r="M8" i="4"/>
  <c r="L8" i="4"/>
  <c r="H8" i="4"/>
  <c r="G8" i="4"/>
  <c r="M7" i="4"/>
  <c r="L7" i="4"/>
  <c r="H7" i="4"/>
  <c r="G7" i="4"/>
  <c r="M6" i="4"/>
  <c r="L6" i="4"/>
  <c r="H6" i="4"/>
  <c r="G6" i="4"/>
  <c r="M5" i="4"/>
  <c r="L5" i="4"/>
  <c r="H5" i="4"/>
  <c r="G5" i="4"/>
  <c r="D29" i="1"/>
  <c r="D28" i="1"/>
  <c r="D27" i="1"/>
  <c r="D26" i="1"/>
  <c r="D25" i="1"/>
  <c r="D24" i="1"/>
  <c r="D20" i="1"/>
  <c r="E20" i="1" s="1"/>
  <c r="D19" i="1"/>
  <c r="E19" i="1" s="1"/>
  <c r="D18" i="1"/>
  <c r="E18" i="1" s="1"/>
  <c r="D17" i="1"/>
  <c r="E17" i="1" s="1"/>
  <c r="C6" i="1"/>
  <c r="D12" i="1" l="1"/>
  <c r="E12" i="1" s="1"/>
  <c r="D13" i="1"/>
  <c r="E13" i="1" s="1"/>
  <c r="D6" i="1"/>
  <c r="D11" i="1"/>
  <c r="E11" i="1" s="1"/>
  <c r="D10" i="1"/>
  <c r="E10" i="1" s="1"/>
  <c r="F6" i="1"/>
  <c r="G6" i="1"/>
  <c r="E6" i="1"/>
</calcChain>
</file>

<file path=xl/sharedStrings.xml><?xml version="1.0" encoding="utf-8"?>
<sst xmlns="http://schemas.openxmlformats.org/spreadsheetml/2006/main" count="227" uniqueCount="185">
  <si>
    <t>RISK ASSESSMENT DASHBOARD</t>
  </si>
  <si>
    <t>KEY METRICS</t>
  </si>
  <si>
    <t>Total Hazards Assessed</t>
  </si>
  <si>
    <t>Critical (Inherent)</t>
  </si>
  <si>
    <t>High (Inherent)</t>
  </si>
  <si>
    <t>Medium (Inherent)</t>
  </si>
  <si>
    <t>Low (Inherent)</t>
  </si>
  <si>
    <t>INHERENT RISK DISTRIBUTION (Before Controls)</t>
  </si>
  <si>
    <t>Risk Level</t>
  </si>
  <si>
    <t>Count</t>
  </si>
  <si>
    <t>% of Total</t>
  </si>
  <si>
    <t>Critical</t>
  </si>
  <si>
    <t>High</t>
  </si>
  <si>
    <t>Medium</t>
  </si>
  <si>
    <t>Low</t>
  </si>
  <si>
    <t>RESIDUAL RISK DISTRIBUTION (After Controls)</t>
  </si>
  <si>
    <t>RISK REDUCTION SUMMARY</t>
  </si>
  <si>
    <t>Metric</t>
  </si>
  <si>
    <t>Value</t>
  </si>
  <si>
    <t>Average Inherent Risk Score</t>
  </si>
  <si>
    <t>Average Residual Risk Score</t>
  </si>
  <si>
    <t>Average Risk Reduction (%)</t>
  </si>
  <si>
    <t>Hazards at Critical (Residual)</t>
  </si>
  <si>
    <t>Hazards at High (Residual)</t>
  </si>
  <si>
    <t>Open Items</t>
  </si>
  <si>
    <t>DOCUMENT INFORMATION</t>
  </si>
  <si>
    <t>Document Reference:</t>
  </si>
  <si>
    <t>SM/HSE/RA/009</t>
  </si>
  <si>
    <t>Version:</t>
  </si>
  <si>
    <t>1.0</t>
  </si>
  <si>
    <t>Effective Date:</t>
  </si>
  <si>
    <t>1 April 2026</t>
  </si>
  <si>
    <t>Review Date:</t>
  </si>
  <si>
    <t>1 October 2026</t>
  </si>
  <si>
    <t>Assessed by:</t>
  </si>
  <si>
    <t>Group Compliance Director</t>
  </si>
  <si>
    <t>Status:</t>
  </si>
  <si>
    <t>Active</t>
  </si>
  <si>
    <t>SAFETY RISK ASSESSMENT – HEAT STRESS</t>
  </si>
  <si>
    <t>RISK MANAGEMENT INFORMATION</t>
  </si>
  <si>
    <t>Risk Assessment ID:</t>
  </si>
  <si>
    <t>RA-009</t>
  </si>
  <si>
    <t>Location:</t>
  </si>
  <si>
    <t>All operational regions (IOR, WAF, PG) and hot climate offices</t>
  </si>
  <si>
    <t>Activity Description:</t>
  </si>
  <si>
    <t>All Seagull Maritime operations conducted in hot environments including vessel-based security duties, watchkeeping, deck work, RHIB operations, armoury operations, and office/travel activities in high-temperature regions. This assessment addresses heat-related illness prevention across all operational activities.</t>
  </si>
  <si>
    <t>Contributors:</t>
  </si>
  <si>
    <t>Senior Operations Manager, Vessel Managers</t>
  </si>
  <si>
    <t>Responsible Persons:</t>
  </si>
  <si>
    <t>Senior Operations Manager, Vessel Managers, Team Leaders, Team Members, Office Managers</t>
  </si>
  <si>
    <t>Management have day-to-day responsibility for health and safety and must be aware of the hazards and control measures in this assessment. They must ensure all staff are aware of the findings and that adequate training and supervision is in place.</t>
  </si>
  <si>
    <t>Team Leaders and Team Members are to ensure they have read the risk assessment, understood and acknowledged the controls, and follow any instructions given.</t>
  </si>
  <si>
    <t>Office Managers are to ensure heat stress controls are implemented in their facilities and that personnel are briefed on relevant risks and procedures.</t>
  </si>
  <si>
    <t>COMMUNICATION &amp; CONSULTATION / RECORDING &amp; REPORTING / MONITORING &amp; REVIEW</t>
  </si>
  <si>
    <t>This risk assessment must be shared with all personnel engaged with the activity. All personnel must confirm they have read and understood the assessment before deployment. A record of this must be maintained.</t>
  </si>
  <si>
    <t>Monitoring and supervision: Seagull Maritime must monitor the activities of all personnel through regular checks, toolbox talks, and debrief reports. Any failure of controls must be reported immediately.</t>
  </si>
  <si>
    <t>This assessment must be formally reviewed if there is any significant change in operational circumstances, following any incident or near miss, or at the scheduled review date — whichever comes first.</t>
  </si>
  <si>
    <t>ACTIVITY DESCRIPTION</t>
  </si>
  <si>
    <t>RISK ASSESSMENT METHODOLOGY</t>
  </si>
  <si>
    <t>Likelihood x Severity = Risk Rating</t>
  </si>
  <si>
    <t>Likelihood</t>
  </si>
  <si>
    <t>Severity</t>
  </si>
  <si>
    <t>Rare</t>
  </si>
  <si>
    <t>Minor Injury</t>
  </si>
  <si>
    <t>Unlikely</t>
  </si>
  <si>
    <t>First Aid Required</t>
  </si>
  <si>
    <t>Possible</t>
  </si>
  <si>
    <t>Medical Treatment</t>
  </si>
  <si>
    <t>Likely</t>
  </si>
  <si>
    <t>Serious Injury</t>
  </si>
  <si>
    <t>Certain</t>
  </si>
  <si>
    <t>Fatality</t>
  </si>
  <si>
    <t>5x5 RISK MATRIX</t>
  </si>
  <si>
    <t>Likelihood \ Severity</t>
  </si>
  <si>
    <t>1 - Minor</t>
  </si>
  <si>
    <t>2 - First Aid</t>
  </si>
  <si>
    <t>3 - Medical</t>
  </si>
  <si>
    <t>4 - Serious</t>
  </si>
  <si>
    <t>5 - Fatality</t>
  </si>
  <si>
    <t>5 - Certain</t>
  </si>
  <si>
    <t>4 - Likely</t>
  </si>
  <si>
    <t>3 - Possible</t>
  </si>
  <si>
    <t>2 - Unlikely</t>
  </si>
  <si>
    <t>1 - Rare</t>
  </si>
  <si>
    <t>Risk Rating = Risk before controls are applied</t>
  </si>
  <si>
    <t>Residual Risk Rating = Risk after controls have been considered and implemented</t>
  </si>
  <si>
    <t>Risk Level Key:</t>
  </si>
  <si>
    <t>1-4</t>
  </si>
  <si>
    <t>Acceptable risk. Monitor and review.</t>
  </si>
  <si>
    <t>5-9</t>
  </si>
  <si>
    <t>Tolerable with controls. Monitor closely.</t>
  </si>
  <si>
    <t>10-15</t>
  </si>
  <si>
    <t>Significant risk. Additional controls required before proceeding.</t>
  </si>
  <si>
    <t>16-25</t>
  </si>
  <si>
    <t>Unacceptable. Do not proceed without senior management approval and additional controls.</t>
  </si>
  <si>
    <t>HIERARCHY OF CONTROLS</t>
  </si>
  <si>
    <t>Priority</t>
  </si>
  <si>
    <t>Control Type</t>
  </si>
  <si>
    <t>Description</t>
  </si>
  <si>
    <t>1</t>
  </si>
  <si>
    <t>Elimination</t>
  </si>
  <si>
    <t>Remove the hazard entirely from the workplace.</t>
  </si>
  <si>
    <t>2</t>
  </si>
  <si>
    <t>Substitution</t>
  </si>
  <si>
    <t>Replace the hazard with something less dangerous.</t>
  </si>
  <si>
    <t>3</t>
  </si>
  <si>
    <t>Engineering Controls</t>
  </si>
  <si>
    <t>Isolate people from the hazard through physical means.</t>
  </si>
  <si>
    <t>4</t>
  </si>
  <si>
    <t>Administrative Controls</t>
  </si>
  <si>
    <t>Change the way people work through procedures, training, signage.</t>
  </si>
  <si>
    <t>5</t>
  </si>
  <si>
    <t>PPE</t>
  </si>
  <si>
    <t>Protect individuals with personal protective equipment.</t>
  </si>
  <si>
    <t>RISK ASSESSMENT</t>
  </si>
  <si>
    <t>Ref</t>
  </si>
  <si>
    <t>Hazard</t>
  </si>
  <si>
    <t>Risk Description</t>
  </si>
  <si>
    <t>Persons at Risk</t>
  </si>
  <si>
    <t>Risk Rating</t>
  </si>
  <si>
    <t>Implemented Controls</t>
  </si>
  <si>
    <t>Residual Likelihood</t>
  </si>
  <si>
    <t>Residual Severity</t>
  </si>
  <si>
    <t>Residual Risk</t>
  </si>
  <si>
    <t>Status</t>
  </si>
  <si>
    <t>HS-001</t>
  </si>
  <si>
    <t>Heat exhaustion</t>
  </si>
  <si>
    <t>Prolonged exposure to high ambient temperatures during outdoor duties may cause heat exhaustion characterised by heavy sweating, weakness, nausea, dizziness, and fainting.</t>
  </si>
  <si>
    <t>Security Team / Crew</t>
  </si>
  <si>
    <t>Work/rest cycles established based on heat index.
Sufficient drinking water available at all work locations – minimum 500ml per person per hour.
Shade and rest areas provided where practicable.
Personnel trained to recognise early heat exhaustion symptoms.
Buddy system – personnel monitor each other for symptoms.
Watch rotations adjusted during peak heat hours.</t>
  </si>
  <si>
    <t>Open</t>
  </si>
  <si>
    <t>HS-002</t>
  </si>
  <si>
    <t>Heat stroke</t>
  </si>
  <si>
    <t>Severe heat exposure without adequate cooling or hydration may cause heat stroke – a life-threatening emergency with core body temperature exceeding 40°C, confusion, seizures, loss of consciousness, and organ failure.</t>
  </si>
  <si>
    <t>Heat stroke included in emergency medical response plan.
First aiders trained in heat stroke recognition and immediate cooling.
Cooling equipment (ice, cold water, wet towels) available at operational locations.
Personnel immediately removed from heat exposure if heat stroke suspected.
Medevac procedures activated if symptoms do not improve rapidly.
Operations suspended if conditions present extreme heat stroke risk.</t>
  </si>
  <si>
    <t>HS-003</t>
  </si>
  <si>
    <t>Dehydration</t>
  </si>
  <si>
    <t>Inadequate fluid intake during physical work in hot conditions may cause dehydration, leading to reduced concentration, headache, muscle cramps, kidney problems, and impaired decision-making.</t>
  </si>
  <si>
    <t>Drinking water freely available and replenished throughout duties.
Personnel encouraged to drink regularly – not only when thirsty.
Electrolyte supplements provided where appropriate.
Caffeine and energy drink consumption monitored – not a substitute for water.
Urine colour guidance issued as simple hydration indicator.
Team Leaders monitor fluid intake during operations.</t>
  </si>
  <si>
    <t>HS-004</t>
  </si>
  <si>
    <t>Sunburn</t>
  </si>
  <si>
    <t>Direct UV exposure during outdoor duties may cause severe sunburn, increasing the risk of heat-related illness and long-term skin damage.</t>
  </si>
  <si>
    <t>Sunscreen (minimum SPF 30) provided and its use encouraged.
Hats, neck covers, and UV-protective clothing available.
Shade sought during rest periods.
Outdoor exposure minimised during peak UV hours (10:00–15:00) where operationally possible.
Personnel briefed on UV risks during pre-deployment training.</t>
  </si>
  <si>
    <t>HS-005</t>
  </si>
  <si>
    <t>Heat cramps</t>
  </si>
  <si>
    <t>Intense physical activity in hot conditions combined with electrolyte loss through sweating may cause painful muscle cramps affecting operational capability.</t>
  </si>
  <si>
    <t>Electrolyte replacement drinks or supplements available.
Personnel briefed on recognising and managing heat cramps.
Affected personnel rest in cool area until symptoms resolve.
Workload adjusted if cramps recur.
Stretching and warm-up guidance issued for physical tasks.</t>
  </si>
  <si>
    <t>HS-006</t>
  </si>
  <si>
    <t>Heat rash</t>
  </si>
  <si>
    <t>Prolonged sweating in hot, humid conditions may cause heat rash (miliaria) resulting in skin irritation, infection risk, and discomfort affecting performance.</t>
  </si>
  <si>
    <t>Loose, breathable clothing provided for hot climate operations.
Personnel advised to keep skin clean and dry where possible.
Talcum powder or cooling spray available.
Skin irritation reported and treated early to prevent infection.
Accommodation ventilated to allow skin recovery during rest.</t>
  </si>
  <si>
    <t>HS-007</t>
  </si>
  <si>
    <t>Impaired cognitive function</t>
  </si>
  <si>
    <t>Heat exposure may impair concentration, decision-making, reaction time, and situational awareness, increasing the risk of errors, accidents, or failure to detect security threats.</t>
  </si>
  <si>
    <t>Security Team</t>
  </si>
  <si>
    <t>Watch duties rotated more frequently during high-heat periods.
Critical decisions deferred or cross-checked when heat exposure is high.
Team Leaders monitor personnel alertness.
Cool-down breaks scheduled before critical tasks.
Briefings and handovers conducted in shaded or cooled areas.</t>
  </si>
  <si>
    <t>HS-008</t>
  </si>
  <si>
    <t>PPE-related heat retention</t>
  </si>
  <si>
    <t>Wearing body armour, helmets, lifejackets, or heavy PPE in hot conditions traps heat and reduces the body's ability to cool, accelerating heat-related illness.</t>
  </si>
  <si>
    <t>PPE requirements reviewed for each deployment – minimum necessary PPE worn.
Lightweight, breathable PPE selected where options exist.
PPE removal permitted during designated rest periods in secure areas.
Cooling vests or neck wraps provided where available.
PPE wearing time limited during extreme heat with mandatory cool-down intervals.</t>
  </si>
  <si>
    <t>HS-009</t>
  </si>
  <si>
    <t>Enclosed space heat buildup</t>
  </si>
  <si>
    <t>Working in enclosed spaces such as armouries, engine rooms, or below-deck compartments where air circulation is poor may cause rapid heat accumulation and accelerated heat illness.</t>
  </si>
  <si>
    <t>Security Team / Armourer</t>
  </si>
  <si>
    <t>Ventilation or air conditioning provided in enclosed workspaces where possible.
Time limits set for working in unventilated enclosed spaces.
Portable fans deployed where fixed ventilation is inadequate.
Doors opened for airflow when security conditions permit.
Temperature monitored in enclosed spaces during hot periods.</t>
  </si>
  <si>
    <t>HS-010</t>
  </si>
  <si>
    <t>Inadequate acclimatisation</t>
  </si>
  <si>
    <t>Personnel newly arrived in hot climate regions who have not acclimatised are at significantly higher risk of heat-related illness during the first 7-14 days.</t>
  </si>
  <si>
    <t>Security Team / New Deployees</t>
  </si>
  <si>
    <t>Acclimatisation period of at least 5-7 days built into deployment schedule.
Workload gradually increased during acclimatisation.
New arrivals closely monitored by Team Leader.
Additional hydration and rest provided during acclimatisation.
Pre-deployment briefing includes heat acclimatisation guidance.</t>
  </si>
  <si>
    <t>HS-011</t>
  </si>
  <si>
    <t>Night-time heat exposure</t>
  </si>
  <si>
    <t>In regions where night-time temperatures remain high, personnel on night watch may still be at risk of heat-related illness, particularly with reduced awareness and support.</t>
  </si>
  <si>
    <t>Night watch positions assessed for heat exposure.
Drinking water maintained at night watch stations.
Personnel briefed that heat risk continues at night in tropical regions.
Check-in frequency maintained during night watches.
Relief rotation maintained regardless of time of day.</t>
  </si>
  <si>
    <t>HS-012</t>
  </si>
  <si>
    <t>Travel in hot environments</t>
  </si>
  <si>
    <t>Travelling in vehicles without adequate air conditioning, waiting in exposed areas, or walking between locations in extreme heat may cause heat-related illness.</t>
  </si>
  <si>
    <t>All Personnel</t>
  </si>
  <si>
    <t>Company vehicles maintained with functioning air conditioning.
Travel scheduled to avoid peak heat hours where possible.
Drinking water carried during all travel.
Personnel advised to remain in shaded or cooled areas while waiting.
Alternative transport arranged if vehicle AC fails.
Travel risk assessment includes heat exposure considerations.</t>
  </si>
  <si>
    <t>TASK APPROVAL – THIS RISK ASSESSMENT MUST BE REVIEWED AND SIGNED OFF BEFORE OPERATIONS COMMENCE</t>
  </si>
  <si>
    <t>Reviewed by:</t>
  </si>
  <si>
    <t>Signature:</t>
  </si>
  <si>
    <t>Date:</t>
  </si>
  <si>
    <t>Approved by (Group Compliance Director):</t>
  </si>
  <si>
    <t>Briefed to Team – Confirmed: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</si>
</sst>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20"/>
      <color rgb="FF003C72"/>
      <name val="Avenir Next LT Pro"/>
      <charset val="1"/>
    </font>
    <font>
      <b/>
      <sz val="12"/>
      <color rgb="FF003C72"/>
      <name val="Avenir Next LT Pro"/>
      <charset val="1"/>
    </font>
    <font>
      <b/>
      <sz val="9"/>
      <color rgb="FFFFFFFF"/>
      <name val="Aptos"/>
      <charset val="1"/>
    </font>
    <font>
      <b/>
      <sz val="9"/>
      <name val="Aptos"/>
      <charset val="1"/>
    </font>
    <font>
      <b/>
      <sz val="9"/>
      <color rgb="FF9C0006"/>
      <name val="Aptos"/>
      <charset val="1"/>
    </font>
    <font>
      <b/>
      <sz val="9"/>
      <color rgb="FF9C5700"/>
      <name val="Aptos"/>
      <charset val="1"/>
    </font>
    <font>
      <b/>
      <sz val="9"/>
      <color rgb="FF006100"/>
      <name val="Aptos"/>
      <charset val="1"/>
    </font>
    <font>
      <b/>
      <sz val="11"/>
      <color rgb="FF003C72"/>
      <name val="Aptos"/>
      <charset val="1"/>
    </font>
    <font>
      <sz val="9"/>
      <name val="Aptos"/>
      <charset val="1"/>
    </font>
    <font>
      <b/>
      <sz val="8"/>
      <color rgb="FFFFFFFF"/>
      <name val="Aptos"/>
      <charset val="1"/>
    </font>
  </fonts>
  <fills count="8">
    <fill>
      <patternFill patternType="none"/>
    </fill>
    <fill>
      <patternFill patternType="gray125"/>
    </fill>
    <fill>
      <patternFill patternType="solid">
        <fgColor rgb="FF003C72"/>
        <bgColor rgb="FF333399"/>
      </patternFill>
    </fill>
    <fill>
      <patternFill patternType="solid">
        <fgColor rgb="FFC00000"/>
        <bgColor rgb="FF9C0006"/>
      </patternFill>
    </fill>
    <fill>
      <patternFill patternType="solid">
        <fgColor rgb="FFFFC7CE"/>
        <bgColor rgb="FFFFEB9C"/>
      </patternFill>
    </fill>
    <fill>
      <patternFill patternType="solid">
        <fgColor rgb="FFFFEB9C"/>
        <bgColor rgb="FFFFFFCC"/>
      </patternFill>
    </fill>
    <fill>
      <patternFill patternType="solid">
        <fgColor rgb="FFC6EFCE"/>
        <bgColor rgb="FFCCFFFF"/>
      </patternFill>
    </fill>
    <fill>
      <patternFill patternType="solid">
        <fgColor rgb="FFE6EDF5"/>
        <bgColor rgb="FFFFFFFF"/>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indexed="64"/>
      </right>
      <top/>
      <bottom/>
      <diagonal/>
    </border>
  </borders>
  <cellStyleXfs count="1">
    <xf numFmtId="0" fontId="0" fillId="0" borderId="0"/>
  </cellStyleXfs>
  <cellXfs count="37">
    <xf numFmtId="0" fontId="0" fillId="0" borderId="0" xfId="0"/>
    <xf numFmtId="0" fontId="4" fillId="0" borderId="3" xfId="0" applyFont="1" applyBorder="1"/>
    <xf numFmtId="0" fontId="3" fillId="2" borderId="0" xfId="0" applyFont="1" applyFill="1" applyAlignment="1">
      <alignment horizontal="center" vertical="center" wrapText="1"/>
    </xf>
    <xf numFmtId="0" fontId="3" fillId="2" borderId="3" xfId="0" applyFont="1" applyFill="1" applyBorder="1" applyAlignment="1">
      <alignment horizontal="center" vertical="center" wrapText="1"/>
    </xf>
    <xf numFmtId="0" fontId="9" fillId="0" borderId="3" xfId="0" applyFont="1" applyBorder="1" applyAlignment="1">
      <alignment horizontal="left" vertical="center" wrapText="1"/>
    </xf>
    <xf numFmtId="0" fontId="3" fillId="2" borderId="1" xfId="0" applyFont="1" applyFill="1" applyBorder="1" applyAlignment="1">
      <alignment horizontal="center" vertical="center" wrapText="1"/>
    </xf>
    <xf numFmtId="0" fontId="4" fillId="0" borderId="0" xfId="0" applyFont="1"/>
    <xf numFmtId="0" fontId="9" fillId="0" borderId="0" xfId="0" applyFont="1" applyAlignment="1">
      <alignment horizontal="left" vertical="center" wrapText="1"/>
    </xf>
    <xf numFmtId="0" fontId="2" fillId="0" borderId="0" xfId="0" applyFont="1" applyAlignment="1">
      <alignment vertical="center"/>
    </xf>
    <xf numFmtId="0" fontId="3" fillId="2" borderId="2" xfId="0" applyFont="1" applyFill="1" applyBorder="1" applyAlignment="1">
      <alignment horizontal="left" vertical="center" wrapText="1"/>
    </xf>
    <xf numFmtId="0" fontId="9" fillId="0" borderId="1" xfId="0" applyFont="1" applyBorder="1" applyAlignment="1">
      <alignment horizontal="left" vertical="center" wrapText="1"/>
    </xf>
    <xf numFmtId="0" fontId="1" fillId="0" borderId="0" xfId="0" applyFont="1" applyAlignment="1">
      <alignment vertical="center"/>
    </xf>
    <xf numFmtId="0" fontId="0" fillId="0" borderId="0" xfId="0"/>
    <xf numFmtId="0" fontId="2" fillId="0" borderId="0" xfId="0" applyFont="1"/>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8" fillId="7"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8" fillId="0" borderId="1" xfId="0" applyFont="1" applyBorder="1" applyAlignment="1">
      <alignment horizontal="center" vertical="center" wrapText="1"/>
    </xf>
    <xf numFmtId="0" fontId="3" fillId="2" borderId="1" xfId="0" applyFont="1" applyFill="1" applyBorder="1" applyAlignment="1">
      <alignment horizontal="left" vertical="center" wrapText="1"/>
    </xf>
    <xf numFmtId="0" fontId="9" fillId="0" borderId="1" xfId="0" applyFont="1" applyBorder="1" applyAlignment="1">
      <alignment horizontal="left" vertical="center" wrapText="1"/>
    </xf>
    <xf numFmtId="0" fontId="2" fillId="0" borderId="0" xfId="0" applyFont="1" applyAlignment="1">
      <alignment vertical="center"/>
    </xf>
    <xf numFmtId="0" fontId="3" fillId="2" borderId="1" xfId="0" applyFont="1" applyFill="1" applyBorder="1" applyAlignment="1">
      <alignment horizontal="left" vertical="center"/>
    </xf>
    <xf numFmtId="0" fontId="9" fillId="0" borderId="1" xfId="0" applyFont="1" applyBorder="1" applyAlignment="1">
      <alignment horizontal="center" vertical="center" wrapText="1"/>
    </xf>
    <xf numFmtId="0" fontId="10" fillId="2" borderId="1" xfId="0" applyFont="1" applyFill="1" applyBorder="1" applyAlignment="1">
      <alignment horizontal="center" vertical="center" wrapText="1"/>
    </xf>
    <xf numFmtId="0" fontId="9" fillId="0" borderId="3" xfId="0" applyFont="1" applyBorder="1"/>
    <xf numFmtId="0" fontId="0" fillId="0" borderId="0" xfId="0" applyBorder="1"/>
    <xf numFmtId="0" fontId="0" fillId="0" borderId="4" xfId="0" applyBorder="1"/>
    <xf numFmtId="0" fontId="9" fillId="0" borderId="1" xfId="0" applyFont="1" applyBorder="1"/>
  </cellXfs>
  <cellStyles count="1">
    <cellStyle name="Normal" xfId="0" builtinId="0"/>
  </cellStyles>
  <dxfs count="24">
    <dxf>
      <font>
        <color rgb="FFFFFFFF"/>
      </font>
      <fill>
        <patternFill>
          <bgColor rgb="FFC0000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dxf>
    <dxf>
      <font>
        <color rgb="FFFFC000"/>
      </font>
    </dxf>
    <dxf>
      <font>
        <color rgb="FF00B050"/>
      </font>
    </dxf>
    <dxf>
      <font>
        <color rgb="FFFF0000"/>
      </font>
    </dxf>
    <dxf>
      <font>
        <color rgb="FFFF0000"/>
      </font>
    </dxf>
    <dxf>
      <font>
        <color rgb="FFFFC000"/>
      </font>
    </dxf>
    <dxf>
      <font>
        <color rgb="FF00B050"/>
      </font>
    </dxf>
    <dxf>
      <font>
        <color rgb="FF00B050"/>
      </font>
    </dxf>
    <dxf>
      <font>
        <color rgb="FFFFFFFF"/>
      </font>
      <fill>
        <patternFill>
          <bgColor rgb="FFC0000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dxf>
    <dxf>
      <font>
        <color rgb="FFFFC000"/>
      </font>
    </dxf>
    <dxf>
      <font>
        <color rgb="FF00B050"/>
      </font>
    </dxf>
    <dxf>
      <font>
        <color rgb="FFFF0000"/>
      </font>
    </dxf>
    <dxf>
      <font>
        <color rgb="FFFF0000"/>
      </font>
    </dxf>
    <dxf>
      <font>
        <color rgb="FFFFC000"/>
      </font>
    </dxf>
    <dxf>
      <font>
        <color rgb="FF00B050"/>
      </font>
    </dxf>
    <dxf>
      <font>
        <color rgb="FF00B050"/>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FFFCC"/>
      <rgbColor rgb="FFE6EDF5"/>
      <rgbColor rgb="FF660066"/>
      <rgbColor rgb="FFFF8080"/>
      <rgbColor rgb="FF0066CC"/>
      <rgbColor rgb="FFCCCCFF"/>
      <rgbColor rgb="FF000080"/>
      <rgbColor rgb="FFFF00FF"/>
      <rgbColor rgb="FFFFFF00"/>
      <rgbColor rgb="FF00FFFF"/>
      <rgbColor rgb="FF800080"/>
      <rgbColor rgb="FFC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000"/>
      <rgbColor rgb="FFFF9900"/>
      <rgbColor rgb="FFFF6600"/>
      <rgbColor rgb="FF666699"/>
      <rgbColor rgb="FF969696"/>
      <rgbColor rgb="FF003C72"/>
      <rgbColor rgb="FF00B050"/>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414360</xdr:colOff>
      <xdr:row>0</xdr:row>
      <xdr:rowOff>647280</xdr:rowOff>
    </xdr:to>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0" y="0"/>
          <a:ext cx="1904760" cy="6472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1380960</xdr:colOff>
      <xdr:row>0</xdr:row>
      <xdr:rowOff>647280</xdr:rowOff>
    </xdr:to>
    <xdr:pic>
      <xdr:nvPicPr>
        <xdr:cNvPr id="4" name="Image 1"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1"/>
        <a:stretch/>
      </xdr:blipFill>
      <xdr:spPr>
        <a:xfrm>
          <a:off x="0" y="0"/>
          <a:ext cx="1904760" cy="64728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1552320</xdr:colOff>
      <xdr:row>0</xdr:row>
      <xdr:rowOff>647280</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0"/>
          <a:ext cx="1904760" cy="64728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706680</xdr:colOff>
      <xdr:row>0</xdr:row>
      <xdr:rowOff>647280</xdr:rowOff>
    </xdr:to>
    <xdr:pic>
      <xdr:nvPicPr>
        <xdr:cNvPr id="3" name="Image 1" descr="Picture">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a:stretch/>
      </xdr:blipFill>
      <xdr:spPr>
        <a:xfrm>
          <a:off x="0" y="0"/>
          <a:ext cx="1904760" cy="647280"/>
        </a:xfrm>
        <a:prstGeom prst="rect">
          <a:avLst/>
        </a:prstGeom>
        <a:noFill/>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3"/>
  <sheetViews>
    <sheetView showGridLines="0" tabSelected="1" zoomScaleNormal="100" workbookViewId="0">
      <selection activeCell="A23" sqref="A23:D23"/>
    </sheetView>
  </sheetViews>
  <sheetFormatPr defaultColWidth="8.7109375" defaultRowHeight="15" x14ac:dyDescent="0.25"/>
  <cols>
    <col min="1" max="1" width="21.140625" customWidth="1"/>
    <col min="2" max="2" width="30.5703125" customWidth="1"/>
    <col min="3" max="3" width="14.140625" customWidth="1"/>
    <col min="4" max="4" width="68.28515625" customWidth="1"/>
  </cols>
  <sheetData>
    <row r="1" spans="1:6" ht="75.75" customHeight="1" x14ac:dyDescent="0.25">
      <c r="A1" s="12"/>
      <c r="B1" s="12"/>
      <c r="C1" s="12"/>
    </row>
    <row r="2" spans="1:6" ht="26.25" customHeight="1" x14ac:dyDescent="0.25">
      <c r="A2" s="11" t="s">
        <v>38</v>
      </c>
      <c r="B2" s="11"/>
      <c r="C2" s="11"/>
      <c r="D2" s="11"/>
      <c r="E2" s="11"/>
      <c r="F2" s="11"/>
    </row>
    <row r="4" spans="1:6" ht="15.75" customHeight="1" x14ac:dyDescent="0.25">
      <c r="A4" s="29" t="s">
        <v>39</v>
      </c>
    </row>
    <row r="6" spans="1:6" ht="15.75" customHeight="1" x14ac:dyDescent="0.25">
      <c r="A6" s="27" t="s">
        <v>40</v>
      </c>
      <c r="B6" s="28" t="s">
        <v>41</v>
      </c>
      <c r="C6" s="30" t="s">
        <v>42</v>
      </c>
      <c r="D6" s="28" t="s">
        <v>43</v>
      </c>
    </row>
    <row r="7" spans="1:6" ht="38.25" customHeight="1" x14ac:dyDescent="0.25">
      <c r="A7" s="27" t="s">
        <v>44</v>
      </c>
      <c r="B7" s="10" t="s">
        <v>45</v>
      </c>
      <c r="C7" s="10"/>
      <c r="D7" s="10"/>
    </row>
    <row r="8" spans="1:6" ht="15.75" customHeight="1" x14ac:dyDescent="0.25">
      <c r="A8" s="27" t="s">
        <v>34</v>
      </c>
      <c r="B8" s="10" t="s">
        <v>35</v>
      </c>
      <c r="C8" s="10"/>
      <c r="D8" s="10"/>
    </row>
    <row r="9" spans="1:6" ht="15.75" customHeight="1" x14ac:dyDescent="0.25">
      <c r="A9" s="27" t="s">
        <v>46</v>
      </c>
      <c r="B9" s="10" t="s">
        <v>47</v>
      </c>
      <c r="C9" s="10"/>
      <c r="D9" s="10"/>
    </row>
    <row r="10" spans="1:6" ht="15.75" customHeight="1" x14ac:dyDescent="0.25">
      <c r="A10" s="27" t="s">
        <v>30</v>
      </c>
      <c r="B10" s="10" t="s">
        <v>31</v>
      </c>
      <c r="C10" s="10"/>
      <c r="D10" s="10"/>
    </row>
    <row r="11" spans="1:6" ht="30" customHeight="1" x14ac:dyDescent="0.25">
      <c r="A11" s="9" t="s">
        <v>48</v>
      </c>
      <c r="B11" s="10" t="s">
        <v>49</v>
      </c>
      <c r="C11" s="10"/>
      <c r="D11" s="10"/>
    </row>
    <row r="12" spans="1:6" ht="30" customHeight="1" x14ac:dyDescent="0.25">
      <c r="A12" s="9"/>
      <c r="B12" s="10" t="s">
        <v>50</v>
      </c>
      <c r="C12" s="10"/>
      <c r="D12" s="10"/>
    </row>
    <row r="13" spans="1:6" ht="30" customHeight="1" x14ac:dyDescent="0.25">
      <c r="A13" s="9"/>
      <c r="B13" s="10" t="s">
        <v>51</v>
      </c>
      <c r="C13" s="10"/>
      <c r="D13" s="10"/>
    </row>
    <row r="14" spans="1:6" ht="30" customHeight="1" x14ac:dyDescent="0.25">
      <c r="A14" s="9"/>
      <c r="B14" s="10" t="s">
        <v>52</v>
      </c>
      <c r="C14" s="10"/>
      <c r="D14" s="10"/>
    </row>
    <row r="15" spans="1:6" ht="15.75" customHeight="1" x14ac:dyDescent="0.25">
      <c r="A15" s="27" t="s">
        <v>32</v>
      </c>
      <c r="B15" s="10" t="s">
        <v>33</v>
      </c>
      <c r="C15" s="10"/>
      <c r="D15" s="10"/>
    </row>
    <row r="17" spans="1:4" ht="15.75" x14ac:dyDescent="0.25">
      <c r="A17" s="8" t="s">
        <v>53</v>
      </c>
      <c r="B17" s="8"/>
      <c r="C17" s="8"/>
      <c r="D17" s="8"/>
    </row>
    <row r="18" spans="1:4" ht="22.35" customHeight="1" x14ac:dyDescent="0.25">
      <c r="A18" s="7" t="s">
        <v>54</v>
      </c>
      <c r="B18" s="7"/>
      <c r="C18" s="7"/>
      <c r="D18" s="7"/>
    </row>
    <row r="19" spans="1:4" ht="22.35" customHeight="1" x14ac:dyDescent="0.25">
      <c r="A19" s="7" t="s">
        <v>55</v>
      </c>
      <c r="B19" s="7"/>
      <c r="C19" s="7"/>
      <c r="D19" s="7"/>
    </row>
    <row r="20" spans="1:4" ht="22.35" customHeight="1" x14ac:dyDescent="0.25">
      <c r="A20" s="7" t="s">
        <v>56</v>
      </c>
      <c r="B20" s="7"/>
      <c r="C20" s="7"/>
      <c r="D20" s="7"/>
    </row>
    <row r="22" spans="1:4" ht="15.75" x14ac:dyDescent="0.25">
      <c r="A22" s="13" t="s">
        <v>57</v>
      </c>
      <c r="B22" s="13"/>
      <c r="C22" s="13"/>
      <c r="D22" s="13"/>
    </row>
    <row r="23" spans="1:4" ht="60" customHeight="1" x14ac:dyDescent="0.25">
      <c r="A23" s="7" t="s">
        <v>45</v>
      </c>
      <c r="B23" s="7"/>
      <c r="C23" s="7"/>
      <c r="D23" s="7"/>
    </row>
  </sheetData>
  <mergeCells count="18">
    <mergeCell ref="A22:D22"/>
    <mergeCell ref="A23:D23"/>
    <mergeCell ref="B15:D15"/>
    <mergeCell ref="A17:D17"/>
    <mergeCell ref="A18:D18"/>
    <mergeCell ref="A19:D19"/>
    <mergeCell ref="A20:D20"/>
    <mergeCell ref="B10:D10"/>
    <mergeCell ref="A11:A14"/>
    <mergeCell ref="B11:D11"/>
    <mergeCell ref="B12:D12"/>
    <mergeCell ref="B13:D13"/>
    <mergeCell ref="B14:D14"/>
    <mergeCell ref="A1:C1"/>
    <mergeCell ref="A2:F2"/>
    <mergeCell ref="B7:D7"/>
    <mergeCell ref="B8:D8"/>
    <mergeCell ref="B9:D9"/>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7"/>
  <sheetViews>
    <sheetView showGridLines="0" zoomScaleNormal="100" workbookViewId="0">
      <selection activeCell="D27" sqref="D27:H27"/>
    </sheetView>
  </sheetViews>
  <sheetFormatPr defaultColWidth="8.7109375" defaultRowHeight="15" x14ac:dyDescent="0.25"/>
  <cols>
    <col min="1" max="1" width="7.42578125" customWidth="1"/>
    <col min="2" max="2" width="31.140625" customWidth="1"/>
    <col min="3" max="3" width="55.85546875" customWidth="1"/>
    <col min="4" max="4" width="16.42578125" customWidth="1"/>
    <col min="5" max="5" width="10" customWidth="1"/>
    <col min="6" max="6" width="13" customWidth="1"/>
    <col min="7" max="7" width="13.28515625" customWidth="1"/>
    <col min="8" max="8" width="13" customWidth="1"/>
    <col min="9" max="9" width="51.140625" customWidth="1"/>
    <col min="10" max="10" width="13.42578125" customWidth="1"/>
    <col min="11" max="11" width="11.7109375" customWidth="1"/>
    <col min="12" max="13" width="13" customWidth="1"/>
    <col min="14" max="14" width="9.140625" customWidth="1"/>
  </cols>
  <sheetData>
    <row r="1" spans="1:14" ht="75.75" customHeight="1" x14ac:dyDescent="0.25"/>
    <row r="2" spans="1:14" ht="26.25" customHeight="1" x14ac:dyDescent="0.4">
      <c r="A2" s="14" t="s">
        <v>114</v>
      </c>
      <c r="B2" s="14"/>
      <c r="C2" s="14"/>
      <c r="D2" s="14"/>
      <c r="E2" s="14"/>
      <c r="F2" s="14"/>
      <c r="G2" s="14"/>
      <c r="H2" s="14"/>
      <c r="I2" s="14"/>
      <c r="J2" s="14"/>
      <c r="K2" s="14"/>
      <c r="L2" s="14"/>
      <c r="M2" s="14"/>
      <c r="N2" s="14"/>
    </row>
    <row r="4" spans="1:14" ht="24" customHeight="1" x14ac:dyDescent="0.25">
      <c r="A4" s="16" t="s">
        <v>115</v>
      </c>
      <c r="B4" s="16" t="s">
        <v>116</v>
      </c>
      <c r="C4" s="16" t="s">
        <v>117</v>
      </c>
      <c r="D4" s="16" t="s">
        <v>118</v>
      </c>
      <c r="E4" s="16" t="s">
        <v>60</v>
      </c>
      <c r="F4" s="16" t="s">
        <v>61</v>
      </c>
      <c r="G4" s="16" t="s">
        <v>119</v>
      </c>
      <c r="H4" s="16" t="s">
        <v>8</v>
      </c>
      <c r="I4" s="16" t="s">
        <v>120</v>
      </c>
      <c r="J4" s="16" t="s">
        <v>121</v>
      </c>
      <c r="K4" s="16" t="s">
        <v>122</v>
      </c>
      <c r="L4" s="16" t="s">
        <v>123</v>
      </c>
      <c r="M4" s="16" t="s">
        <v>8</v>
      </c>
      <c r="N4" s="16" t="s">
        <v>124</v>
      </c>
    </row>
    <row r="5" spans="1:14" ht="93.75" customHeight="1" x14ac:dyDescent="0.25">
      <c r="A5" s="19" t="s">
        <v>125</v>
      </c>
      <c r="B5" s="25" t="s">
        <v>126</v>
      </c>
      <c r="C5" s="28" t="s">
        <v>127</v>
      </c>
      <c r="D5" s="31" t="s">
        <v>128</v>
      </c>
      <c r="E5" s="19">
        <v>4</v>
      </c>
      <c r="F5" s="19">
        <v>4</v>
      </c>
      <c r="G5" s="19">
        <f t="shared" ref="G5:G16" si="0">E5*F5</f>
        <v>16</v>
      </c>
      <c r="H5" s="19" t="str">
        <f t="shared" ref="H5:H16" si="1">IF(G5&lt;=4,"Low",IF(G5&lt;=9,"Medium",IF(G5&lt;=15,"High","Critical")))</f>
        <v>Critical</v>
      </c>
      <c r="I5" s="28" t="s">
        <v>129</v>
      </c>
      <c r="J5" s="19">
        <v>1</v>
      </c>
      <c r="K5" s="19">
        <v>4</v>
      </c>
      <c r="L5" s="19">
        <f t="shared" ref="L5:L16" si="2">J5*K5</f>
        <v>4</v>
      </c>
      <c r="M5" s="19" t="str">
        <f t="shared" ref="M5:M16" si="3">IF(L5="","",IF(L5&lt;=4,"Low",IF(L5&lt;=9,"Medium",IF(L5&lt;=15,"High","Critical"))))</f>
        <v>Low</v>
      </c>
      <c r="N5" s="31" t="s">
        <v>130</v>
      </c>
    </row>
    <row r="6" spans="1:14" ht="93.75" customHeight="1" x14ac:dyDescent="0.25">
      <c r="A6" s="19" t="s">
        <v>131</v>
      </c>
      <c r="B6" s="25" t="s">
        <v>132</v>
      </c>
      <c r="C6" s="28" t="s">
        <v>133</v>
      </c>
      <c r="D6" s="31" t="s">
        <v>128</v>
      </c>
      <c r="E6" s="19">
        <v>2</v>
      </c>
      <c r="F6" s="19">
        <v>5</v>
      </c>
      <c r="G6" s="19">
        <f t="shared" si="0"/>
        <v>10</v>
      </c>
      <c r="H6" s="19" t="str">
        <f t="shared" si="1"/>
        <v>High</v>
      </c>
      <c r="I6" s="28" t="s">
        <v>134</v>
      </c>
      <c r="J6" s="19">
        <v>1</v>
      </c>
      <c r="K6" s="19">
        <v>5</v>
      </c>
      <c r="L6" s="19">
        <f t="shared" si="2"/>
        <v>5</v>
      </c>
      <c r="M6" s="19" t="str">
        <f t="shared" si="3"/>
        <v>Medium</v>
      </c>
      <c r="N6" s="31" t="s">
        <v>130</v>
      </c>
    </row>
    <row r="7" spans="1:14" ht="93.75" customHeight="1" x14ac:dyDescent="0.25">
      <c r="A7" s="19" t="s">
        <v>135</v>
      </c>
      <c r="B7" s="25" t="s">
        <v>136</v>
      </c>
      <c r="C7" s="28" t="s">
        <v>137</v>
      </c>
      <c r="D7" s="31" t="s">
        <v>128</v>
      </c>
      <c r="E7" s="19">
        <v>4</v>
      </c>
      <c r="F7" s="19">
        <v>3</v>
      </c>
      <c r="G7" s="19">
        <f t="shared" si="0"/>
        <v>12</v>
      </c>
      <c r="H7" s="19" t="str">
        <f t="shared" si="1"/>
        <v>High</v>
      </c>
      <c r="I7" s="28" t="s">
        <v>138</v>
      </c>
      <c r="J7" s="19">
        <v>1</v>
      </c>
      <c r="K7" s="19">
        <v>3</v>
      </c>
      <c r="L7" s="19">
        <f t="shared" si="2"/>
        <v>3</v>
      </c>
      <c r="M7" s="19" t="str">
        <f t="shared" si="3"/>
        <v>Low</v>
      </c>
      <c r="N7" s="31" t="s">
        <v>130</v>
      </c>
    </row>
    <row r="8" spans="1:14" ht="81" customHeight="1" x14ac:dyDescent="0.25">
      <c r="A8" s="19" t="s">
        <v>139</v>
      </c>
      <c r="B8" s="25" t="s">
        <v>140</v>
      </c>
      <c r="C8" s="28" t="s">
        <v>141</v>
      </c>
      <c r="D8" s="31" t="s">
        <v>128</v>
      </c>
      <c r="E8" s="19">
        <v>3</v>
      </c>
      <c r="F8" s="19">
        <v>3</v>
      </c>
      <c r="G8" s="19">
        <f t="shared" si="0"/>
        <v>9</v>
      </c>
      <c r="H8" s="19" t="str">
        <f t="shared" si="1"/>
        <v>Medium</v>
      </c>
      <c r="I8" s="28" t="s">
        <v>142</v>
      </c>
      <c r="J8" s="19">
        <v>1</v>
      </c>
      <c r="K8" s="19">
        <v>3</v>
      </c>
      <c r="L8" s="19">
        <f t="shared" si="2"/>
        <v>3</v>
      </c>
      <c r="M8" s="19" t="str">
        <f t="shared" si="3"/>
        <v>Low</v>
      </c>
      <c r="N8" s="31" t="s">
        <v>130</v>
      </c>
    </row>
    <row r="9" spans="1:14" ht="81" customHeight="1" x14ac:dyDescent="0.25">
      <c r="A9" s="19" t="s">
        <v>143</v>
      </c>
      <c r="B9" s="25" t="s">
        <v>144</v>
      </c>
      <c r="C9" s="28" t="s">
        <v>145</v>
      </c>
      <c r="D9" s="31" t="s">
        <v>128</v>
      </c>
      <c r="E9" s="19">
        <v>3</v>
      </c>
      <c r="F9" s="19">
        <v>2</v>
      </c>
      <c r="G9" s="19">
        <f t="shared" si="0"/>
        <v>6</v>
      </c>
      <c r="H9" s="19" t="str">
        <f t="shared" si="1"/>
        <v>Medium</v>
      </c>
      <c r="I9" s="28" t="s">
        <v>146</v>
      </c>
      <c r="J9" s="19">
        <v>1</v>
      </c>
      <c r="K9" s="19">
        <v>2</v>
      </c>
      <c r="L9" s="19">
        <f t="shared" si="2"/>
        <v>2</v>
      </c>
      <c r="M9" s="19" t="str">
        <f t="shared" si="3"/>
        <v>Low</v>
      </c>
      <c r="N9" s="31" t="s">
        <v>130</v>
      </c>
    </row>
    <row r="10" spans="1:14" ht="81" customHeight="1" x14ac:dyDescent="0.25">
      <c r="A10" s="19" t="s">
        <v>147</v>
      </c>
      <c r="B10" s="25" t="s">
        <v>148</v>
      </c>
      <c r="C10" s="28" t="s">
        <v>149</v>
      </c>
      <c r="D10" s="31" t="s">
        <v>128</v>
      </c>
      <c r="E10" s="19">
        <v>3</v>
      </c>
      <c r="F10" s="19">
        <v>2</v>
      </c>
      <c r="G10" s="19">
        <f t="shared" si="0"/>
        <v>6</v>
      </c>
      <c r="H10" s="19" t="str">
        <f t="shared" si="1"/>
        <v>Medium</v>
      </c>
      <c r="I10" s="28" t="s">
        <v>150</v>
      </c>
      <c r="J10" s="19">
        <v>1</v>
      </c>
      <c r="K10" s="19">
        <v>2</v>
      </c>
      <c r="L10" s="19">
        <f t="shared" si="2"/>
        <v>2</v>
      </c>
      <c r="M10" s="19" t="str">
        <f t="shared" si="3"/>
        <v>Low</v>
      </c>
      <c r="N10" s="31" t="s">
        <v>130</v>
      </c>
    </row>
    <row r="11" spans="1:14" ht="81" customHeight="1" x14ac:dyDescent="0.25">
      <c r="A11" s="19" t="s">
        <v>151</v>
      </c>
      <c r="B11" s="25" t="s">
        <v>152</v>
      </c>
      <c r="C11" s="28" t="s">
        <v>153</v>
      </c>
      <c r="D11" s="31" t="s">
        <v>154</v>
      </c>
      <c r="E11" s="19">
        <v>3</v>
      </c>
      <c r="F11" s="19">
        <v>4</v>
      </c>
      <c r="G11" s="19">
        <f t="shared" si="0"/>
        <v>12</v>
      </c>
      <c r="H11" s="19" t="str">
        <f t="shared" si="1"/>
        <v>High</v>
      </c>
      <c r="I11" s="28" t="s">
        <v>155</v>
      </c>
      <c r="J11" s="19">
        <v>1</v>
      </c>
      <c r="K11" s="19">
        <v>4</v>
      </c>
      <c r="L11" s="19">
        <f t="shared" si="2"/>
        <v>4</v>
      </c>
      <c r="M11" s="19" t="str">
        <f t="shared" si="3"/>
        <v>Low</v>
      </c>
      <c r="N11" s="31" t="s">
        <v>130</v>
      </c>
    </row>
    <row r="12" spans="1:14" ht="81" customHeight="1" x14ac:dyDescent="0.25">
      <c r="A12" s="19" t="s">
        <v>156</v>
      </c>
      <c r="B12" s="25" t="s">
        <v>157</v>
      </c>
      <c r="C12" s="28" t="s">
        <v>158</v>
      </c>
      <c r="D12" s="31" t="s">
        <v>154</v>
      </c>
      <c r="E12" s="19">
        <v>3</v>
      </c>
      <c r="F12" s="19">
        <v>4</v>
      </c>
      <c r="G12" s="19">
        <f t="shared" si="0"/>
        <v>12</v>
      </c>
      <c r="H12" s="19" t="str">
        <f t="shared" si="1"/>
        <v>High</v>
      </c>
      <c r="I12" s="28" t="s">
        <v>159</v>
      </c>
      <c r="J12" s="19">
        <v>1</v>
      </c>
      <c r="K12" s="19">
        <v>4</v>
      </c>
      <c r="L12" s="19">
        <f t="shared" si="2"/>
        <v>4</v>
      </c>
      <c r="M12" s="19" t="str">
        <f t="shared" si="3"/>
        <v>Low</v>
      </c>
      <c r="N12" s="31" t="s">
        <v>130</v>
      </c>
    </row>
    <row r="13" spans="1:14" ht="81" customHeight="1" x14ac:dyDescent="0.25">
      <c r="A13" s="19" t="s">
        <v>160</v>
      </c>
      <c r="B13" s="25" t="s">
        <v>161</v>
      </c>
      <c r="C13" s="28" t="s">
        <v>162</v>
      </c>
      <c r="D13" s="31" t="s">
        <v>163</v>
      </c>
      <c r="E13" s="19">
        <v>3</v>
      </c>
      <c r="F13" s="19">
        <v>4</v>
      </c>
      <c r="G13" s="19">
        <f t="shared" si="0"/>
        <v>12</v>
      </c>
      <c r="H13" s="19" t="str">
        <f t="shared" si="1"/>
        <v>High</v>
      </c>
      <c r="I13" s="28" t="s">
        <v>164</v>
      </c>
      <c r="J13" s="19">
        <v>1</v>
      </c>
      <c r="K13" s="19">
        <v>4</v>
      </c>
      <c r="L13" s="19">
        <f t="shared" si="2"/>
        <v>4</v>
      </c>
      <c r="M13" s="19" t="str">
        <f t="shared" si="3"/>
        <v>Low</v>
      </c>
      <c r="N13" s="31" t="s">
        <v>130</v>
      </c>
    </row>
    <row r="14" spans="1:14" ht="81" customHeight="1" x14ac:dyDescent="0.25">
      <c r="A14" s="19" t="s">
        <v>165</v>
      </c>
      <c r="B14" s="25" t="s">
        <v>166</v>
      </c>
      <c r="C14" s="28" t="s">
        <v>167</v>
      </c>
      <c r="D14" s="31" t="s">
        <v>168</v>
      </c>
      <c r="E14" s="19">
        <v>3</v>
      </c>
      <c r="F14" s="19">
        <v>4</v>
      </c>
      <c r="G14" s="19">
        <f t="shared" si="0"/>
        <v>12</v>
      </c>
      <c r="H14" s="19" t="str">
        <f t="shared" si="1"/>
        <v>High</v>
      </c>
      <c r="I14" s="28" t="s">
        <v>169</v>
      </c>
      <c r="J14" s="19">
        <v>1</v>
      </c>
      <c r="K14" s="19">
        <v>4</v>
      </c>
      <c r="L14" s="19">
        <f t="shared" si="2"/>
        <v>4</v>
      </c>
      <c r="M14" s="19" t="str">
        <f t="shared" si="3"/>
        <v>Low</v>
      </c>
      <c r="N14" s="31" t="s">
        <v>130</v>
      </c>
    </row>
    <row r="15" spans="1:14" ht="81" customHeight="1" x14ac:dyDescent="0.25">
      <c r="A15" s="19" t="s">
        <v>170</v>
      </c>
      <c r="B15" s="25" t="s">
        <v>171</v>
      </c>
      <c r="C15" s="28" t="s">
        <v>172</v>
      </c>
      <c r="D15" s="31" t="s">
        <v>154</v>
      </c>
      <c r="E15" s="19">
        <v>2</v>
      </c>
      <c r="F15" s="19">
        <v>3</v>
      </c>
      <c r="G15" s="19">
        <f t="shared" si="0"/>
        <v>6</v>
      </c>
      <c r="H15" s="19" t="str">
        <f t="shared" si="1"/>
        <v>Medium</v>
      </c>
      <c r="I15" s="28" t="s">
        <v>173</v>
      </c>
      <c r="J15" s="19">
        <v>1</v>
      </c>
      <c r="K15" s="19">
        <v>3</v>
      </c>
      <c r="L15" s="19">
        <f t="shared" si="2"/>
        <v>3</v>
      </c>
      <c r="M15" s="19" t="str">
        <f t="shared" si="3"/>
        <v>Low</v>
      </c>
      <c r="N15" s="31" t="s">
        <v>130</v>
      </c>
    </row>
    <row r="16" spans="1:14" ht="93.75" customHeight="1" x14ac:dyDescent="0.25">
      <c r="A16" s="19" t="s">
        <v>174</v>
      </c>
      <c r="B16" s="25" t="s">
        <v>175</v>
      </c>
      <c r="C16" s="28" t="s">
        <v>176</v>
      </c>
      <c r="D16" s="31" t="s">
        <v>177</v>
      </c>
      <c r="E16" s="19">
        <v>2</v>
      </c>
      <c r="F16" s="19">
        <v>3</v>
      </c>
      <c r="G16" s="19">
        <f t="shared" si="0"/>
        <v>6</v>
      </c>
      <c r="H16" s="19" t="str">
        <f t="shared" si="1"/>
        <v>Medium</v>
      </c>
      <c r="I16" s="28" t="s">
        <v>178</v>
      </c>
      <c r="J16" s="19">
        <v>1</v>
      </c>
      <c r="K16" s="19">
        <v>3</v>
      </c>
      <c r="L16" s="19">
        <f t="shared" si="2"/>
        <v>3</v>
      </c>
      <c r="M16" s="19" t="str">
        <f t="shared" si="3"/>
        <v>Low</v>
      </c>
      <c r="N16" s="31" t="s">
        <v>130</v>
      </c>
    </row>
    <row r="19" spans="1:14" ht="15" customHeight="1" x14ac:dyDescent="0.25">
      <c r="A19" s="2" t="s">
        <v>179</v>
      </c>
      <c r="B19" s="2"/>
      <c r="C19" s="2"/>
      <c r="D19" s="2"/>
      <c r="E19" s="2"/>
      <c r="F19" s="2"/>
      <c r="G19" s="2"/>
      <c r="H19" s="2"/>
      <c r="I19" s="2"/>
      <c r="J19" s="2"/>
      <c r="K19" s="2"/>
      <c r="L19" s="2"/>
      <c r="M19" s="2"/>
      <c r="N19" s="2"/>
    </row>
    <row r="20" spans="1:14" x14ac:dyDescent="0.25">
      <c r="D20" s="34"/>
      <c r="E20" s="34"/>
      <c r="F20" s="34"/>
      <c r="G20" s="34"/>
      <c r="H20" s="35"/>
    </row>
    <row r="21" spans="1:14" x14ac:dyDescent="0.25">
      <c r="A21" s="1" t="s">
        <v>180</v>
      </c>
      <c r="B21" s="1"/>
      <c r="C21" s="1"/>
      <c r="D21" s="33"/>
      <c r="E21" s="33"/>
      <c r="F21" s="33"/>
      <c r="G21" s="33"/>
      <c r="H21" s="36"/>
    </row>
    <row r="22" spans="1:14" x14ac:dyDescent="0.25">
      <c r="A22" s="1" t="s">
        <v>181</v>
      </c>
      <c r="B22" s="1"/>
      <c r="C22" s="1"/>
      <c r="D22" s="33"/>
      <c r="E22" s="33"/>
      <c r="F22" s="33"/>
      <c r="G22" s="33"/>
      <c r="H22" s="36"/>
    </row>
    <row r="23" spans="1:14" x14ac:dyDescent="0.25">
      <c r="A23" s="1" t="s">
        <v>182</v>
      </c>
      <c r="B23" s="1"/>
      <c r="C23" s="1"/>
      <c r="D23" s="33"/>
      <c r="E23" s="33"/>
      <c r="F23" s="33"/>
      <c r="G23" s="33"/>
      <c r="H23" s="36"/>
    </row>
    <row r="24" spans="1:14" x14ac:dyDescent="0.25">
      <c r="A24" s="1" t="s">
        <v>183</v>
      </c>
      <c r="B24" s="1"/>
      <c r="C24" s="1"/>
      <c r="D24" s="33"/>
      <c r="E24" s="33"/>
      <c r="F24" s="33"/>
      <c r="G24" s="33"/>
      <c r="H24" s="36"/>
    </row>
    <row r="25" spans="1:14" x14ac:dyDescent="0.25">
      <c r="A25" s="1" t="s">
        <v>181</v>
      </c>
      <c r="B25" s="1"/>
      <c r="C25" s="1"/>
      <c r="D25" s="33"/>
      <c r="E25" s="33"/>
      <c r="F25" s="33"/>
      <c r="G25" s="33"/>
      <c r="H25" s="36"/>
    </row>
    <row r="26" spans="1:14" x14ac:dyDescent="0.25">
      <c r="A26" s="1" t="s">
        <v>182</v>
      </c>
      <c r="B26" s="1"/>
      <c r="C26" s="1"/>
      <c r="D26" s="33"/>
      <c r="E26" s="33"/>
      <c r="F26" s="33"/>
      <c r="G26" s="33"/>
      <c r="H26" s="36"/>
    </row>
    <row r="27" spans="1:14" x14ac:dyDescent="0.25">
      <c r="A27" s="1" t="s">
        <v>184</v>
      </c>
      <c r="B27" s="1"/>
      <c r="C27" s="1"/>
      <c r="D27" s="33"/>
      <c r="E27" s="33"/>
      <c r="F27" s="33"/>
      <c r="G27" s="33"/>
      <c r="H27" s="36"/>
    </row>
  </sheetData>
  <mergeCells count="16">
    <mergeCell ref="A26:C26"/>
    <mergeCell ref="D26:H26"/>
    <mergeCell ref="A27:C27"/>
    <mergeCell ref="D27:H27"/>
    <mergeCell ref="A23:C23"/>
    <mergeCell ref="D23:H23"/>
    <mergeCell ref="A24:C24"/>
    <mergeCell ref="D24:H24"/>
    <mergeCell ref="A25:C25"/>
    <mergeCell ref="D25:H25"/>
    <mergeCell ref="A2:N2"/>
    <mergeCell ref="A19:N19"/>
    <mergeCell ref="A21:C21"/>
    <mergeCell ref="D21:H21"/>
    <mergeCell ref="A22:C22"/>
    <mergeCell ref="D22:H22"/>
  </mergeCells>
  <conditionalFormatting sqref="E5:F16">
    <cfRule type="cellIs" dxfId="23" priority="2" operator="equal">
      <formula>1</formula>
    </cfRule>
    <cfRule type="cellIs" dxfId="22" priority="3" operator="equal">
      <formula>2</formula>
    </cfRule>
    <cfRule type="cellIs" dxfId="21" priority="4" operator="equal">
      <formula>3</formula>
    </cfRule>
    <cfRule type="cellIs" dxfId="20" priority="5" operator="equal">
      <formula>4</formula>
    </cfRule>
    <cfRule type="cellIs" dxfId="19" priority="6" operator="equal">
      <formula>5</formula>
    </cfRule>
  </conditionalFormatting>
  <conditionalFormatting sqref="G5:G16">
    <cfRule type="cellIs" dxfId="18" priority="12" operator="lessThanOrEqual">
      <formula>4</formula>
    </cfRule>
    <cfRule type="cellIs" dxfId="17" priority="13" operator="between">
      <formula>5</formula>
      <formula>9</formula>
    </cfRule>
    <cfRule type="cellIs" dxfId="16" priority="14" operator="greaterThanOrEqual">
      <formula>10</formula>
    </cfRule>
  </conditionalFormatting>
  <conditionalFormatting sqref="H5:H16">
    <cfRule type="cellIs" dxfId="15" priority="18" operator="equal">
      <formula>"Low"</formula>
    </cfRule>
    <cfRule type="cellIs" dxfId="14" priority="19" operator="equal">
      <formula>"Medium"</formula>
    </cfRule>
    <cfRule type="cellIs" dxfId="13" priority="20" operator="equal">
      <formula>"High"</formula>
    </cfRule>
    <cfRule type="cellIs" dxfId="12" priority="21" operator="equal">
      <formula>"Critical"</formula>
    </cfRule>
  </conditionalFormatting>
  <conditionalFormatting sqref="J5:K16">
    <cfRule type="cellIs" dxfId="11" priority="7" operator="equal">
      <formula>1</formula>
    </cfRule>
    <cfRule type="cellIs" dxfId="10" priority="8" operator="equal">
      <formula>2</formula>
    </cfRule>
    <cfRule type="cellIs" dxfId="9" priority="9" operator="equal">
      <formula>3</formula>
    </cfRule>
    <cfRule type="cellIs" dxfId="8" priority="10" operator="equal">
      <formula>4</formula>
    </cfRule>
    <cfRule type="cellIs" dxfId="7" priority="11" operator="equal">
      <formula>5</formula>
    </cfRule>
  </conditionalFormatting>
  <conditionalFormatting sqref="L5:L16">
    <cfRule type="cellIs" dxfId="6" priority="15" operator="lessThanOrEqual">
      <formula>4</formula>
    </cfRule>
    <cfRule type="cellIs" dxfId="5" priority="16" operator="between">
      <formula>5</formula>
      <formula>9</formula>
    </cfRule>
    <cfRule type="cellIs" dxfId="4" priority="17" operator="greaterThanOrEqual">
      <formula>10</formula>
    </cfRule>
  </conditionalFormatting>
  <conditionalFormatting sqref="M5:M16">
    <cfRule type="cellIs" dxfId="3" priority="22" operator="equal">
      <formula>"Low"</formula>
    </cfRule>
    <cfRule type="cellIs" dxfId="2" priority="23" operator="equal">
      <formula>"Medium"</formula>
    </cfRule>
    <cfRule type="cellIs" dxfId="1" priority="24" operator="equal">
      <formula>"High"</formula>
    </cfRule>
    <cfRule type="cellIs" dxfId="0" priority="25" operator="equal">
      <formula>"Critical"</formula>
    </cfRule>
  </conditionalFormatting>
  <dataValidations count="2">
    <dataValidation type="list" allowBlank="1" errorTitle="Invalid Score" error="Please select a value between 1 and 5" promptTitle="Score" prompt="Select 1-5" sqref="E5:F16 J5:K16" xr:uid="{00000000-0002-0000-0300-000000000000}">
      <formula1>"1,2,3,4,5"</formula1>
      <formula2>0</formula2>
    </dataValidation>
    <dataValidation type="list" allowBlank="1" errorTitle="Invalid Status" error="Please select Open, Closed, or In Progress" sqref="N5:N16" xr:uid="{00000000-0002-0000-0300-000001000000}">
      <formula1>"Open,Closed,In Progress"</formula1>
      <formula2>0</formula2>
    </dataValidation>
  </dataValidation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7"/>
  <sheetViews>
    <sheetView showGridLines="0" zoomScaleNormal="100" workbookViewId="0"/>
  </sheetViews>
  <sheetFormatPr defaultColWidth="8.7109375" defaultRowHeight="15" x14ac:dyDescent="0.25"/>
  <cols>
    <col min="1" max="1" width="5" customWidth="1"/>
    <col min="2" max="2" width="30" customWidth="1"/>
    <col min="3" max="7" width="16" customWidth="1"/>
  </cols>
  <sheetData>
    <row r="1" spans="1:7" ht="75.75" customHeight="1" x14ac:dyDescent="0.25"/>
    <row r="2" spans="1:7" ht="26.25" customHeight="1" x14ac:dyDescent="0.4">
      <c r="A2" s="14" t="s">
        <v>0</v>
      </c>
      <c r="B2" s="14"/>
      <c r="C2" s="14"/>
      <c r="D2" s="14"/>
      <c r="E2" s="14"/>
      <c r="F2" s="14"/>
      <c r="G2" s="14"/>
    </row>
    <row r="4" spans="1:7" ht="15.75" x14ac:dyDescent="0.25">
      <c r="B4" s="15" t="s">
        <v>1</v>
      </c>
    </row>
    <row r="5" spans="1:7" ht="24" x14ac:dyDescent="0.25">
      <c r="C5" s="16" t="s">
        <v>2</v>
      </c>
      <c r="D5" s="16" t="s">
        <v>3</v>
      </c>
      <c r="E5" s="16" t="s">
        <v>4</v>
      </c>
      <c r="F5" s="16" t="s">
        <v>5</v>
      </c>
      <c r="G5" s="16" t="s">
        <v>6</v>
      </c>
    </row>
    <row r="6" spans="1:7" ht="36" customHeight="1" x14ac:dyDescent="0.25">
      <c r="C6" s="17">
        <f>COUNTA('Risk Assessment'!A5:A16)</f>
        <v>12</v>
      </c>
      <c r="D6" s="17">
        <f>COUNTIF('Risk Assessment'!H5:H16,"Critical")</f>
        <v>1</v>
      </c>
      <c r="E6" s="17">
        <f>COUNTIF('Risk Assessment'!H5:H16,"High")</f>
        <v>6</v>
      </c>
      <c r="F6" s="17">
        <f>COUNTIF('Risk Assessment'!H5:H16,"Medium")</f>
        <v>5</v>
      </c>
      <c r="G6" s="17">
        <f>COUNTIF('Risk Assessment'!H5:H16,"Low")</f>
        <v>0</v>
      </c>
    </row>
    <row r="8" spans="1:7" ht="15.75" x14ac:dyDescent="0.25">
      <c r="B8" s="13" t="s">
        <v>7</v>
      </c>
      <c r="C8" s="13"/>
      <c r="D8" s="13"/>
      <c r="E8" s="13"/>
      <c r="F8" s="13"/>
      <c r="G8" s="13"/>
    </row>
    <row r="9" spans="1:7" x14ac:dyDescent="0.25">
      <c r="C9" s="16" t="s">
        <v>8</v>
      </c>
      <c r="D9" s="16" t="s">
        <v>9</v>
      </c>
      <c r="E9" s="16" t="s">
        <v>10</v>
      </c>
    </row>
    <row r="10" spans="1:7" x14ac:dyDescent="0.25">
      <c r="C10" s="18" t="s">
        <v>11</v>
      </c>
      <c r="D10" s="19">
        <f>COUNTIF('Risk Assessment'!H5:H16,"Critical")</f>
        <v>1</v>
      </c>
      <c r="E10" s="19" t="str">
        <f>IF(D10=0,"0%",TEXT(D10/C6,"0%"))</f>
        <v>8%</v>
      </c>
    </row>
    <row r="11" spans="1:7" x14ac:dyDescent="0.25">
      <c r="C11" s="20" t="s">
        <v>12</v>
      </c>
      <c r="D11" s="19">
        <f>COUNTIF('Risk Assessment'!H5:H16,"High")</f>
        <v>6</v>
      </c>
      <c r="E11" s="19" t="str">
        <f>IF(D11=0,"0%",TEXT(D11/C6,"0%"))</f>
        <v>50%</v>
      </c>
    </row>
    <row r="12" spans="1:7" x14ac:dyDescent="0.25">
      <c r="C12" s="21" t="s">
        <v>13</v>
      </c>
      <c r="D12" s="19">
        <f>COUNTIF('Risk Assessment'!H5:H16,"Medium")</f>
        <v>5</v>
      </c>
      <c r="E12" s="19" t="str">
        <f>IF(D12=0,"0%",TEXT(D12/C6,"0%"))</f>
        <v>42%</v>
      </c>
    </row>
    <row r="13" spans="1:7" x14ac:dyDescent="0.25">
      <c r="C13" s="22" t="s">
        <v>14</v>
      </c>
      <c r="D13" s="19">
        <f>COUNTIF('Risk Assessment'!H5:H16,"Low")</f>
        <v>0</v>
      </c>
      <c r="E13" s="19" t="str">
        <f>IF(D13=0,"0%",TEXT(D13/C6,"0%"))</f>
        <v>0%</v>
      </c>
    </row>
    <row r="15" spans="1:7" ht="15.75" x14ac:dyDescent="0.25">
      <c r="B15" s="13" t="s">
        <v>15</v>
      </c>
      <c r="C15" s="13"/>
      <c r="D15" s="13"/>
      <c r="E15" s="13"/>
      <c r="F15" s="13"/>
      <c r="G15" s="13"/>
    </row>
    <row r="16" spans="1:7" x14ac:dyDescent="0.25">
      <c r="C16" s="16" t="s">
        <v>8</v>
      </c>
      <c r="D16" s="16" t="s">
        <v>9</v>
      </c>
      <c r="E16" s="16" t="s">
        <v>10</v>
      </c>
    </row>
    <row r="17" spans="2:7" x14ac:dyDescent="0.25">
      <c r="C17" s="18" t="s">
        <v>11</v>
      </c>
      <c r="D17" s="19">
        <f>COUNTIF('Risk Assessment'!M5:M16,"Critical")</f>
        <v>0</v>
      </c>
      <c r="E17" s="19" t="str">
        <f>IF(D17=0,"0%",TEXT(D17/C6,"0%"))</f>
        <v>0%</v>
      </c>
    </row>
    <row r="18" spans="2:7" x14ac:dyDescent="0.25">
      <c r="C18" s="20" t="s">
        <v>12</v>
      </c>
      <c r="D18" s="19">
        <f>COUNTIF('Risk Assessment'!M5:M16,"High")</f>
        <v>0</v>
      </c>
      <c r="E18" s="19" t="str">
        <f>IF(D18=0,"0%",TEXT(D18/C6,"0%"))</f>
        <v>0%</v>
      </c>
    </row>
    <row r="19" spans="2:7" x14ac:dyDescent="0.25">
      <c r="C19" s="21" t="s">
        <v>13</v>
      </c>
      <c r="D19" s="19">
        <f>COUNTIF('Risk Assessment'!M5:M16,"Medium")</f>
        <v>1</v>
      </c>
      <c r="E19" s="19" t="str">
        <f>IF(D19=0,"0%",TEXT(D19/C6,"0%"))</f>
        <v>8%</v>
      </c>
    </row>
    <row r="20" spans="2:7" x14ac:dyDescent="0.25">
      <c r="C20" s="22" t="s">
        <v>14</v>
      </c>
      <c r="D20" s="19">
        <f>COUNTIF('Risk Assessment'!M5:M16,"Low")</f>
        <v>11</v>
      </c>
      <c r="E20" s="19" t="str">
        <f>IF(D20=0,"0%",TEXT(D20/C6,"0%"))</f>
        <v>92%</v>
      </c>
    </row>
    <row r="22" spans="2:7" ht="15.75" x14ac:dyDescent="0.25">
      <c r="B22" s="13" t="s">
        <v>16</v>
      </c>
      <c r="C22" s="13"/>
      <c r="D22" s="13"/>
      <c r="E22" s="13"/>
      <c r="F22" s="13"/>
      <c r="G22" s="13"/>
    </row>
    <row r="23" spans="2:7" x14ac:dyDescent="0.25">
      <c r="C23" s="16" t="s">
        <v>17</v>
      </c>
      <c r="D23" s="16" t="s">
        <v>18</v>
      </c>
    </row>
    <row r="24" spans="2:7" ht="21.75" customHeight="1" x14ac:dyDescent="0.25">
      <c r="C24" s="23" t="s">
        <v>19</v>
      </c>
      <c r="D24" s="24">
        <f>ROUND(AVERAGE('Risk Assessment'!G5:G16),1)</f>
        <v>9.9</v>
      </c>
    </row>
    <row r="25" spans="2:7" ht="21.75" customHeight="1" x14ac:dyDescent="0.25">
      <c r="C25" s="25" t="s">
        <v>20</v>
      </c>
      <c r="D25" s="26">
        <f>ROUND(AVERAGE('Risk Assessment'!L5:L16),1)</f>
        <v>3.4</v>
      </c>
    </row>
    <row r="26" spans="2:7" ht="21.75" customHeight="1" x14ac:dyDescent="0.25">
      <c r="C26" s="23" t="s">
        <v>21</v>
      </c>
      <c r="D26" s="24" t="str">
        <f>TEXT(1-(AVERAGE('Risk Assessment'!L5:L16)/AVERAGE('Risk Assessment'!G5:G16)),"0%")</f>
        <v>66%</v>
      </c>
    </row>
    <row r="27" spans="2:7" ht="21.75" customHeight="1" x14ac:dyDescent="0.25">
      <c r="C27" s="25" t="s">
        <v>22</v>
      </c>
      <c r="D27" s="26">
        <f>COUNTIF('Risk Assessment'!M5:M16,"Critical")</f>
        <v>0</v>
      </c>
    </row>
    <row r="28" spans="2:7" ht="21.75" customHeight="1" x14ac:dyDescent="0.25">
      <c r="C28" s="23" t="s">
        <v>23</v>
      </c>
      <c r="D28" s="24">
        <f>COUNTIF('Risk Assessment'!M5:M16,"High")</f>
        <v>0</v>
      </c>
    </row>
    <row r="29" spans="2:7" ht="21.75" customHeight="1" x14ac:dyDescent="0.25">
      <c r="C29" s="25" t="s">
        <v>24</v>
      </c>
      <c r="D29" s="26">
        <f>COUNTIF('Risk Assessment'!N5:N16,"Open")</f>
        <v>12</v>
      </c>
    </row>
    <row r="31" spans="2:7" ht="15.75" x14ac:dyDescent="0.25">
      <c r="B31" s="15" t="s">
        <v>25</v>
      </c>
    </row>
    <row r="32" spans="2:7" ht="24" x14ac:dyDescent="0.25">
      <c r="C32" s="27" t="s">
        <v>26</v>
      </c>
      <c r="D32" s="28" t="s">
        <v>27</v>
      </c>
    </row>
    <row r="33" spans="3:4" x14ac:dyDescent="0.25">
      <c r="C33" s="27" t="s">
        <v>28</v>
      </c>
      <c r="D33" s="28" t="s">
        <v>29</v>
      </c>
    </row>
    <row r="34" spans="3:4" x14ac:dyDescent="0.25">
      <c r="C34" s="27" t="s">
        <v>30</v>
      </c>
      <c r="D34" s="28" t="s">
        <v>31</v>
      </c>
    </row>
    <row r="35" spans="3:4" x14ac:dyDescent="0.25">
      <c r="C35" s="27" t="s">
        <v>32</v>
      </c>
      <c r="D35" s="28" t="s">
        <v>33</v>
      </c>
    </row>
    <row r="36" spans="3:4" ht="24" x14ac:dyDescent="0.25">
      <c r="C36" s="27" t="s">
        <v>34</v>
      </c>
      <c r="D36" s="28" t="s">
        <v>35</v>
      </c>
    </row>
    <row r="37" spans="3:4" x14ac:dyDescent="0.25">
      <c r="C37" s="27" t="s">
        <v>36</v>
      </c>
      <c r="D37" s="28" t="s">
        <v>37</v>
      </c>
    </row>
  </sheetData>
  <mergeCells count="4">
    <mergeCell ref="A2:G2"/>
    <mergeCell ref="B8:G8"/>
    <mergeCell ref="B15:G15"/>
    <mergeCell ref="B22:G22"/>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8"/>
  <sheetViews>
    <sheetView showGridLines="0" zoomScaleNormal="100" workbookViewId="0">
      <selection activeCell="I34" sqref="I34"/>
    </sheetView>
  </sheetViews>
  <sheetFormatPr defaultColWidth="8.7109375" defaultRowHeight="15" x14ac:dyDescent="0.25"/>
  <cols>
    <col min="1" max="1" width="5" customWidth="1"/>
    <col min="2" max="2" width="12" customWidth="1"/>
    <col min="3" max="3" width="25" customWidth="1"/>
    <col min="4" max="8" width="12" customWidth="1"/>
  </cols>
  <sheetData>
    <row r="1" spans="1:8" ht="75.75" customHeight="1" x14ac:dyDescent="0.25">
      <c r="A1" s="12"/>
      <c r="B1" s="12"/>
      <c r="C1" s="12"/>
    </row>
    <row r="2" spans="1:8" ht="26.25" customHeight="1" x14ac:dyDescent="0.4">
      <c r="A2" s="14" t="s">
        <v>58</v>
      </c>
      <c r="B2" s="14"/>
      <c r="C2" s="14"/>
      <c r="D2" s="14"/>
      <c r="E2" s="14"/>
      <c r="F2" s="14"/>
    </row>
    <row r="4" spans="1:8" x14ac:dyDescent="0.25">
      <c r="B4" s="6" t="s">
        <v>59</v>
      </c>
      <c r="C4" s="6"/>
      <c r="D4" s="6"/>
      <c r="E4" s="6"/>
      <c r="F4" s="6"/>
    </row>
    <row r="6" spans="1:8" x14ac:dyDescent="0.25">
      <c r="B6" s="6" t="s">
        <v>60</v>
      </c>
      <c r="C6" s="6"/>
      <c r="E6" s="6" t="s">
        <v>61</v>
      </c>
      <c r="F6" s="6"/>
    </row>
    <row r="7" spans="1:8" x14ac:dyDescent="0.25">
      <c r="B7" s="31">
        <v>1</v>
      </c>
      <c r="C7" s="28" t="s">
        <v>62</v>
      </c>
      <c r="E7" s="31">
        <v>1</v>
      </c>
      <c r="F7" s="28" t="s">
        <v>63</v>
      </c>
    </row>
    <row r="8" spans="1:8" ht="24" x14ac:dyDescent="0.25">
      <c r="B8" s="31">
        <v>2</v>
      </c>
      <c r="C8" s="28" t="s">
        <v>64</v>
      </c>
      <c r="E8" s="31">
        <v>2</v>
      </c>
      <c r="F8" s="28" t="s">
        <v>65</v>
      </c>
    </row>
    <row r="9" spans="1:8" ht="24" x14ac:dyDescent="0.25">
      <c r="B9" s="31">
        <v>3</v>
      </c>
      <c r="C9" s="28" t="s">
        <v>66</v>
      </c>
      <c r="E9" s="31">
        <v>3</v>
      </c>
      <c r="F9" s="28" t="s">
        <v>67</v>
      </c>
    </row>
    <row r="10" spans="1:8" x14ac:dyDescent="0.25">
      <c r="B10" s="31">
        <v>4</v>
      </c>
      <c r="C10" s="28" t="s">
        <v>68</v>
      </c>
      <c r="E10" s="31">
        <v>4</v>
      </c>
      <c r="F10" s="28" t="s">
        <v>69</v>
      </c>
    </row>
    <row r="11" spans="1:8" x14ac:dyDescent="0.25">
      <c r="B11" s="31">
        <v>5</v>
      </c>
      <c r="C11" s="28" t="s">
        <v>70</v>
      </c>
      <c r="E11" s="31">
        <v>5</v>
      </c>
      <c r="F11" s="28" t="s">
        <v>71</v>
      </c>
    </row>
    <row r="14" spans="1:8" ht="15.75" x14ac:dyDescent="0.25">
      <c r="A14" s="15" t="s">
        <v>72</v>
      </c>
    </row>
    <row r="16" spans="1:8" ht="15" customHeight="1" x14ac:dyDescent="0.25">
      <c r="B16" s="5" t="s">
        <v>73</v>
      </c>
      <c r="C16" s="5"/>
      <c r="D16" s="32" t="s">
        <v>74</v>
      </c>
      <c r="E16" s="32" t="s">
        <v>75</v>
      </c>
      <c r="F16" s="32" t="s">
        <v>76</v>
      </c>
      <c r="G16" s="32" t="s">
        <v>77</v>
      </c>
      <c r="H16" s="32" t="s">
        <v>78</v>
      </c>
    </row>
    <row r="17" spans="1:8" ht="15" customHeight="1" x14ac:dyDescent="0.25">
      <c r="B17" s="5" t="s">
        <v>79</v>
      </c>
      <c r="C17" s="5"/>
      <c r="D17" s="21">
        <v>5</v>
      </c>
      <c r="E17" s="20">
        <v>10</v>
      </c>
      <c r="F17" s="20">
        <v>15</v>
      </c>
      <c r="G17" s="18">
        <v>20</v>
      </c>
      <c r="H17" s="18">
        <v>25</v>
      </c>
    </row>
    <row r="18" spans="1:8" ht="15" customHeight="1" x14ac:dyDescent="0.25">
      <c r="B18" s="5" t="s">
        <v>80</v>
      </c>
      <c r="C18" s="5"/>
      <c r="D18" s="22">
        <v>4</v>
      </c>
      <c r="E18" s="21">
        <v>8</v>
      </c>
      <c r="F18" s="20">
        <v>12</v>
      </c>
      <c r="G18" s="18">
        <v>16</v>
      </c>
      <c r="H18" s="18">
        <v>20</v>
      </c>
    </row>
    <row r="19" spans="1:8" ht="15" customHeight="1" x14ac:dyDescent="0.25">
      <c r="B19" s="5" t="s">
        <v>81</v>
      </c>
      <c r="C19" s="5"/>
      <c r="D19" s="22">
        <v>3</v>
      </c>
      <c r="E19" s="21">
        <v>6</v>
      </c>
      <c r="F19" s="21">
        <v>9</v>
      </c>
      <c r="G19" s="20">
        <v>12</v>
      </c>
      <c r="H19" s="20">
        <v>15</v>
      </c>
    </row>
    <row r="20" spans="1:8" ht="15" customHeight="1" x14ac:dyDescent="0.25">
      <c r="B20" s="5" t="s">
        <v>82</v>
      </c>
      <c r="C20" s="5"/>
      <c r="D20" s="22">
        <v>2</v>
      </c>
      <c r="E20" s="22">
        <v>4</v>
      </c>
      <c r="F20" s="21">
        <v>6</v>
      </c>
      <c r="G20" s="21">
        <v>8</v>
      </c>
      <c r="H20" s="20">
        <v>10</v>
      </c>
    </row>
    <row r="21" spans="1:8" ht="15" customHeight="1" x14ac:dyDescent="0.25">
      <c r="B21" s="5" t="s">
        <v>83</v>
      </c>
      <c r="C21" s="5"/>
      <c r="D21" s="22">
        <v>1</v>
      </c>
      <c r="E21" s="22">
        <v>2</v>
      </c>
      <c r="F21" s="22">
        <v>3</v>
      </c>
      <c r="G21" s="22">
        <v>4</v>
      </c>
      <c r="H21" s="21">
        <v>5</v>
      </c>
    </row>
    <row r="23" spans="1:8" x14ac:dyDescent="0.25">
      <c r="B23" s="6" t="s">
        <v>84</v>
      </c>
      <c r="C23" s="6"/>
      <c r="D23" s="6"/>
      <c r="E23" s="6"/>
      <c r="F23" s="6"/>
    </row>
    <row r="24" spans="1:8" x14ac:dyDescent="0.25">
      <c r="B24" s="6" t="s">
        <v>85</v>
      </c>
      <c r="C24" s="6"/>
      <c r="D24" s="6"/>
      <c r="E24" s="6"/>
      <c r="F24" s="6"/>
    </row>
    <row r="26" spans="1:8" ht="15.75" x14ac:dyDescent="0.25">
      <c r="A26" s="13" t="s">
        <v>86</v>
      </c>
      <c r="B26" s="13"/>
      <c r="C26" s="13"/>
      <c r="D26" s="13"/>
      <c r="E26" s="13"/>
      <c r="F26" s="13"/>
    </row>
    <row r="27" spans="1:8" ht="15" customHeight="1" x14ac:dyDescent="0.25">
      <c r="B27" s="19" t="s">
        <v>87</v>
      </c>
      <c r="C27" s="22" t="s">
        <v>14</v>
      </c>
      <c r="D27" s="4" t="s">
        <v>88</v>
      </c>
      <c r="E27" s="4"/>
      <c r="F27" s="10"/>
    </row>
    <row r="28" spans="1:8" ht="15" customHeight="1" x14ac:dyDescent="0.25">
      <c r="B28" s="19" t="s">
        <v>89</v>
      </c>
      <c r="C28" s="21" t="s">
        <v>13</v>
      </c>
      <c r="D28" s="4" t="s">
        <v>90</v>
      </c>
      <c r="E28" s="4"/>
      <c r="F28" s="10"/>
    </row>
    <row r="29" spans="1:8" ht="22.35" customHeight="1" x14ac:dyDescent="0.25">
      <c r="B29" s="19" t="s">
        <v>91</v>
      </c>
      <c r="C29" s="20" t="s">
        <v>12</v>
      </c>
      <c r="D29" s="4" t="s">
        <v>92</v>
      </c>
      <c r="E29" s="4"/>
      <c r="F29" s="10"/>
    </row>
    <row r="30" spans="1:8" ht="32.85" customHeight="1" x14ac:dyDescent="0.25">
      <c r="B30" s="19" t="s">
        <v>93</v>
      </c>
      <c r="C30" s="18" t="s">
        <v>11</v>
      </c>
      <c r="D30" s="4" t="s">
        <v>94</v>
      </c>
      <c r="E30" s="4"/>
      <c r="F30" s="10"/>
    </row>
    <row r="32" spans="1:8" ht="15.75" x14ac:dyDescent="0.25">
      <c r="A32" s="15" t="s">
        <v>95</v>
      </c>
    </row>
    <row r="33" spans="2:6" ht="15" customHeight="1" x14ac:dyDescent="0.25">
      <c r="B33" s="16" t="s">
        <v>96</v>
      </c>
      <c r="C33" s="16" t="s">
        <v>97</v>
      </c>
      <c r="D33" s="3" t="s">
        <v>98</v>
      </c>
      <c r="E33" s="3"/>
      <c r="F33" s="5"/>
    </row>
    <row r="34" spans="2:6" ht="22.35" customHeight="1" x14ac:dyDescent="0.25">
      <c r="B34" s="31" t="s">
        <v>99</v>
      </c>
      <c r="C34" s="25" t="s">
        <v>100</v>
      </c>
      <c r="D34" s="4" t="s">
        <v>101</v>
      </c>
      <c r="E34" s="4"/>
      <c r="F34" s="10"/>
    </row>
    <row r="35" spans="2:6" ht="22.35" customHeight="1" x14ac:dyDescent="0.25">
      <c r="B35" s="31" t="s">
        <v>102</v>
      </c>
      <c r="C35" s="25" t="s">
        <v>103</v>
      </c>
      <c r="D35" s="4" t="s">
        <v>104</v>
      </c>
      <c r="E35" s="4"/>
      <c r="F35" s="10"/>
    </row>
    <row r="36" spans="2:6" ht="22.35" customHeight="1" x14ac:dyDescent="0.25">
      <c r="B36" s="31" t="s">
        <v>105</v>
      </c>
      <c r="C36" s="25" t="s">
        <v>106</v>
      </c>
      <c r="D36" s="4" t="s">
        <v>107</v>
      </c>
      <c r="E36" s="4"/>
      <c r="F36" s="10"/>
    </row>
    <row r="37" spans="2:6" ht="22.35" customHeight="1" x14ac:dyDescent="0.25">
      <c r="B37" s="31" t="s">
        <v>108</v>
      </c>
      <c r="C37" s="25" t="s">
        <v>109</v>
      </c>
      <c r="D37" s="4" t="s">
        <v>110</v>
      </c>
      <c r="E37" s="4"/>
      <c r="F37" s="10"/>
    </row>
    <row r="38" spans="2:6" ht="22.35" customHeight="1" x14ac:dyDescent="0.25">
      <c r="B38" s="31" t="s">
        <v>111</v>
      </c>
      <c r="C38" s="25" t="s">
        <v>112</v>
      </c>
      <c r="D38" s="4" t="s">
        <v>113</v>
      </c>
      <c r="E38" s="4"/>
      <c r="F38" s="10"/>
    </row>
  </sheetData>
  <mergeCells count="24">
    <mergeCell ref="D35:F35"/>
    <mergeCell ref="D36:F36"/>
    <mergeCell ref="D37:F37"/>
    <mergeCell ref="D38:F38"/>
    <mergeCell ref="D28:F28"/>
    <mergeCell ref="D29:F29"/>
    <mergeCell ref="D30:F30"/>
    <mergeCell ref="D33:F33"/>
    <mergeCell ref="D34:F34"/>
    <mergeCell ref="B21:C21"/>
    <mergeCell ref="B23:F23"/>
    <mergeCell ref="B24:F24"/>
    <mergeCell ref="A26:F26"/>
    <mergeCell ref="D27:F27"/>
    <mergeCell ref="B16:C16"/>
    <mergeCell ref="B17:C17"/>
    <mergeCell ref="B18:C18"/>
    <mergeCell ref="B19:C19"/>
    <mergeCell ref="B20:C20"/>
    <mergeCell ref="A1:C1"/>
    <mergeCell ref="A2:F2"/>
    <mergeCell ref="B4:F4"/>
    <mergeCell ref="B6:C6"/>
    <mergeCell ref="E6:F6"/>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 Information</vt:lpstr>
      <vt:lpstr>Risk Assessment</vt:lpstr>
      <vt:lpstr>Dashboard</vt:lpstr>
      <vt:lpstr>Methodology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Darren Watts</cp:lastModifiedBy>
  <cp:revision>0</cp:revision>
  <dcterms:created xsi:type="dcterms:W3CDTF">2026-03-31T09:35:16Z</dcterms:created>
  <dcterms:modified xsi:type="dcterms:W3CDTF">2026-03-31T13:52:59Z</dcterms:modified>
  <dc:language>en-US</dc:language>
</cp:coreProperties>
</file>