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3 - Risk Assessments/RA-003 Series (HS - ISO 45001)/"/>
    </mc:Choice>
  </mc:AlternateContent>
  <xr:revisionPtr revIDLastSave="9" documentId="11_8EB1E748C7290747BAC540F5771B67B280F0A282" xr6:coauthVersionLast="47" xr6:coauthVersionMax="47" xr10:uidLastSave="{F8C17461-8C48-447D-835F-2B145F7916F2}"/>
  <bookViews>
    <workbookView xWindow="-120" yWindow="-120" windowWidth="77040" windowHeight="21120" tabRatio="500" xr2:uid="{00000000-000D-0000-FFFF-FFFF00000000}"/>
  </bookViews>
  <sheets>
    <sheet name="RA Information" sheetId="2" r:id="rId1"/>
    <sheet name="Risk Assessment" sheetId="4" r:id="rId2"/>
    <sheet name="Dashboard" sheetId="1" r:id="rId3"/>
    <sheet name="Methodology"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2" i="4" l="1"/>
  <c r="M22" i="4" s="1"/>
  <c r="G22" i="4"/>
  <c r="H22" i="4" s="1"/>
  <c r="L21" i="4"/>
  <c r="M21" i="4" s="1"/>
  <c r="G21" i="4"/>
  <c r="H21" i="4" s="1"/>
  <c r="M20" i="4"/>
  <c r="L20" i="4"/>
  <c r="G20" i="4"/>
  <c r="H20" i="4" s="1"/>
  <c r="L19" i="4"/>
  <c r="M19" i="4" s="1"/>
  <c r="G19" i="4"/>
  <c r="H19" i="4" s="1"/>
  <c r="M18" i="4"/>
  <c r="L18" i="4"/>
  <c r="G18" i="4"/>
  <c r="H18" i="4" s="1"/>
  <c r="L17" i="4"/>
  <c r="M17" i="4" s="1"/>
  <c r="G17" i="4"/>
  <c r="H17" i="4" s="1"/>
  <c r="M16" i="4"/>
  <c r="L16" i="4"/>
  <c r="G16" i="4"/>
  <c r="H16" i="4" s="1"/>
  <c r="L15" i="4"/>
  <c r="M15" i="4" s="1"/>
  <c r="G15" i="4"/>
  <c r="H15" i="4" s="1"/>
  <c r="M14" i="4"/>
  <c r="L14" i="4"/>
  <c r="G14" i="4"/>
  <c r="H14" i="4" s="1"/>
  <c r="L13" i="4"/>
  <c r="M13" i="4" s="1"/>
  <c r="G13" i="4"/>
  <c r="H13" i="4" s="1"/>
  <c r="M12" i="4"/>
  <c r="L12" i="4"/>
  <c r="G12" i="4"/>
  <c r="H12" i="4" s="1"/>
  <c r="L11" i="4"/>
  <c r="M11" i="4" s="1"/>
  <c r="G11" i="4"/>
  <c r="H11" i="4" s="1"/>
  <c r="M10" i="4"/>
  <c r="L10" i="4"/>
  <c r="G10" i="4"/>
  <c r="H10" i="4" s="1"/>
  <c r="L9" i="4"/>
  <c r="M9" i="4" s="1"/>
  <c r="G9" i="4"/>
  <c r="H9" i="4" s="1"/>
  <c r="M8" i="4"/>
  <c r="L8" i="4"/>
  <c r="G8" i="4"/>
  <c r="H8" i="4" s="1"/>
  <c r="L7" i="4"/>
  <c r="M7" i="4" s="1"/>
  <c r="G7" i="4"/>
  <c r="H7" i="4" s="1"/>
  <c r="M6" i="4"/>
  <c r="L6" i="4"/>
  <c r="G6" i="4"/>
  <c r="H6" i="4" s="1"/>
  <c r="L5" i="4"/>
  <c r="M5" i="4" s="1"/>
  <c r="G5" i="4"/>
  <c r="D24" i="1" s="1"/>
  <c r="D29" i="1"/>
  <c r="C6" i="1"/>
  <c r="D28" i="1" l="1"/>
  <c r="D19" i="1"/>
  <c r="E19" i="1" s="1"/>
  <c r="D27" i="1"/>
  <c r="D18" i="1"/>
  <c r="E18" i="1" s="1"/>
  <c r="D17" i="1"/>
  <c r="E17" i="1" s="1"/>
  <c r="D20" i="1"/>
  <c r="E20" i="1" s="1"/>
  <c r="D26" i="1"/>
  <c r="D25" i="1"/>
  <c r="H5" i="4"/>
  <c r="E6" i="1" l="1"/>
  <c r="G6" i="1"/>
  <c r="D13" i="1"/>
  <c r="E13" i="1" s="1"/>
  <c r="D12" i="1"/>
  <c r="E12" i="1" s="1"/>
  <c r="D6" i="1"/>
  <c r="D11" i="1"/>
  <c r="E11" i="1" s="1"/>
  <c r="D10" i="1"/>
  <c r="E10" i="1" s="1"/>
  <c r="F6" i="1"/>
</calcChain>
</file>

<file path=xl/sharedStrings.xml><?xml version="1.0" encoding="utf-8"?>
<sst xmlns="http://schemas.openxmlformats.org/spreadsheetml/2006/main" count="263" uniqueCount="207">
  <si>
    <t>RISK ASSESSMENT DASHBOARD</t>
  </si>
  <si>
    <t>KEY METRICS</t>
  </si>
  <si>
    <t>Total Hazards Assessed</t>
  </si>
  <si>
    <t>Critical (Inherent)</t>
  </si>
  <si>
    <t>High (Inherent)</t>
  </si>
  <si>
    <t>Medium (Inherent)</t>
  </si>
  <si>
    <t>Low (Inherent)</t>
  </si>
  <si>
    <t>INHERENT RISK DISTRIBUTION (Before Controls)</t>
  </si>
  <si>
    <t>Risk Level</t>
  </si>
  <si>
    <t>Count</t>
  </si>
  <si>
    <t>% of Total</t>
  </si>
  <si>
    <t>Critical</t>
  </si>
  <si>
    <t>High</t>
  </si>
  <si>
    <t>Medium</t>
  </si>
  <si>
    <t>Low</t>
  </si>
  <si>
    <t>RESIDUAL RISK DISTRIBUTION (After Controls)</t>
  </si>
  <si>
    <t>RISK REDUCTION SUMMARY</t>
  </si>
  <si>
    <t>Metric</t>
  </si>
  <si>
    <t>Value</t>
  </si>
  <si>
    <t>Average Inherent Risk Score</t>
  </si>
  <si>
    <t>Average Residual Risk Score</t>
  </si>
  <si>
    <t>Average Risk Reduction (%)</t>
  </si>
  <si>
    <t>Hazards at Critical (Residual)</t>
  </si>
  <si>
    <t>Hazards at High (Residual)</t>
  </si>
  <si>
    <t>Open Items</t>
  </si>
  <si>
    <t>DOCUMENT INFORMATION</t>
  </si>
  <si>
    <t>Document Reference:</t>
  </si>
  <si>
    <t>SM/HSE/RA/006</t>
  </si>
  <si>
    <t>Version:</t>
  </si>
  <si>
    <t>1.0</t>
  </si>
  <si>
    <t>Effective Date:</t>
  </si>
  <si>
    <t>15 March 2026</t>
  </si>
  <si>
    <t>Review Date:</t>
  </si>
  <si>
    <t>15 September 2026</t>
  </si>
  <si>
    <t>Assessed by:</t>
  </si>
  <si>
    <t>Group Compliance Director</t>
  </si>
  <si>
    <t>Status:</t>
  </si>
  <si>
    <t>Active</t>
  </si>
  <si>
    <t>SAFETY RISK ASSESSMENT – VESSEL ROUTINE OPERATIONS</t>
  </si>
  <si>
    <t>RISK MANAGEMENT INFORMATION</t>
  </si>
  <si>
    <t>Risk Assessment ID:</t>
  </si>
  <si>
    <t>RA-006</t>
  </si>
  <si>
    <t>Location:</t>
  </si>
  <si>
    <t>All operational vessels – all regions (IOR, WAF, PG)</t>
  </si>
  <si>
    <t>Activity Description:</t>
  </si>
  <si>
    <t>Day-to-day living and working aboard client vessels and VBAs including accommodation, galley/cooking, routine maintenance, housekeeping, recreation, and general movement around the vessel. Covers all non-security, non-transfer routine activities undertaken by Seagull Maritime personnel while deployed.</t>
  </si>
  <si>
    <t>Contributors:</t>
  </si>
  <si>
    <t>Senior Operations Manager, Vessel Managers, Team Leaders</t>
  </si>
  <si>
    <t>Responsible Persons:</t>
  </si>
  <si>
    <t>Senior Operations Manager, Vessel Managers, Team Leaders, Team Members, Coxswains</t>
  </si>
  <si>
    <t>Management have day-to-day responsibility for health and safety and must be aware of the hazards and control measures in this assessment. They must ensure all staff are aware of the findings and that adequate training and supervision is in place.</t>
  </si>
  <si>
    <t>Team Leaders and Team Members are to ensure they have read the risk assessment, understood and acknowledged the controls, and follow any instructions given.</t>
  </si>
  <si>
    <t>Client Vessel Masters are respectfully requested to review this risk assessment and assist in compliance with any relevant controls that apply to their vessel or crew.</t>
  </si>
  <si>
    <t>COMMUNICATION &amp; CONSULTATION / RECORDING &amp; REPORTING / MONITORING &amp; REVIEW</t>
  </si>
  <si>
    <t>This risk assessment must be shared with all personnel engaged with the activity. All personnel must confirm they have read and understood the assessment before deployment. A record of this must be maintained.</t>
  </si>
  <si>
    <t>Monitoring and supervision: Seagull Maritime must monitor the activities of all personnel through regular checks, toolbox talks, and debrief reports. Any failure of controls must be reported immediately.</t>
  </si>
  <si>
    <t>This assessment must be formally reviewed if there is any significant change in operational circumstances, following any incident or near miss, or at the scheduled review date – whichever comes first.</t>
  </si>
  <si>
    <t>ACTIVITY DESCRIPTION</t>
  </si>
  <si>
    <t>RISK ASSESSMENT METHODOLOGY</t>
  </si>
  <si>
    <t>Likelihood x Severity = Risk Rating</t>
  </si>
  <si>
    <t>Likelihood</t>
  </si>
  <si>
    <t>Severity</t>
  </si>
  <si>
    <t>Rare</t>
  </si>
  <si>
    <t>Minor Injury</t>
  </si>
  <si>
    <t>Unlikely</t>
  </si>
  <si>
    <t>First Aid Required</t>
  </si>
  <si>
    <t>Possible</t>
  </si>
  <si>
    <t>Medical Treatment</t>
  </si>
  <si>
    <t>Likely</t>
  </si>
  <si>
    <t>Serious Injury</t>
  </si>
  <si>
    <t>Certain</t>
  </si>
  <si>
    <t>Fatality</t>
  </si>
  <si>
    <t>5x5 RISK MATRIX</t>
  </si>
  <si>
    <t>Likelihood \ Severity</t>
  </si>
  <si>
    <t>1 - Minor</t>
  </si>
  <si>
    <t>2 - First Aid</t>
  </si>
  <si>
    <t>3 - Medical</t>
  </si>
  <si>
    <t>4 - Serious</t>
  </si>
  <si>
    <t>5 - Fatality</t>
  </si>
  <si>
    <t>5 - Certain</t>
  </si>
  <si>
    <t>4 - Likely</t>
  </si>
  <si>
    <t>3 - Possible</t>
  </si>
  <si>
    <t>2 - Unlikely</t>
  </si>
  <si>
    <t>1 - Rare</t>
  </si>
  <si>
    <t>Risk Rating = Risk before controls are applied</t>
  </si>
  <si>
    <t>Residual Risk Rating = Risk after controls have been considered and implemented</t>
  </si>
  <si>
    <t>Risk Level Key:</t>
  </si>
  <si>
    <t>1-4</t>
  </si>
  <si>
    <t>Acceptable risk. Monitor and review.</t>
  </si>
  <si>
    <t>5-9</t>
  </si>
  <si>
    <t>Tolerable with controls. Monitor closely.</t>
  </si>
  <si>
    <t>10-15</t>
  </si>
  <si>
    <t>Significant risk. Additional controls required before proceeding.</t>
  </si>
  <si>
    <t>16-25</t>
  </si>
  <si>
    <t>Unacceptable. Do not proceed without senior management approval and additional controls.</t>
  </si>
  <si>
    <t>HIERARCHY OF CONTROLS</t>
  </si>
  <si>
    <t>Priority</t>
  </si>
  <si>
    <t>Control Type</t>
  </si>
  <si>
    <t>Description</t>
  </si>
  <si>
    <t>1</t>
  </si>
  <si>
    <t>Elimination</t>
  </si>
  <si>
    <t>Remove the hazard entirely from the workplace.</t>
  </si>
  <si>
    <t>2</t>
  </si>
  <si>
    <t>Substitution</t>
  </si>
  <si>
    <t>Replace the hazard with something less dangerous.</t>
  </si>
  <si>
    <t>3</t>
  </si>
  <si>
    <t>Engineering Controls</t>
  </si>
  <si>
    <t>Isolate people from the hazard through physical means.</t>
  </si>
  <si>
    <t>4</t>
  </si>
  <si>
    <t>Administrative Controls</t>
  </si>
  <si>
    <t>Change the way people work through procedures, training, signage.</t>
  </si>
  <si>
    <t>5</t>
  </si>
  <si>
    <t>PPE</t>
  </si>
  <si>
    <t>Protect individuals with personal protective equipment.</t>
  </si>
  <si>
    <t>RISK ASSESSMENT</t>
  </si>
  <si>
    <t>Ref</t>
  </si>
  <si>
    <t>Hazard</t>
  </si>
  <si>
    <t>Risk Description</t>
  </si>
  <si>
    <t>Persons at Risk</t>
  </si>
  <si>
    <t>Risk Rating</t>
  </si>
  <si>
    <t>Implemented Controls</t>
  </si>
  <si>
    <t>Residual Likelihood</t>
  </si>
  <si>
    <t>Residual Severity</t>
  </si>
  <si>
    <t>Residual Risk</t>
  </si>
  <si>
    <t>Status</t>
  </si>
  <si>
    <t>VR-001</t>
  </si>
  <si>
    <t>Slips, trips, and falls on vessel</t>
  </si>
  <si>
    <t>Wet, oily, or obstructed deck and internal surfaces may cause slips, trips, or falls resulting in fractures, head injuries, or falls overboard.</t>
  </si>
  <si>
    <t>Security Team / Crew</t>
  </si>
  <si>
    <t>Non-slip safety footwear mandatory.
Deck areas and walkways kept clear of loose equipment.
Spills reported and cleaned immediately.
Signage displayed in known hazard areas.
Personnel briefed on vessel layout and hazards during induction.
Adequate lighting maintained in all movement areas.</t>
  </si>
  <si>
    <t>Open</t>
  </si>
  <si>
    <t>VR-002</t>
  </si>
  <si>
    <t>Man overboard (MOB)</t>
  </si>
  <si>
    <t>Personnel on deck may fall overboard during routine movement, maintenance, or recreation, risking drowning or hypothermia.</t>
  </si>
  <si>
    <t>Guardrails and barriers maintained and inspected.
Lifebuoys positioned at key deck locations.
MOB alarm and recovery procedures briefed to all personnel.
MOB drills conducted regularly with vessel crew.
Lifejackets worn during transits and heightened sea states.
Deck patrols conducted in pairs where practicable.</t>
  </si>
  <si>
    <t>VR-003</t>
  </si>
  <si>
    <t>Manual handling – equipment and stores</t>
  </si>
  <si>
    <t>Lifting, carrying, or moving heavy equipment, stores, or weapons cases may cause musculoskeletal injuries including back strain and shoulder injury.</t>
  </si>
  <si>
    <t>Security Team</t>
  </si>
  <si>
    <t>Personnel trained in safe manual handling techniques.
Two-person lift required for heavy items.
High shelves reserved for lighter items.
Walkways and storage areas kept clear.
Equipment trolley or mechanical aid used where available.</t>
  </si>
  <si>
    <t>VR-004</t>
  </si>
  <si>
    <t>Fire onboard vessel</t>
  </si>
  <si>
    <t>Fire from electrical fault, cooking, smoking, or equipment failure may cause burns, smoke inhalation, or entrapment below decks.</t>
  </si>
  <si>
    <t>Security Team / Vessel Crew</t>
  </si>
  <si>
    <t>Smoking restricted to designated areas only.
Fire detection and suppression systems maintained by vessel.
Security team included in regular fire drills.
Fire extinguisher locations known by all security personnel.
Electrical equipment checked before use.
Emergency escape routes briefed during induction.</t>
  </si>
  <si>
    <t>VR-005</t>
  </si>
  <si>
    <t>Electrical hazards</t>
  </si>
  <si>
    <t>Faulty wiring, damaged cables, or defective portable appliances may cause electric shock or burns.</t>
  </si>
  <si>
    <t>Personnel report defective plugs, sockets, and cables immediately.
Defective equipment taken out of service and labelled.
Portable appliance testing conducted where applicable.
No unauthorised modifications to electrical systems.
Charging equipment used only in designated areas.</t>
  </si>
  <si>
    <t>VR-006</t>
  </si>
  <si>
    <t>Galley hazards – burns and scalds</t>
  </si>
  <si>
    <t>Contact with hot surfaces, boiling water, steam, or hot oil during cooking or food preparation may cause burns or scalds.</t>
  </si>
  <si>
    <t>Personnel trained in galley safety before use.
Hot surfaces and equipment clearly marked.
Oven gloves and appropriate PPE available.
Extractor fans and ventilation maintained.
First aid kit accessible in galley area.
Fryer and hot oil handling procedures briefed.</t>
  </si>
  <si>
    <t>VR-007</t>
  </si>
  <si>
    <t>Galley hazards – knife injuries</t>
  </si>
  <si>
    <t>Improper use, storage, or handling of knives during food preparation may cause cuts, puncture wounds, or severed tendons.</t>
  </si>
  <si>
    <t>Knives stored securely when not in use.
Personnel trained in safe knife handling.
Cut-resistant gloves available.
First aid kit with wound dressings accessible.
Knives maintained in good condition – dull knives replaced.</t>
  </si>
  <si>
    <t>VR-008</t>
  </si>
  <si>
    <t>Food handling and hygiene</t>
  </si>
  <si>
    <t>Improper food storage, preparation, or hygiene may cause food poisoning, gastroenteritis, or cross-contamination affecting personnel health and operational capability.</t>
  </si>
  <si>
    <t>Food stored at correct temperatures.
Food preparation surfaces cleaned and sanitised.
Hand washing enforced before food handling.
Food grade gloves and utensils used.
Expiry dates checked – out-of-date food disposed of.
Galley cleaning schedule maintained.</t>
  </si>
  <si>
    <t>VR-009</t>
  </si>
  <si>
    <t>Hazardous substances – cleaning chemicals</t>
  </si>
  <si>
    <t>Contact with or inhalation of cleaning chemicals used for vessel housekeeping may cause skin irritation, burns, or respiratory issues.</t>
  </si>
  <si>
    <t>MSDS available for all cleaning products.
Gloves and eye protection worn when using chemicals.
Chemicals stored in original labelled containers.
Adequate ventilation maintained during cleaning.
Personnel briefed on safe handling and first aid.</t>
  </si>
  <si>
    <t>VR-010</t>
  </si>
  <si>
    <t>Falling objects</t>
  </si>
  <si>
    <t>Unsecured equipment, stores, or fittings may fall during vessel movement, causing crush or impact injuries.</t>
  </si>
  <si>
    <t>All loose items stowed and secured before sailing.
Weapon and equipment restraints checked before heavy weather.
Heavy items stored at low level.
Racks and shelving inspected for secure mounting.
Personnel briefed on stowage standards during induction.</t>
  </si>
  <si>
    <t>VR-011</t>
  </si>
  <si>
    <t>Weather exposure</t>
  </si>
  <si>
    <t>Prolonged exposure to extreme heat, cold, rain, or sun during outdoor duties may cause heat stroke, hypothermia, sunburn, or dehydration.</t>
  </si>
  <si>
    <t>Appropriate PPE provided for climate conditions.
Sufficient drinking water available.
Shade and shelter accessible during rest periods.
Personnel trained to recognise and report weather-related symptoms.
Work/rest cycles adjusted during extreme conditions.</t>
  </si>
  <si>
    <t>VR-012</t>
  </si>
  <si>
    <t>Asbestos exposure</t>
  </si>
  <si>
    <t>Older vessels may contain asbestos in insulation, pipework, or deck materials. Disturbance may cause serious respiratory disease.</t>
  </si>
  <si>
    <t>Pre-deployment vessel survey includes asbestos assessment where information available.
Personnel briefed on asbestos risks and identification.
Suspected asbestos reported immediately and area sealed off.
No work that may disturb suspected asbestos-containing materials.
Client vessel master consulted on known asbestos locations.</t>
  </si>
  <si>
    <t>VR-013</t>
  </si>
  <si>
    <t>Display screen equipment (DSE)</t>
  </si>
  <si>
    <t>Prolonged use of laptops, tablets, or computers for reporting and administration may cause eye strain, headaches, or musculoskeletal disorders.</t>
  </si>
  <si>
    <t>Personnel do not use DSE for extended continuous periods.
Workstation set up to ensure good posture where practicable.
Regular breaks taken during prolonged computer use.
SSO/Team Leader informed if experiencing DSE-related discomfort.</t>
  </si>
  <si>
    <t>VR-014</t>
  </si>
  <si>
    <t>Noise exposure</t>
  </si>
  <si>
    <t>Prolonged exposure to engine noise, generators, or machinery may cause hearing damage or tinnitus.</t>
  </si>
  <si>
    <t>Hearing protection issued for high-noise areas.
Personnel briefed on noise hazards.
Exposure limited where possible.
Accommodation assessed for ambient noise levels.
Hearing protection maintained and available.</t>
  </si>
  <si>
    <t>VR-015</t>
  </si>
  <si>
    <t>Verbal abuse or assault</t>
  </si>
  <si>
    <t>Confrontation with client personnel or crew may result in verbal abuse, intimidation, or physical assault.</t>
  </si>
  <si>
    <t>Personnel trained in conflict de-escalation and dealing with confrontational situations.
Incidents reported immediately to Team Leader and operations.
Company zero-tolerance policy on assault communicated to all parties.
Client crew briefed on expected behaviour standards during induction.
Support provided to affected personnel.</t>
  </si>
  <si>
    <t>VR-016</t>
  </si>
  <si>
    <t>Waste handling</t>
  </si>
  <si>
    <t>Incorrect handling or disposal of waste including sharps, chemicals, and general refuse may cause infection, cuts, or environmental contamination.</t>
  </si>
  <si>
    <t>Waste separation and segregation procedures followed.
Personnel briefed on safe waste handling.
Gloves and appropriate PPE provided.
Sharps disposed of in designated containers.
Waste disposal compliant with MARPOL and vessel procedures.</t>
  </si>
  <si>
    <t>VR-017</t>
  </si>
  <si>
    <t>Pressure systems</t>
  </si>
  <si>
    <t>Contact with or failure of steam pipes, pressure cookers, or pressurised systems may cause burns, scalds, or blast injuries.</t>
  </si>
  <si>
    <t>Pressure systems examined and maintained by qualified engineer.
Personnel kept clear of steam pipes and pressurised equipment.
Warning signs displayed on pressure systems.
Emergency shut-off locations known to personnel.
Any suspected leaks reported immediately.</t>
  </si>
  <si>
    <t>VR-018</t>
  </si>
  <si>
    <t>Lack of client crew awareness</t>
  </si>
  <si>
    <t>Client vessel crew unfamiliar with security team operations or accommodation arrangements may create friction, safety conflicts, or interfere with procedures.</t>
  </si>
  <si>
    <t>Security team induction delivered to client crew at embarkation.
House rules and shared space expectations agreed between Team Leader and vessel Master.
Ongoing communication maintained.
Incidents of friction reported and addressed.
Welfare issues escalated to operations.</t>
  </si>
  <si>
    <t>TASK APPROVAL – THIS RISK ASSESSMENT MUST BE REVIEWED AND SIGNED OFF BEFORE OPERATIONS COMMENCE</t>
  </si>
  <si>
    <t>Reviewed by:</t>
  </si>
  <si>
    <t>Signature:</t>
  </si>
  <si>
    <t>Date:</t>
  </si>
  <si>
    <t>Approved by (Group Compliance Director):</t>
  </si>
  <si>
    <t>Briefed to Team –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</si>
</sst>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b/>
      <sz val="9"/>
      <name val="Aptos"/>
      <charset val="1"/>
    </font>
    <font>
      <b/>
      <sz val="9"/>
      <color rgb="FF9C0006"/>
      <name val="Aptos"/>
      <charset val="1"/>
    </font>
    <font>
      <b/>
      <sz val="9"/>
      <color rgb="FF9C5700"/>
      <name val="Aptos"/>
      <charset val="1"/>
    </font>
    <font>
      <b/>
      <sz val="9"/>
      <color rgb="FF006100"/>
      <name val="Aptos"/>
      <charset val="1"/>
    </font>
    <font>
      <b/>
      <sz val="11"/>
      <color rgb="FF003C72"/>
      <name val="Aptos"/>
      <charset val="1"/>
    </font>
    <font>
      <sz val="9"/>
      <name val="Aptos"/>
      <charset val="1"/>
    </font>
    <font>
      <b/>
      <sz val="8"/>
      <color rgb="FFFFFFFF"/>
      <name val="Aptos"/>
      <charset val="1"/>
    </font>
  </fonts>
  <fills count="8">
    <fill>
      <patternFill patternType="none"/>
    </fill>
    <fill>
      <patternFill patternType="gray125"/>
    </fill>
    <fill>
      <patternFill patternType="solid">
        <fgColor rgb="FF003C72"/>
        <bgColor rgb="FF333399"/>
      </patternFill>
    </fill>
    <fill>
      <patternFill patternType="solid">
        <fgColor rgb="FFC00000"/>
        <bgColor rgb="FF9C0006"/>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E6EDF5"/>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indexed="64"/>
      </right>
      <top/>
      <bottom/>
      <diagonal/>
    </border>
  </borders>
  <cellStyleXfs count="1">
    <xf numFmtId="0" fontId="0" fillId="0" borderId="0"/>
  </cellStyleXfs>
  <cellXfs count="37">
    <xf numFmtId="0" fontId="0" fillId="0" borderId="0" xfId="0"/>
    <xf numFmtId="0" fontId="4" fillId="0" borderId="3" xfId="0" applyFont="1" applyBorder="1"/>
    <xf numFmtId="0" fontId="3" fillId="2" borderId="0" xfId="0" applyFont="1" applyFill="1" applyAlignment="1">
      <alignment horizontal="center" vertical="center" wrapText="1"/>
    </xf>
    <xf numFmtId="0" fontId="3" fillId="2" borderId="3" xfId="0" applyFont="1" applyFill="1" applyBorder="1" applyAlignment="1">
      <alignment horizontal="center" vertical="center" wrapText="1"/>
    </xf>
    <xf numFmtId="0" fontId="9" fillId="0" borderId="3" xfId="0" applyFont="1" applyBorder="1" applyAlignment="1">
      <alignment horizontal="left" vertical="center" wrapText="1"/>
    </xf>
    <xf numFmtId="0" fontId="3" fillId="2" borderId="1" xfId="0" applyFont="1" applyFill="1" applyBorder="1" applyAlignment="1">
      <alignment horizontal="center" vertical="center" wrapText="1"/>
    </xf>
    <xf numFmtId="0" fontId="4" fillId="0" borderId="0" xfId="0" applyFont="1"/>
    <xf numFmtId="0" fontId="9" fillId="0" borderId="0" xfId="0" applyFont="1" applyAlignment="1">
      <alignment horizontal="left" vertical="center" wrapText="1"/>
    </xf>
    <xf numFmtId="0" fontId="2" fillId="0" borderId="0" xfId="0" applyFont="1" applyAlignment="1">
      <alignment vertical="center"/>
    </xf>
    <xf numFmtId="0" fontId="3" fillId="2" borderId="2" xfId="0" applyFont="1" applyFill="1" applyBorder="1" applyAlignment="1">
      <alignment horizontal="left" vertical="center" wrapText="1"/>
    </xf>
    <xf numFmtId="0" fontId="9" fillId="0" borderId="1" xfId="0" applyFont="1" applyBorder="1" applyAlignment="1">
      <alignment horizontal="left" vertical="center" wrapText="1"/>
    </xf>
    <xf numFmtId="0" fontId="1" fillId="0" borderId="0" xfId="0" applyFont="1" applyAlignment="1">
      <alignment vertical="center"/>
    </xf>
    <xf numFmtId="0" fontId="0" fillId="0" borderId="0" xfId="0"/>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9" fillId="0" borderId="3" xfId="0" applyFont="1" applyBorder="1"/>
    <xf numFmtId="0" fontId="0" fillId="0" borderId="0" xfId="0" applyBorder="1"/>
    <xf numFmtId="0" fontId="0" fillId="0" borderId="4" xfId="0" applyBorder="1"/>
    <xf numFmtId="0" fontId="9" fillId="0" borderId="1" xfId="0" applyFont="1" applyBorder="1"/>
  </cellXfs>
  <cellStyles count="1">
    <cellStyle name="Normal" xfId="0" builtinId="0"/>
  </cellStyles>
  <dxfs count="24">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69696"/>
      <rgbColor rgb="FF003C72"/>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414360</xdr:colOff>
      <xdr:row>0</xdr:row>
      <xdr:rowOff>647280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1380960</xdr:colOff>
      <xdr:row>0</xdr:row>
      <xdr:rowOff>647280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1552320</xdr:colOff>
      <xdr:row>0</xdr:row>
      <xdr:rowOff>647280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706680</xdr:colOff>
      <xdr:row>0</xdr:row>
      <xdr:rowOff>647280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tabSelected="1" zoomScaleNormal="100" workbookViewId="0">
      <selection activeCell="B11" sqref="B11:D11"/>
    </sheetView>
  </sheetViews>
  <sheetFormatPr defaultColWidth="8.7109375" defaultRowHeight="15" x14ac:dyDescent="0.25"/>
  <cols>
    <col min="1" max="1" width="21.140625" customWidth="1"/>
    <col min="2" max="2" width="30.5703125" customWidth="1"/>
    <col min="3" max="3" width="14.140625" customWidth="1"/>
    <col min="4" max="4" width="68.28515625" customWidth="1"/>
  </cols>
  <sheetData>
    <row r="1" spans="1:6" ht="75.75" customHeight="1" x14ac:dyDescent="0.25">
      <c r="A1" s="12"/>
      <c r="B1" s="12"/>
      <c r="C1" s="12"/>
    </row>
    <row r="2" spans="1:6" ht="26.25" customHeight="1" x14ac:dyDescent="0.25">
      <c r="A2" s="11" t="s">
        <v>38</v>
      </c>
      <c r="B2" s="11"/>
      <c r="C2" s="11"/>
      <c r="D2" s="11"/>
      <c r="E2" s="11"/>
      <c r="F2" s="11"/>
    </row>
    <row r="4" spans="1:6" ht="15.75" customHeight="1" x14ac:dyDescent="0.25">
      <c r="A4" s="29" t="s">
        <v>39</v>
      </c>
    </row>
    <row r="6" spans="1:6" ht="15.75" customHeight="1" x14ac:dyDescent="0.25">
      <c r="A6" s="27" t="s">
        <v>40</v>
      </c>
      <c r="B6" s="28" t="s">
        <v>41</v>
      </c>
      <c r="C6" s="30" t="s">
        <v>42</v>
      </c>
      <c r="D6" s="28" t="s">
        <v>43</v>
      </c>
    </row>
    <row r="7" spans="1:6" ht="38.25" customHeight="1" x14ac:dyDescent="0.25">
      <c r="A7" s="27" t="s">
        <v>44</v>
      </c>
      <c r="B7" s="10" t="s">
        <v>45</v>
      </c>
      <c r="C7" s="10"/>
      <c r="D7" s="10"/>
    </row>
    <row r="8" spans="1:6" ht="15.75" customHeight="1" x14ac:dyDescent="0.25">
      <c r="A8" s="27" t="s">
        <v>34</v>
      </c>
      <c r="B8" s="10" t="s">
        <v>35</v>
      </c>
      <c r="C8" s="10"/>
      <c r="D8" s="10"/>
    </row>
    <row r="9" spans="1:6" ht="15.75" customHeight="1" x14ac:dyDescent="0.25">
      <c r="A9" s="27" t="s">
        <v>46</v>
      </c>
      <c r="B9" s="10" t="s">
        <v>47</v>
      </c>
      <c r="C9" s="10"/>
      <c r="D9" s="10"/>
    </row>
    <row r="10" spans="1:6" ht="15.75" customHeight="1" x14ac:dyDescent="0.25">
      <c r="A10" s="27" t="s">
        <v>30</v>
      </c>
      <c r="B10" s="10" t="s">
        <v>31</v>
      </c>
      <c r="C10" s="10"/>
      <c r="D10" s="10"/>
    </row>
    <row r="11" spans="1:6" ht="30" customHeight="1" x14ac:dyDescent="0.25">
      <c r="A11" s="9" t="s">
        <v>48</v>
      </c>
      <c r="B11" s="10" t="s">
        <v>49</v>
      </c>
      <c r="C11" s="10"/>
      <c r="D11" s="10"/>
    </row>
    <row r="12" spans="1:6" ht="30" customHeight="1" x14ac:dyDescent="0.25">
      <c r="A12" s="9"/>
      <c r="B12" s="10" t="s">
        <v>50</v>
      </c>
      <c r="C12" s="10"/>
      <c r="D12" s="10"/>
    </row>
    <row r="13" spans="1:6" ht="30" customHeight="1" x14ac:dyDescent="0.25">
      <c r="A13" s="9"/>
      <c r="B13" s="10" t="s">
        <v>51</v>
      </c>
      <c r="C13" s="10"/>
      <c r="D13" s="10"/>
    </row>
    <row r="14" spans="1:6" ht="30" customHeight="1" x14ac:dyDescent="0.25">
      <c r="A14" s="9"/>
      <c r="B14" s="10" t="s">
        <v>52</v>
      </c>
      <c r="C14" s="10"/>
      <c r="D14" s="10"/>
    </row>
    <row r="15" spans="1:6" ht="15.75" customHeight="1" x14ac:dyDescent="0.25">
      <c r="A15" s="27" t="s">
        <v>32</v>
      </c>
      <c r="B15" s="10" t="s">
        <v>33</v>
      </c>
      <c r="C15" s="10"/>
      <c r="D15" s="10"/>
    </row>
    <row r="17" spans="1:4" ht="15.75" x14ac:dyDescent="0.25">
      <c r="A17" s="8" t="s">
        <v>53</v>
      </c>
      <c r="B17" s="8"/>
      <c r="C17" s="8"/>
      <c r="D17" s="8"/>
    </row>
    <row r="18" spans="1:4" ht="31.5" customHeight="1" x14ac:dyDescent="0.25">
      <c r="A18" s="7" t="s">
        <v>54</v>
      </c>
      <c r="B18" s="7"/>
      <c r="C18" s="7"/>
      <c r="D18" s="7"/>
    </row>
    <row r="19" spans="1:4" ht="28.5" customHeight="1" x14ac:dyDescent="0.25">
      <c r="A19" s="7" t="s">
        <v>55</v>
      </c>
      <c r="B19" s="7"/>
      <c r="C19" s="7"/>
      <c r="D19" s="7"/>
    </row>
    <row r="20" spans="1:4" ht="27.75" customHeight="1" x14ac:dyDescent="0.25">
      <c r="A20" s="7" t="s">
        <v>56</v>
      </c>
      <c r="B20" s="7"/>
      <c r="C20" s="7"/>
      <c r="D20" s="7"/>
    </row>
    <row r="22" spans="1:4" ht="15.75" x14ac:dyDescent="0.25">
      <c r="A22" s="13" t="s">
        <v>57</v>
      </c>
      <c r="B22" s="13"/>
      <c r="C22" s="13"/>
      <c r="D22" s="13"/>
    </row>
    <row r="23" spans="1:4" ht="60" customHeight="1" x14ac:dyDescent="0.25">
      <c r="A23" s="7" t="s">
        <v>45</v>
      </c>
      <c r="B23" s="7"/>
      <c r="C23" s="7"/>
      <c r="D23" s="7"/>
    </row>
  </sheetData>
  <mergeCells count="18">
    <mergeCell ref="A22:D22"/>
    <mergeCell ref="A23:D23"/>
    <mergeCell ref="B15:D15"/>
    <mergeCell ref="A17:D17"/>
    <mergeCell ref="A18:D18"/>
    <mergeCell ref="A19:D19"/>
    <mergeCell ref="A20:D20"/>
    <mergeCell ref="B10:D10"/>
    <mergeCell ref="A11:A14"/>
    <mergeCell ref="B11:D11"/>
    <mergeCell ref="B12:D12"/>
    <mergeCell ref="B13:D13"/>
    <mergeCell ref="B14:D14"/>
    <mergeCell ref="A1:C1"/>
    <mergeCell ref="A2:F2"/>
    <mergeCell ref="B7:D7"/>
    <mergeCell ref="B8:D8"/>
    <mergeCell ref="B9:D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3"/>
  <sheetViews>
    <sheetView showGridLines="0" topLeftCell="A16" zoomScaleNormal="100" workbookViewId="0">
      <selection activeCell="D33" sqref="D26:H33"/>
    </sheetView>
  </sheetViews>
  <sheetFormatPr defaultColWidth="8.7109375" defaultRowHeight="15" x14ac:dyDescent="0.25"/>
  <cols>
    <col min="1" max="1" width="7.42578125" customWidth="1"/>
    <col min="2" max="2" width="31.140625" customWidth="1"/>
    <col min="3" max="3" width="55.85546875" customWidth="1"/>
    <col min="4" max="4" width="16.42578125" customWidth="1"/>
    <col min="5" max="5" width="10" customWidth="1"/>
    <col min="6" max="6" width="13" customWidth="1"/>
    <col min="7" max="7" width="13.28515625" customWidth="1"/>
    <col min="8" max="8" width="13" customWidth="1"/>
    <col min="9" max="9" width="51.140625" customWidth="1"/>
    <col min="10" max="10" width="13.42578125" customWidth="1"/>
    <col min="11" max="11" width="11.7109375" customWidth="1"/>
    <col min="12" max="13" width="13" customWidth="1"/>
    <col min="14" max="14" width="9.140625" customWidth="1"/>
  </cols>
  <sheetData>
    <row r="1" spans="1:14" ht="75.75" customHeight="1" x14ac:dyDescent="0.25"/>
    <row r="2" spans="1:14" ht="26.25" customHeight="1" x14ac:dyDescent="0.4">
      <c r="A2" s="14" t="s">
        <v>114</v>
      </c>
      <c r="B2" s="14"/>
      <c r="C2" s="14"/>
      <c r="D2" s="14"/>
      <c r="E2" s="14"/>
      <c r="F2" s="14"/>
      <c r="G2" s="14"/>
      <c r="H2" s="14"/>
      <c r="I2" s="14"/>
      <c r="J2" s="14"/>
      <c r="K2" s="14"/>
      <c r="L2" s="14"/>
      <c r="M2" s="14"/>
      <c r="N2" s="14"/>
    </row>
    <row r="4" spans="1:14" ht="24" customHeight="1" x14ac:dyDescent="0.25">
      <c r="A4" s="16" t="s">
        <v>115</v>
      </c>
      <c r="B4" s="16" t="s">
        <v>116</v>
      </c>
      <c r="C4" s="16" t="s">
        <v>117</v>
      </c>
      <c r="D4" s="16" t="s">
        <v>118</v>
      </c>
      <c r="E4" s="16" t="s">
        <v>60</v>
      </c>
      <c r="F4" s="16" t="s">
        <v>61</v>
      </c>
      <c r="G4" s="16" t="s">
        <v>119</v>
      </c>
      <c r="H4" s="16" t="s">
        <v>8</v>
      </c>
      <c r="I4" s="16" t="s">
        <v>120</v>
      </c>
      <c r="J4" s="16" t="s">
        <v>121</v>
      </c>
      <c r="K4" s="16" t="s">
        <v>122</v>
      </c>
      <c r="L4" s="16" t="s">
        <v>123</v>
      </c>
      <c r="M4" s="16" t="s">
        <v>8</v>
      </c>
      <c r="N4" s="16" t="s">
        <v>124</v>
      </c>
    </row>
    <row r="5" spans="1:14" ht="93.75" customHeight="1" x14ac:dyDescent="0.25">
      <c r="A5" s="19" t="s">
        <v>125</v>
      </c>
      <c r="B5" s="25" t="s">
        <v>126</v>
      </c>
      <c r="C5" s="28" t="s">
        <v>127</v>
      </c>
      <c r="D5" s="31" t="s">
        <v>128</v>
      </c>
      <c r="E5" s="19">
        <v>3</v>
      </c>
      <c r="F5" s="19">
        <v>4</v>
      </c>
      <c r="G5" s="19">
        <f t="shared" ref="G5:G22" si="0">E5*F5</f>
        <v>12</v>
      </c>
      <c r="H5" s="19" t="str">
        <f t="shared" ref="H5:H22" si="1">IF(G5&lt;=4,"Low",IF(G5&lt;=9,"Medium",IF(G5&lt;=15,"High","Critical")))</f>
        <v>High</v>
      </c>
      <c r="I5" s="28" t="s">
        <v>129</v>
      </c>
      <c r="J5" s="19">
        <v>1</v>
      </c>
      <c r="K5" s="19">
        <v>4</v>
      </c>
      <c r="L5" s="19">
        <f t="shared" ref="L5:L22" si="2">J5*K5</f>
        <v>4</v>
      </c>
      <c r="M5" s="19" t="str">
        <f t="shared" ref="M5:M22" si="3">IF(L5="","",IF(L5&lt;=4,"Low",IF(L5&lt;=9,"Medium",IF(L5&lt;=15,"High","Critical"))))</f>
        <v>Low</v>
      </c>
      <c r="N5" s="31" t="s">
        <v>130</v>
      </c>
    </row>
    <row r="6" spans="1:14" ht="93.75" customHeight="1" x14ac:dyDescent="0.25">
      <c r="A6" s="19" t="s">
        <v>131</v>
      </c>
      <c r="B6" s="25" t="s">
        <v>132</v>
      </c>
      <c r="C6" s="28" t="s">
        <v>133</v>
      </c>
      <c r="D6" s="31" t="s">
        <v>128</v>
      </c>
      <c r="E6" s="19">
        <v>2</v>
      </c>
      <c r="F6" s="19">
        <v>5</v>
      </c>
      <c r="G6" s="19">
        <f t="shared" si="0"/>
        <v>10</v>
      </c>
      <c r="H6" s="19" t="str">
        <f t="shared" si="1"/>
        <v>High</v>
      </c>
      <c r="I6" s="28" t="s">
        <v>134</v>
      </c>
      <c r="J6" s="19">
        <v>1</v>
      </c>
      <c r="K6" s="19">
        <v>5</v>
      </c>
      <c r="L6" s="19">
        <f t="shared" si="2"/>
        <v>5</v>
      </c>
      <c r="M6" s="19" t="str">
        <f t="shared" si="3"/>
        <v>Medium</v>
      </c>
      <c r="N6" s="31" t="s">
        <v>130</v>
      </c>
    </row>
    <row r="7" spans="1:14" ht="81" customHeight="1" x14ac:dyDescent="0.25">
      <c r="A7" s="19" t="s">
        <v>135</v>
      </c>
      <c r="B7" s="25" t="s">
        <v>136</v>
      </c>
      <c r="C7" s="28" t="s">
        <v>137</v>
      </c>
      <c r="D7" s="31" t="s">
        <v>138</v>
      </c>
      <c r="E7" s="19">
        <v>3</v>
      </c>
      <c r="F7" s="19">
        <v>3</v>
      </c>
      <c r="G7" s="19">
        <f t="shared" si="0"/>
        <v>9</v>
      </c>
      <c r="H7" s="19" t="str">
        <f t="shared" si="1"/>
        <v>Medium</v>
      </c>
      <c r="I7" s="28" t="s">
        <v>139</v>
      </c>
      <c r="J7" s="19">
        <v>1</v>
      </c>
      <c r="K7" s="19">
        <v>3</v>
      </c>
      <c r="L7" s="19">
        <f t="shared" si="2"/>
        <v>3</v>
      </c>
      <c r="M7" s="19" t="str">
        <f t="shared" si="3"/>
        <v>Low</v>
      </c>
      <c r="N7" s="31" t="s">
        <v>130</v>
      </c>
    </row>
    <row r="8" spans="1:14" ht="93.75" customHeight="1" x14ac:dyDescent="0.25">
      <c r="A8" s="19" t="s">
        <v>140</v>
      </c>
      <c r="B8" s="25" t="s">
        <v>141</v>
      </c>
      <c r="C8" s="28" t="s">
        <v>142</v>
      </c>
      <c r="D8" s="31" t="s">
        <v>143</v>
      </c>
      <c r="E8" s="19">
        <v>2</v>
      </c>
      <c r="F8" s="19">
        <v>5</v>
      </c>
      <c r="G8" s="19">
        <f t="shared" si="0"/>
        <v>10</v>
      </c>
      <c r="H8" s="19" t="str">
        <f t="shared" si="1"/>
        <v>High</v>
      </c>
      <c r="I8" s="28" t="s">
        <v>144</v>
      </c>
      <c r="J8" s="19">
        <v>1</v>
      </c>
      <c r="K8" s="19">
        <v>5</v>
      </c>
      <c r="L8" s="19">
        <f t="shared" si="2"/>
        <v>5</v>
      </c>
      <c r="M8" s="19" t="str">
        <f t="shared" si="3"/>
        <v>Medium</v>
      </c>
      <c r="N8" s="31" t="s">
        <v>130</v>
      </c>
    </row>
    <row r="9" spans="1:14" ht="81" customHeight="1" x14ac:dyDescent="0.25">
      <c r="A9" s="19" t="s">
        <v>145</v>
      </c>
      <c r="B9" s="25" t="s">
        <v>146</v>
      </c>
      <c r="C9" s="28" t="s">
        <v>147</v>
      </c>
      <c r="D9" s="31" t="s">
        <v>128</v>
      </c>
      <c r="E9" s="19">
        <v>1</v>
      </c>
      <c r="F9" s="19">
        <v>4</v>
      </c>
      <c r="G9" s="19">
        <f t="shared" si="0"/>
        <v>4</v>
      </c>
      <c r="H9" s="19" t="str">
        <f t="shared" si="1"/>
        <v>Low</v>
      </c>
      <c r="I9" s="28" t="s">
        <v>148</v>
      </c>
      <c r="J9" s="19">
        <v>1</v>
      </c>
      <c r="K9" s="19">
        <v>4</v>
      </c>
      <c r="L9" s="19">
        <f t="shared" si="2"/>
        <v>4</v>
      </c>
      <c r="M9" s="19" t="str">
        <f t="shared" si="3"/>
        <v>Low</v>
      </c>
      <c r="N9" s="31" t="s">
        <v>130</v>
      </c>
    </row>
    <row r="10" spans="1:14" ht="93.75" customHeight="1" x14ac:dyDescent="0.25">
      <c r="A10" s="19" t="s">
        <v>149</v>
      </c>
      <c r="B10" s="25" t="s">
        <v>150</v>
      </c>
      <c r="C10" s="28" t="s">
        <v>151</v>
      </c>
      <c r="D10" s="31" t="s">
        <v>138</v>
      </c>
      <c r="E10" s="19">
        <v>3</v>
      </c>
      <c r="F10" s="19">
        <v>3</v>
      </c>
      <c r="G10" s="19">
        <f t="shared" si="0"/>
        <v>9</v>
      </c>
      <c r="H10" s="19" t="str">
        <f t="shared" si="1"/>
        <v>Medium</v>
      </c>
      <c r="I10" s="28" t="s">
        <v>152</v>
      </c>
      <c r="J10" s="19">
        <v>1</v>
      </c>
      <c r="K10" s="19">
        <v>3</v>
      </c>
      <c r="L10" s="19">
        <f t="shared" si="2"/>
        <v>3</v>
      </c>
      <c r="M10" s="19" t="str">
        <f t="shared" si="3"/>
        <v>Low</v>
      </c>
      <c r="N10" s="31" t="s">
        <v>130</v>
      </c>
    </row>
    <row r="11" spans="1:14" ht="81" customHeight="1" x14ac:dyDescent="0.25">
      <c r="A11" s="19" t="s">
        <v>153</v>
      </c>
      <c r="B11" s="25" t="s">
        <v>154</v>
      </c>
      <c r="C11" s="28" t="s">
        <v>155</v>
      </c>
      <c r="D11" s="31" t="s">
        <v>138</v>
      </c>
      <c r="E11" s="19">
        <v>2</v>
      </c>
      <c r="F11" s="19">
        <v>3</v>
      </c>
      <c r="G11" s="19">
        <f t="shared" si="0"/>
        <v>6</v>
      </c>
      <c r="H11" s="19" t="str">
        <f t="shared" si="1"/>
        <v>Medium</v>
      </c>
      <c r="I11" s="28" t="s">
        <v>156</v>
      </c>
      <c r="J11" s="19">
        <v>1</v>
      </c>
      <c r="K11" s="19">
        <v>3</v>
      </c>
      <c r="L11" s="19">
        <f t="shared" si="2"/>
        <v>3</v>
      </c>
      <c r="M11" s="19" t="str">
        <f t="shared" si="3"/>
        <v>Low</v>
      </c>
      <c r="N11" s="31" t="s">
        <v>130</v>
      </c>
    </row>
    <row r="12" spans="1:14" ht="93.75" customHeight="1" x14ac:dyDescent="0.25">
      <c r="A12" s="19" t="s">
        <v>157</v>
      </c>
      <c r="B12" s="25" t="s">
        <v>158</v>
      </c>
      <c r="C12" s="28" t="s">
        <v>159</v>
      </c>
      <c r="D12" s="31" t="s">
        <v>138</v>
      </c>
      <c r="E12" s="19">
        <v>2</v>
      </c>
      <c r="F12" s="19">
        <v>3</v>
      </c>
      <c r="G12" s="19">
        <f t="shared" si="0"/>
        <v>6</v>
      </c>
      <c r="H12" s="19" t="str">
        <f t="shared" si="1"/>
        <v>Medium</v>
      </c>
      <c r="I12" s="28" t="s">
        <v>160</v>
      </c>
      <c r="J12" s="19">
        <v>1</v>
      </c>
      <c r="K12" s="19">
        <v>3</v>
      </c>
      <c r="L12" s="19">
        <f t="shared" si="2"/>
        <v>3</v>
      </c>
      <c r="M12" s="19" t="str">
        <f t="shared" si="3"/>
        <v>Low</v>
      </c>
      <c r="N12" s="31" t="s">
        <v>130</v>
      </c>
    </row>
    <row r="13" spans="1:14" ht="81" customHeight="1" x14ac:dyDescent="0.25">
      <c r="A13" s="19" t="s">
        <v>161</v>
      </c>
      <c r="B13" s="25" t="s">
        <v>162</v>
      </c>
      <c r="C13" s="28" t="s">
        <v>163</v>
      </c>
      <c r="D13" s="31" t="s">
        <v>138</v>
      </c>
      <c r="E13" s="19">
        <v>2</v>
      </c>
      <c r="F13" s="19">
        <v>3</v>
      </c>
      <c r="G13" s="19">
        <f t="shared" si="0"/>
        <v>6</v>
      </c>
      <c r="H13" s="19" t="str">
        <f t="shared" si="1"/>
        <v>Medium</v>
      </c>
      <c r="I13" s="28" t="s">
        <v>164</v>
      </c>
      <c r="J13" s="19">
        <v>1</v>
      </c>
      <c r="K13" s="19">
        <v>3</v>
      </c>
      <c r="L13" s="19">
        <f t="shared" si="2"/>
        <v>3</v>
      </c>
      <c r="M13" s="19" t="str">
        <f t="shared" si="3"/>
        <v>Low</v>
      </c>
      <c r="N13" s="31" t="s">
        <v>130</v>
      </c>
    </row>
    <row r="14" spans="1:14" ht="81" customHeight="1" x14ac:dyDescent="0.25">
      <c r="A14" s="19" t="s">
        <v>165</v>
      </c>
      <c r="B14" s="25" t="s">
        <v>166</v>
      </c>
      <c r="C14" s="28" t="s">
        <v>167</v>
      </c>
      <c r="D14" s="31" t="s">
        <v>128</v>
      </c>
      <c r="E14" s="19">
        <v>2</v>
      </c>
      <c r="F14" s="19">
        <v>5</v>
      </c>
      <c r="G14" s="19">
        <f t="shared" si="0"/>
        <v>10</v>
      </c>
      <c r="H14" s="19" t="str">
        <f t="shared" si="1"/>
        <v>High</v>
      </c>
      <c r="I14" s="28" t="s">
        <v>168</v>
      </c>
      <c r="J14" s="19">
        <v>1</v>
      </c>
      <c r="K14" s="19">
        <v>5</v>
      </c>
      <c r="L14" s="19">
        <f t="shared" si="2"/>
        <v>5</v>
      </c>
      <c r="M14" s="19" t="str">
        <f t="shared" si="3"/>
        <v>Medium</v>
      </c>
      <c r="N14" s="31" t="s">
        <v>130</v>
      </c>
    </row>
    <row r="15" spans="1:14" ht="81" customHeight="1" x14ac:dyDescent="0.25">
      <c r="A15" s="19" t="s">
        <v>169</v>
      </c>
      <c r="B15" s="25" t="s">
        <v>170</v>
      </c>
      <c r="C15" s="28" t="s">
        <v>171</v>
      </c>
      <c r="D15" s="31" t="s">
        <v>138</v>
      </c>
      <c r="E15" s="19">
        <v>3</v>
      </c>
      <c r="F15" s="19">
        <v>4</v>
      </c>
      <c r="G15" s="19">
        <f t="shared" si="0"/>
        <v>12</v>
      </c>
      <c r="H15" s="19" t="str">
        <f t="shared" si="1"/>
        <v>High</v>
      </c>
      <c r="I15" s="28" t="s">
        <v>172</v>
      </c>
      <c r="J15" s="19">
        <v>1</v>
      </c>
      <c r="K15" s="19">
        <v>4</v>
      </c>
      <c r="L15" s="19">
        <f t="shared" si="2"/>
        <v>4</v>
      </c>
      <c r="M15" s="19" t="str">
        <f t="shared" si="3"/>
        <v>Low</v>
      </c>
      <c r="N15" s="31" t="s">
        <v>130</v>
      </c>
    </row>
    <row r="16" spans="1:14" ht="81" customHeight="1" x14ac:dyDescent="0.25">
      <c r="A16" s="19" t="s">
        <v>173</v>
      </c>
      <c r="B16" s="25" t="s">
        <v>174</v>
      </c>
      <c r="C16" s="28" t="s">
        <v>175</v>
      </c>
      <c r="D16" s="31" t="s">
        <v>138</v>
      </c>
      <c r="E16" s="19">
        <v>2</v>
      </c>
      <c r="F16" s="19">
        <v>5</v>
      </c>
      <c r="G16" s="19">
        <f t="shared" si="0"/>
        <v>10</v>
      </c>
      <c r="H16" s="19" t="str">
        <f t="shared" si="1"/>
        <v>High</v>
      </c>
      <c r="I16" s="28" t="s">
        <v>176</v>
      </c>
      <c r="J16" s="19">
        <v>1</v>
      </c>
      <c r="K16" s="19">
        <v>5</v>
      </c>
      <c r="L16" s="19">
        <f t="shared" si="2"/>
        <v>5</v>
      </c>
      <c r="M16" s="19" t="str">
        <f t="shared" si="3"/>
        <v>Medium</v>
      </c>
      <c r="N16" s="31" t="s">
        <v>130</v>
      </c>
    </row>
    <row r="17" spans="1:14" ht="67.5" customHeight="1" x14ac:dyDescent="0.25">
      <c r="A17" s="19" t="s">
        <v>177</v>
      </c>
      <c r="B17" s="25" t="s">
        <v>178</v>
      </c>
      <c r="C17" s="28" t="s">
        <v>179</v>
      </c>
      <c r="D17" s="31" t="s">
        <v>138</v>
      </c>
      <c r="E17" s="19">
        <v>2</v>
      </c>
      <c r="F17" s="19">
        <v>2</v>
      </c>
      <c r="G17" s="19">
        <f t="shared" si="0"/>
        <v>4</v>
      </c>
      <c r="H17" s="19" t="str">
        <f t="shared" si="1"/>
        <v>Low</v>
      </c>
      <c r="I17" s="28" t="s">
        <v>180</v>
      </c>
      <c r="J17" s="19">
        <v>1</v>
      </c>
      <c r="K17" s="19">
        <v>2</v>
      </c>
      <c r="L17" s="19">
        <f t="shared" si="2"/>
        <v>2</v>
      </c>
      <c r="M17" s="19" t="str">
        <f t="shared" si="3"/>
        <v>Low</v>
      </c>
      <c r="N17" s="31" t="s">
        <v>130</v>
      </c>
    </row>
    <row r="18" spans="1:14" ht="81" customHeight="1" x14ac:dyDescent="0.25">
      <c r="A18" s="19" t="s">
        <v>181</v>
      </c>
      <c r="B18" s="25" t="s">
        <v>182</v>
      </c>
      <c r="C18" s="28" t="s">
        <v>183</v>
      </c>
      <c r="D18" s="31" t="s">
        <v>128</v>
      </c>
      <c r="E18" s="19">
        <v>2</v>
      </c>
      <c r="F18" s="19">
        <v>4</v>
      </c>
      <c r="G18" s="19">
        <f t="shared" si="0"/>
        <v>8</v>
      </c>
      <c r="H18" s="19" t="str">
        <f t="shared" si="1"/>
        <v>Medium</v>
      </c>
      <c r="I18" s="28" t="s">
        <v>184</v>
      </c>
      <c r="J18" s="19">
        <v>1</v>
      </c>
      <c r="K18" s="19">
        <v>4</v>
      </c>
      <c r="L18" s="19">
        <f t="shared" si="2"/>
        <v>4</v>
      </c>
      <c r="M18" s="19" t="str">
        <f t="shared" si="3"/>
        <v>Low</v>
      </c>
      <c r="N18" s="31" t="s">
        <v>130</v>
      </c>
    </row>
    <row r="19" spans="1:14" ht="81" customHeight="1" x14ac:dyDescent="0.25">
      <c r="A19" s="19" t="s">
        <v>185</v>
      </c>
      <c r="B19" s="25" t="s">
        <v>186</v>
      </c>
      <c r="C19" s="28" t="s">
        <v>187</v>
      </c>
      <c r="D19" s="31" t="s">
        <v>138</v>
      </c>
      <c r="E19" s="19">
        <v>2</v>
      </c>
      <c r="F19" s="19">
        <v>4</v>
      </c>
      <c r="G19" s="19">
        <f t="shared" si="0"/>
        <v>8</v>
      </c>
      <c r="H19" s="19" t="str">
        <f t="shared" si="1"/>
        <v>Medium</v>
      </c>
      <c r="I19" s="28" t="s">
        <v>188</v>
      </c>
      <c r="J19" s="19">
        <v>1</v>
      </c>
      <c r="K19" s="19">
        <v>4</v>
      </c>
      <c r="L19" s="19">
        <f t="shared" si="2"/>
        <v>4</v>
      </c>
      <c r="M19" s="19" t="str">
        <f t="shared" si="3"/>
        <v>Low</v>
      </c>
      <c r="N19" s="31" t="s">
        <v>130</v>
      </c>
    </row>
    <row r="20" spans="1:14" ht="81" customHeight="1" x14ac:dyDescent="0.25">
      <c r="A20" s="19" t="s">
        <v>189</v>
      </c>
      <c r="B20" s="25" t="s">
        <v>190</v>
      </c>
      <c r="C20" s="28" t="s">
        <v>191</v>
      </c>
      <c r="D20" s="31" t="s">
        <v>138</v>
      </c>
      <c r="E20" s="19">
        <v>2</v>
      </c>
      <c r="F20" s="19">
        <v>3</v>
      </c>
      <c r="G20" s="19">
        <f t="shared" si="0"/>
        <v>6</v>
      </c>
      <c r="H20" s="19" t="str">
        <f t="shared" si="1"/>
        <v>Medium</v>
      </c>
      <c r="I20" s="28" t="s">
        <v>192</v>
      </c>
      <c r="J20" s="19">
        <v>1</v>
      </c>
      <c r="K20" s="19">
        <v>3</v>
      </c>
      <c r="L20" s="19">
        <f t="shared" si="2"/>
        <v>3</v>
      </c>
      <c r="M20" s="19" t="str">
        <f t="shared" si="3"/>
        <v>Low</v>
      </c>
      <c r="N20" s="31" t="s">
        <v>130</v>
      </c>
    </row>
    <row r="21" spans="1:14" ht="81" customHeight="1" x14ac:dyDescent="0.25">
      <c r="A21" s="19" t="s">
        <v>193</v>
      </c>
      <c r="B21" s="25" t="s">
        <v>194</v>
      </c>
      <c r="C21" s="28" t="s">
        <v>195</v>
      </c>
      <c r="D21" s="31" t="s">
        <v>128</v>
      </c>
      <c r="E21" s="19">
        <v>1</v>
      </c>
      <c r="F21" s="19">
        <v>5</v>
      </c>
      <c r="G21" s="19">
        <f t="shared" si="0"/>
        <v>5</v>
      </c>
      <c r="H21" s="19" t="str">
        <f t="shared" si="1"/>
        <v>Medium</v>
      </c>
      <c r="I21" s="28" t="s">
        <v>196</v>
      </c>
      <c r="J21" s="19">
        <v>1</v>
      </c>
      <c r="K21" s="19">
        <v>5</v>
      </c>
      <c r="L21" s="19">
        <f t="shared" si="2"/>
        <v>5</v>
      </c>
      <c r="M21" s="19" t="str">
        <f t="shared" si="3"/>
        <v>Medium</v>
      </c>
      <c r="N21" s="31" t="s">
        <v>130</v>
      </c>
    </row>
    <row r="22" spans="1:14" ht="81" customHeight="1" x14ac:dyDescent="0.25">
      <c r="A22" s="19" t="s">
        <v>197</v>
      </c>
      <c r="B22" s="25" t="s">
        <v>198</v>
      </c>
      <c r="C22" s="28" t="s">
        <v>199</v>
      </c>
      <c r="D22" s="31" t="s">
        <v>143</v>
      </c>
      <c r="E22" s="19">
        <v>2</v>
      </c>
      <c r="F22" s="19">
        <v>3</v>
      </c>
      <c r="G22" s="19">
        <f t="shared" si="0"/>
        <v>6</v>
      </c>
      <c r="H22" s="19" t="str">
        <f t="shared" si="1"/>
        <v>Medium</v>
      </c>
      <c r="I22" s="28" t="s">
        <v>200</v>
      </c>
      <c r="J22" s="19">
        <v>1</v>
      </c>
      <c r="K22" s="19">
        <v>3</v>
      </c>
      <c r="L22" s="19">
        <f t="shared" si="2"/>
        <v>3</v>
      </c>
      <c r="M22" s="19" t="str">
        <f t="shared" si="3"/>
        <v>Low</v>
      </c>
      <c r="N22" s="31" t="s">
        <v>130</v>
      </c>
    </row>
    <row r="25" spans="1:14" ht="15" customHeight="1" x14ac:dyDescent="0.25">
      <c r="A25" s="2" t="s">
        <v>201</v>
      </c>
      <c r="B25" s="2"/>
      <c r="C25" s="2"/>
      <c r="D25" s="2"/>
      <c r="E25" s="2"/>
      <c r="F25" s="2"/>
      <c r="G25" s="2"/>
      <c r="H25" s="2"/>
      <c r="I25" s="2"/>
      <c r="J25" s="2"/>
      <c r="K25" s="2"/>
      <c r="L25" s="2"/>
      <c r="M25" s="2"/>
      <c r="N25" s="2"/>
    </row>
    <row r="26" spans="1:14" x14ac:dyDescent="0.25">
      <c r="D26" s="34"/>
      <c r="E26" s="34"/>
      <c r="F26" s="34"/>
      <c r="G26" s="34"/>
      <c r="H26" s="35"/>
    </row>
    <row r="27" spans="1:14" x14ac:dyDescent="0.25">
      <c r="A27" s="1" t="s">
        <v>202</v>
      </c>
      <c r="B27" s="1"/>
      <c r="C27" s="1"/>
      <c r="D27" s="33"/>
      <c r="E27" s="33"/>
      <c r="F27" s="33"/>
      <c r="G27" s="33"/>
      <c r="H27" s="36"/>
    </row>
    <row r="28" spans="1:14" x14ac:dyDescent="0.25">
      <c r="A28" s="1" t="s">
        <v>203</v>
      </c>
      <c r="B28" s="1"/>
      <c r="C28" s="1"/>
      <c r="D28" s="33"/>
      <c r="E28" s="33"/>
      <c r="F28" s="33"/>
      <c r="G28" s="33"/>
      <c r="H28" s="36"/>
    </row>
    <row r="29" spans="1:14" x14ac:dyDescent="0.25">
      <c r="A29" s="1" t="s">
        <v>204</v>
      </c>
      <c r="B29" s="1"/>
      <c r="C29" s="1"/>
      <c r="D29" s="33"/>
      <c r="E29" s="33"/>
      <c r="F29" s="33"/>
      <c r="G29" s="33"/>
      <c r="H29" s="36"/>
    </row>
    <row r="30" spans="1:14" x14ac:dyDescent="0.25">
      <c r="A30" s="1" t="s">
        <v>205</v>
      </c>
      <c r="B30" s="1"/>
      <c r="C30" s="1"/>
      <c r="D30" s="33"/>
      <c r="E30" s="33"/>
      <c r="F30" s="33"/>
      <c r="G30" s="33"/>
      <c r="H30" s="36"/>
    </row>
    <row r="31" spans="1:14" x14ac:dyDescent="0.25">
      <c r="A31" s="1" t="s">
        <v>203</v>
      </c>
      <c r="B31" s="1"/>
      <c r="C31" s="1"/>
      <c r="D31" s="33"/>
      <c r="E31" s="33"/>
      <c r="F31" s="33"/>
      <c r="G31" s="33"/>
      <c r="H31" s="36"/>
    </row>
    <row r="32" spans="1:14" x14ac:dyDescent="0.25">
      <c r="A32" s="1" t="s">
        <v>204</v>
      </c>
      <c r="B32" s="1"/>
      <c r="C32" s="1"/>
      <c r="D32" s="33"/>
      <c r="E32" s="33"/>
      <c r="F32" s="33"/>
      <c r="G32" s="33"/>
      <c r="H32" s="36"/>
    </row>
    <row r="33" spans="1:8" x14ac:dyDescent="0.25">
      <c r="A33" s="1" t="s">
        <v>206</v>
      </c>
      <c r="B33" s="1"/>
      <c r="C33" s="1"/>
      <c r="D33" s="33"/>
      <c r="E33" s="33"/>
      <c r="F33" s="33"/>
      <c r="G33" s="33"/>
      <c r="H33" s="36"/>
    </row>
  </sheetData>
  <mergeCells count="16">
    <mergeCell ref="A32:C32"/>
    <mergeCell ref="D32:H32"/>
    <mergeCell ref="A33:C33"/>
    <mergeCell ref="D33:H33"/>
    <mergeCell ref="A29:C29"/>
    <mergeCell ref="D29:H29"/>
    <mergeCell ref="A30:C30"/>
    <mergeCell ref="D30:H30"/>
    <mergeCell ref="A31:C31"/>
    <mergeCell ref="D31:H31"/>
    <mergeCell ref="A2:N2"/>
    <mergeCell ref="A25:N25"/>
    <mergeCell ref="A27:C27"/>
    <mergeCell ref="D27:H27"/>
    <mergeCell ref="A28:C28"/>
    <mergeCell ref="D28:H28"/>
  </mergeCells>
  <conditionalFormatting sqref="E5:F22">
    <cfRule type="cellIs" dxfId="23" priority="2" operator="equal">
      <formula>1</formula>
    </cfRule>
    <cfRule type="cellIs" dxfId="22" priority="3" operator="equal">
      <formula>2</formula>
    </cfRule>
    <cfRule type="cellIs" dxfId="21" priority="4" operator="equal">
      <formula>3</formula>
    </cfRule>
    <cfRule type="cellIs" dxfId="20" priority="5" operator="equal">
      <formula>4</formula>
    </cfRule>
    <cfRule type="cellIs" dxfId="19" priority="6" operator="equal">
      <formula>5</formula>
    </cfRule>
  </conditionalFormatting>
  <conditionalFormatting sqref="G5:G22">
    <cfRule type="cellIs" dxfId="18" priority="12" operator="lessThanOrEqual">
      <formula>4</formula>
    </cfRule>
    <cfRule type="cellIs" dxfId="17" priority="13" operator="between">
      <formula>5</formula>
      <formula>9</formula>
    </cfRule>
    <cfRule type="cellIs" dxfId="16" priority="14" operator="greaterThanOrEqual">
      <formula>10</formula>
    </cfRule>
  </conditionalFormatting>
  <conditionalFormatting sqref="H5:H22">
    <cfRule type="cellIs" dxfId="15" priority="18" operator="equal">
      <formula>"Low"</formula>
    </cfRule>
    <cfRule type="cellIs" dxfId="14" priority="19" operator="equal">
      <formula>"Medium"</formula>
    </cfRule>
    <cfRule type="cellIs" dxfId="13" priority="20" operator="equal">
      <formula>"High"</formula>
    </cfRule>
    <cfRule type="cellIs" dxfId="12" priority="21" operator="equal">
      <formula>"Critical"</formula>
    </cfRule>
  </conditionalFormatting>
  <conditionalFormatting sqref="J5:K22">
    <cfRule type="cellIs" dxfId="11" priority="7" operator="equal">
      <formula>1</formula>
    </cfRule>
    <cfRule type="cellIs" dxfId="10" priority="8" operator="equal">
      <formula>2</formula>
    </cfRule>
    <cfRule type="cellIs" dxfId="9" priority="9" operator="equal">
      <formula>3</formula>
    </cfRule>
    <cfRule type="cellIs" dxfId="8" priority="10" operator="equal">
      <formula>4</formula>
    </cfRule>
    <cfRule type="cellIs" dxfId="7" priority="11" operator="equal">
      <formula>5</formula>
    </cfRule>
  </conditionalFormatting>
  <conditionalFormatting sqref="L5:L22">
    <cfRule type="cellIs" dxfId="6" priority="15" operator="lessThanOrEqual">
      <formula>4</formula>
    </cfRule>
    <cfRule type="cellIs" dxfId="5" priority="16" operator="between">
      <formula>5</formula>
      <formula>9</formula>
    </cfRule>
    <cfRule type="cellIs" dxfId="4" priority="17" operator="greaterThanOrEqual">
      <formula>10</formula>
    </cfRule>
  </conditionalFormatting>
  <conditionalFormatting sqref="M5:M22">
    <cfRule type="cellIs" dxfId="3" priority="22" operator="equal">
      <formula>"Low"</formula>
    </cfRule>
    <cfRule type="cellIs" dxfId="2" priority="23" operator="equal">
      <formula>"Medium"</formula>
    </cfRule>
    <cfRule type="cellIs" dxfId="1" priority="24" operator="equal">
      <formula>"High"</formula>
    </cfRule>
    <cfRule type="cellIs" dxfId="0" priority="25" operator="equal">
      <formula>"Critical"</formula>
    </cfRule>
  </conditionalFormatting>
  <dataValidations count="2">
    <dataValidation type="list" allowBlank="1" errorTitle="Invalid Score" error="Please select a value between 1 and 5" promptTitle="Score" prompt="Select 1-5" sqref="E5:F22 J5:K22" xr:uid="{00000000-0002-0000-0300-000000000000}">
      <formula1>"1,2,3,4,5"</formula1>
      <formula2>0</formula2>
    </dataValidation>
    <dataValidation type="list" allowBlank="1" errorTitle="Invalid Status" error="Please select Open, Closed, or In Progress" sqref="N5:N22" xr:uid="{00000000-0002-0000-0300-000001000000}">
      <formula1>"Open,Closed,In Progress"</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Normal="100" workbookViewId="0"/>
  </sheetViews>
  <sheetFormatPr defaultColWidth="8.7109375" defaultRowHeight="15" x14ac:dyDescent="0.25"/>
  <cols>
    <col min="1" max="1" width="5" customWidth="1"/>
    <col min="2" max="2" width="30" customWidth="1"/>
    <col min="3" max="7" width="16" customWidth="1"/>
  </cols>
  <sheetData>
    <row r="1" spans="1:7" ht="75.75" customHeight="1" x14ac:dyDescent="0.25"/>
    <row r="2" spans="1:7" ht="26.25" customHeight="1" x14ac:dyDescent="0.4">
      <c r="A2" s="14" t="s">
        <v>0</v>
      </c>
      <c r="B2" s="14"/>
      <c r="C2" s="14"/>
      <c r="D2" s="14"/>
      <c r="E2" s="14"/>
      <c r="F2" s="14"/>
      <c r="G2" s="14"/>
    </row>
    <row r="4" spans="1:7" ht="15.75" x14ac:dyDescent="0.25">
      <c r="B4" s="15" t="s">
        <v>1</v>
      </c>
    </row>
    <row r="5" spans="1:7" ht="24" x14ac:dyDescent="0.25">
      <c r="C5" s="16" t="s">
        <v>2</v>
      </c>
      <c r="D5" s="16" t="s">
        <v>3</v>
      </c>
      <c r="E5" s="16" t="s">
        <v>4</v>
      </c>
      <c r="F5" s="16" t="s">
        <v>5</v>
      </c>
      <c r="G5" s="16" t="s">
        <v>6</v>
      </c>
    </row>
    <row r="6" spans="1:7" ht="36" customHeight="1" x14ac:dyDescent="0.25">
      <c r="C6" s="17">
        <f>COUNTA('Risk Assessment'!A5:A22)</f>
        <v>18</v>
      </c>
      <c r="D6" s="17">
        <f>COUNTIF('Risk Assessment'!H5:H22,"Critical")</f>
        <v>0</v>
      </c>
      <c r="E6" s="17">
        <f>COUNTIF('Risk Assessment'!H5:H22,"High")</f>
        <v>6</v>
      </c>
      <c r="F6" s="17">
        <f>COUNTIF('Risk Assessment'!H5:H22,"Medium")</f>
        <v>10</v>
      </c>
      <c r="G6" s="17">
        <f>COUNTIF('Risk Assessment'!H5:H22,"Low")</f>
        <v>2</v>
      </c>
    </row>
    <row r="8" spans="1:7" ht="15.75" x14ac:dyDescent="0.25">
      <c r="B8" s="13" t="s">
        <v>7</v>
      </c>
      <c r="C8" s="13"/>
      <c r="D8" s="13"/>
      <c r="E8" s="13"/>
      <c r="F8" s="13"/>
      <c r="G8" s="13"/>
    </row>
    <row r="9" spans="1:7" x14ac:dyDescent="0.25">
      <c r="C9" s="16" t="s">
        <v>8</v>
      </c>
      <c r="D9" s="16" t="s">
        <v>9</v>
      </c>
      <c r="E9" s="16" t="s">
        <v>10</v>
      </c>
    </row>
    <row r="10" spans="1:7" x14ac:dyDescent="0.25">
      <c r="C10" s="18" t="s">
        <v>11</v>
      </c>
      <c r="D10" s="19">
        <f>COUNTIF('Risk Assessment'!H5:H22,"Critical")</f>
        <v>0</v>
      </c>
      <c r="E10" s="19" t="str">
        <f>IF(D10=0,"0%",TEXT(D10/C6,"0%"))</f>
        <v>0%</v>
      </c>
    </row>
    <row r="11" spans="1:7" x14ac:dyDescent="0.25">
      <c r="C11" s="20" t="s">
        <v>12</v>
      </c>
      <c r="D11" s="19">
        <f>COUNTIF('Risk Assessment'!H5:H22,"High")</f>
        <v>6</v>
      </c>
      <c r="E11" s="19" t="str">
        <f>IF(D11=0,"0%",TEXT(D11/C6,"0%"))</f>
        <v>33%</v>
      </c>
    </row>
    <row r="12" spans="1:7" x14ac:dyDescent="0.25">
      <c r="C12" s="21" t="s">
        <v>13</v>
      </c>
      <c r="D12" s="19">
        <f>COUNTIF('Risk Assessment'!H5:H22,"Medium")</f>
        <v>10</v>
      </c>
      <c r="E12" s="19" t="str">
        <f>IF(D12=0,"0%",TEXT(D12/C6,"0%"))</f>
        <v>56%</v>
      </c>
    </row>
    <row r="13" spans="1:7" x14ac:dyDescent="0.25">
      <c r="C13" s="22" t="s">
        <v>14</v>
      </c>
      <c r="D13" s="19">
        <f>COUNTIF('Risk Assessment'!H5:H22,"Low")</f>
        <v>2</v>
      </c>
      <c r="E13" s="19" t="str">
        <f>IF(D13=0,"0%",TEXT(D13/C6,"0%"))</f>
        <v>11%</v>
      </c>
    </row>
    <row r="15" spans="1:7" ht="15.75" x14ac:dyDescent="0.25">
      <c r="B15" s="13" t="s">
        <v>15</v>
      </c>
      <c r="C15" s="13"/>
      <c r="D15" s="13"/>
      <c r="E15" s="13"/>
      <c r="F15" s="13"/>
      <c r="G15" s="13"/>
    </row>
    <row r="16" spans="1:7" x14ac:dyDescent="0.25">
      <c r="C16" s="16" t="s">
        <v>8</v>
      </c>
      <c r="D16" s="16" t="s">
        <v>9</v>
      </c>
      <c r="E16" s="16" t="s">
        <v>10</v>
      </c>
    </row>
    <row r="17" spans="2:7" x14ac:dyDescent="0.25">
      <c r="C17" s="18" t="s">
        <v>11</v>
      </c>
      <c r="D17" s="19">
        <f>COUNTIF('Risk Assessment'!M5:M22,"Critical")</f>
        <v>0</v>
      </c>
      <c r="E17" s="19" t="str">
        <f>IF(D17=0,"0%",TEXT(D17/C6,"0%"))</f>
        <v>0%</v>
      </c>
    </row>
    <row r="18" spans="2:7" x14ac:dyDescent="0.25">
      <c r="C18" s="20" t="s">
        <v>12</v>
      </c>
      <c r="D18" s="19">
        <f>COUNTIF('Risk Assessment'!M5:M22,"High")</f>
        <v>0</v>
      </c>
      <c r="E18" s="19" t="str">
        <f>IF(D18=0,"0%",TEXT(D18/C6,"0%"))</f>
        <v>0%</v>
      </c>
    </row>
    <row r="19" spans="2:7" x14ac:dyDescent="0.25">
      <c r="C19" s="21" t="s">
        <v>13</v>
      </c>
      <c r="D19" s="19">
        <f>COUNTIF('Risk Assessment'!M5:M22,"Medium")</f>
        <v>5</v>
      </c>
      <c r="E19" s="19" t="str">
        <f>IF(D19=0,"0%",TEXT(D19/C6,"0%"))</f>
        <v>28%</v>
      </c>
    </row>
    <row r="20" spans="2:7" x14ac:dyDescent="0.25">
      <c r="C20" s="22" t="s">
        <v>14</v>
      </c>
      <c r="D20" s="19">
        <f>COUNTIF('Risk Assessment'!M5:M22,"Low")</f>
        <v>13</v>
      </c>
      <c r="E20" s="19" t="str">
        <f>IF(D20=0,"0%",TEXT(D20/C6,"0%"))</f>
        <v>72%</v>
      </c>
    </row>
    <row r="22" spans="2:7" ht="15.75" x14ac:dyDescent="0.25">
      <c r="B22" s="13" t="s">
        <v>16</v>
      </c>
      <c r="C22" s="13"/>
      <c r="D22" s="13"/>
      <c r="E22" s="13"/>
      <c r="F22" s="13"/>
      <c r="G22" s="13"/>
    </row>
    <row r="23" spans="2:7" x14ac:dyDescent="0.25">
      <c r="C23" s="16" t="s">
        <v>17</v>
      </c>
      <c r="D23" s="16" t="s">
        <v>18</v>
      </c>
    </row>
    <row r="24" spans="2:7" ht="21.75" customHeight="1" x14ac:dyDescent="0.25">
      <c r="C24" s="23" t="s">
        <v>19</v>
      </c>
      <c r="D24" s="24">
        <f>ROUND(AVERAGE('Risk Assessment'!G5:G22),1)</f>
        <v>7.8</v>
      </c>
    </row>
    <row r="25" spans="2:7" ht="21.75" customHeight="1" x14ac:dyDescent="0.25">
      <c r="C25" s="25" t="s">
        <v>20</v>
      </c>
      <c r="D25" s="26">
        <f>ROUND(AVERAGE('Risk Assessment'!L5:L22),1)</f>
        <v>3.8</v>
      </c>
    </row>
    <row r="26" spans="2:7" ht="21.75" customHeight="1" x14ac:dyDescent="0.25">
      <c r="C26" s="23" t="s">
        <v>21</v>
      </c>
      <c r="D26" s="24" t="str">
        <f>TEXT(1-(AVERAGE('Risk Assessment'!L5:L22)/AVERAGE('Risk Assessment'!G5:G22)),"0%")</f>
        <v>52%</v>
      </c>
    </row>
    <row r="27" spans="2:7" ht="21.75" customHeight="1" x14ac:dyDescent="0.25">
      <c r="C27" s="25" t="s">
        <v>22</v>
      </c>
      <c r="D27" s="26">
        <f>COUNTIF('Risk Assessment'!M5:M22,"Critical")</f>
        <v>0</v>
      </c>
    </row>
    <row r="28" spans="2:7" ht="21.75" customHeight="1" x14ac:dyDescent="0.25">
      <c r="C28" s="23" t="s">
        <v>23</v>
      </c>
      <c r="D28" s="24">
        <f>COUNTIF('Risk Assessment'!M5:M22,"High")</f>
        <v>0</v>
      </c>
    </row>
    <row r="29" spans="2:7" ht="21.75" customHeight="1" x14ac:dyDescent="0.25">
      <c r="C29" s="25" t="s">
        <v>24</v>
      </c>
      <c r="D29" s="26">
        <f>COUNTIF('Risk Assessment'!N5:N22,"Open")</f>
        <v>18</v>
      </c>
    </row>
    <row r="31" spans="2:7" ht="15.75" x14ac:dyDescent="0.25">
      <c r="B31" s="15" t="s">
        <v>25</v>
      </c>
    </row>
    <row r="32" spans="2:7" ht="24" x14ac:dyDescent="0.25">
      <c r="C32" s="27" t="s">
        <v>26</v>
      </c>
      <c r="D32" s="28" t="s">
        <v>27</v>
      </c>
    </row>
    <row r="33" spans="3:4" x14ac:dyDescent="0.25">
      <c r="C33" s="27" t="s">
        <v>28</v>
      </c>
      <c r="D33" s="28" t="s">
        <v>29</v>
      </c>
    </row>
    <row r="34" spans="3:4" x14ac:dyDescent="0.25">
      <c r="C34" s="27" t="s">
        <v>30</v>
      </c>
      <c r="D34" s="28" t="s">
        <v>31</v>
      </c>
    </row>
    <row r="35" spans="3:4" x14ac:dyDescent="0.25">
      <c r="C35" s="27" t="s">
        <v>32</v>
      </c>
      <c r="D35" s="28" t="s">
        <v>33</v>
      </c>
    </row>
    <row r="36" spans="3:4" ht="24" x14ac:dyDescent="0.25">
      <c r="C36" s="27" t="s">
        <v>34</v>
      </c>
      <c r="D36" s="28" t="s">
        <v>35</v>
      </c>
    </row>
    <row r="37" spans="3:4" x14ac:dyDescent="0.25">
      <c r="C37" s="27" t="s">
        <v>36</v>
      </c>
      <c r="D37" s="28" t="s">
        <v>37</v>
      </c>
    </row>
  </sheetData>
  <mergeCells count="4">
    <mergeCell ref="A2:G2"/>
    <mergeCell ref="B8:G8"/>
    <mergeCell ref="B15:G15"/>
    <mergeCell ref="B22:G2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showGridLines="0" zoomScaleNormal="100" workbookViewId="0">
      <selection activeCell="P37" sqref="P37"/>
    </sheetView>
  </sheetViews>
  <sheetFormatPr defaultColWidth="8.7109375" defaultRowHeight="15" x14ac:dyDescent="0.25"/>
  <cols>
    <col min="1" max="1" width="5" customWidth="1"/>
    <col min="2" max="2" width="12" customWidth="1"/>
    <col min="3" max="3" width="25" customWidth="1"/>
    <col min="4" max="8" width="12" customWidth="1"/>
  </cols>
  <sheetData>
    <row r="1" spans="1:8" ht="75.75" customHeight="1" x14ac:dyDescent="0.25">
      <c r="A1" s="12"/>
      <c r="B1" s="12"/>
      <c r="C1" s="12"/>
    </row>
    <row r="2" spans="1:8" ht="26.25" customHeight="1" x14ac:dyDescent="0.4">
      <c r="A2" s="14" t="s">
        <v>58</v>
      </c>
      <c r="B2" s="14"/>
      <c r="C2" s="14"/>
      <c r="D2" s="14"/>
      <c r="E2" s="14"/>
      <c r="F2" s="14"/>
    </row>
    <row r="4" spans="1:8" x14ac:dyDescent="0.25">
      <c r="B4" s="6" t="s">
        <v>59</v>
      </c>
      <c r="C4" s="6"/>
      <c r="D4" s="6"/>
      <c r="E4" s="6"/>
      <c r="F4" s="6"/>
    </row>
    <row r="6" spans="1:8" x14ac:dyDescent="0.25">
      <c r="B6" s="6" t="s">
        <v>60</v>
      </c>
      <c r="C6" s="6"/>
      <c r="E6" s="6" t="s">
        <v>61</v>
      </c>
      <c r="F6" s="6"/>
    </row>
    <row r="7" spans="1:8" x14ac:dyDescent="0.25">
      <c r="B7" s="31">
        <v>1</v>
      </c>
      <c r="C7" s="28" t="s">
        <v>62</v>
      </c>
      <c r="E7" s="31">
        <v>1</v>
      </c>
      <c r="F7" s="28" t="s">
        <v>63</v>
      </c>
    </row>
    <row r="8" spans="1:8" ht="24" x14ac:dyDescent="0.25">
      <c r="B8" s="31">
        <v>2</v>
      </c>
      <c r="C8" s="28" t="s">
        <v>64</v>
      </c>
      <c r="E8" s="31">
        <v>2</v>
      </c>
      <c r="F8" s="28" t="s">
        <v>65</v>
      </c>
    </row>
    <row r="9" spans="1:8" ht="24" x14ac:dyDescent="0.25">
      <c r="B9" s="31">
        <v>3</v>
      </c>
      <c r="C9" s="28" t="s">
        <v>66</v>
      </c>
      <c r="E9" s="31">
        <v>3</v>
      </c>
      <c r="F9" s="28" t="s">
        <v>67</v>
      </c>
    </row>
    <row r="10" spans="1:8" x14ac:dyDescent="0.25">
      <c r="B10" s="31">
        <v>4</v>
      </c>
      <c r="C10" s="28" t="s">
        <v>68</v>
      </c>
      <c r="E10" s="31">
        <v>4</v>
      </c>
      <c r="F10" s="28" t="s">
        <v>69</v>
      </c>
    </row>
    <row r="11" spans="1:8" x14ac:dyDescent="0.25">
      <c r="B11" s="31">
        <v>5</v>
      </c>
      <c r="C11" s="28" t="s">
        <v>70</v>
      </c>
      <c r="E11" s="31">
        <v>5</v>
      </c>
      <c r="F11" s="28" t="s">
        <v>71</v>
      </c>
    </row>
    <row r="14" spans="1:8" ht="15.75" x14ac:dyDescent="0.25">
      <c r="A14" s="15" t="s">
        <v>72</v>
      </c>
    </row>
    <row r="16" spans="1:8" ht="15" customHeight="1" x14ac:dyDescent="0.25">
      <c r="B16" s="5" t="s">
        <v>73</v>
      </c>
      <c r="C16" s="5"/>
      <c r="D16" s="32" t="s">
        <v>74</v>
      </c>
      <c r="E16" s="32" t="s">
        <v>75</v>
      </c>
      <c r="F16" s="32" t="s">
        <v>76</v>
      </c>
      <c r="G16" s="32" t="s">
        <v>77</v>
      </c>
      <c r="H16" s="32" t="s">
        <v>78</v>
      </c>
    </row>
    <row r="17" spans="1:8" ht="15" customHeight="1" x14ac:dyDescent="0.25">
      <c r="B17" s="5" t="s">
        <v>79</v>
      </c>
      <c r="C17" s="5"/>
      <c r="D17" s="21">
        <v>5</v>
      </c>
      <c r="E17" s="20">
        <v>10</v>
      </c>
      <c r="F17" s="20">
        <v>15</v>
      </c>
      <c r="G17" s="18">
        <v>20</v>
      </c>
      <c r="H17" s="18">
        <v>25</v>
      </c>
    </row>
    <row r="18" spans="1:8" ht="15" customHeight="1" x14ac:dyDescent="0.25">
      <c r="B18" s="5" t="s">
        <v>80</v>
      </c>
      <c r="C18" s="5"/>
      <c r="D18" s="22">
        <v>4</v>
      </c>
      <c r="E18" s="21">
        <v>8</v>
      </c>
      <c r="F18" s="20">
        <v>12</v>
      </c>
      <c r="G18" s="18">
        <v>16</v>
      </c>
      <c r="H18" s="18">
        <v>20</v>
      </c>
    </row>
    <row r="19" spans="1:8" ht="15" customHeight="1" x14ac:dyDescent="0.25">
      <c r="B19" s="5" t="s">
        <v>81</v>
      </c>
      <c r="C19" s="5"/>
      <c r="D19" s="22">
        <v>3</v>
      </c>
      <c r="E19" s="21">
        <v>6</v>
      </c>
      <c r="F19" s="21">
        <v>9</v>
      </c>
      <c r="G19" s="20">
        <v>12</v>
      </c>
      <c r="H19" s="20">
        <v>15</v>
      </c>
    </row>
    <row r="20" spans="1:8" ht="15" customHeight="1" x14ac:dyDescent="0.25">
      <c r="B20" s="5" t="s">
        <v>82</v>
      </c>
      <c r="C20" s="5"/>
      <c r="D20" s="22">
        <v>2</v>
      </c>
      <c r="E20" s="22">
        <v>4</v>
      </c>
      <c r="F20" s="21">
        <v>6</v>
      </c>
      <c r="G20" s="21">
        <v>8</v>
      </c>
      <c r="H20" s="20">
        <v>10</v>
      </c>
    </row>
    <row r="21" spans="1:8" ht="15" customHeight="1" x14ac:dyDescent="0.25">
      <c r="B21" s="5" t="s">
        <v>83</v>
      </c>
      <c r="C21" s="5"/>
      <c r="D21" s="22">
        <v>1</v>
      </c>
      <c r="E21" s="22">
        <v>2</v>
      </c>
      <c r="F21" s="22">
        <v>3</v>
      </c>
      <c r="G21" s="22">
        <v>4</v>
      </c>
      <c r="H21" s="21">
        <v>5</v>
      </c>
    </row>
    <row r="23" spans="1:8" x14ac:dyDescent="0.25">
      <c r="B23" s="6" t="s">
        <v>84</v>
      </c>
      <c r="C23" s="6"/>
      <c r="D23" s="6"/>
      <c r="E23" s="6"/>
      <c r="F23" s="6"/>
    </row>
    <row r="24" spans="1:8" x14ac:dyDescent="0.25">
      <c r="B24" s="6" t="s">
        <v>85</v>
      </c>
      <c r="C24" s="6"/>
      <c r="D24" s="6"/>
      <c r="E24" s="6"/>
      <c r="F24" s="6"/>
    </row>
    <row r="26" spans="1:8" ht="15.75" x14ac:dyDescent="0.25">
      <c r="A26" s="13" t="s">
        <v>86</v>
      </c>
      <c r="B26" s="13"/>
      <c r="C26" s="13"/>
      <c r="D26" s="13"/>
      <c r="E26" s="13"/>
      <c r="F26" s="13"/>
    </row>
    <row r="27" spans="1:8" ht="15" customHeight="1" x14ac:dyDescent="0.25">
      <c r="B27" s="19" t="s">
        <v>87</v>
      </c>
      <c r="C27" s="22" t="s">
        <v>14</v>
      </c>
      <c r="D27" s="4" t="s">
        <v>88</v>
      </c>
      <c r="E27" s="4"/>
      <c r="F27" s="10"/>
    </row>
    <row r="28" spans="1:8" ht="15" customHeight="1" x14ac:dyDescent="0.25">
      <c r="B28" s="19" t="s">
        <v>89</v>
      </c>
      <c r="C28" s="21" t="s">
        <v>13</v>
      </c>
      <c r="D28" s="4" t="s">
        <v>90</v>
      </c>
      <c r="E28" s="4"/>
      <c r="F28" s="10"/>
    </row>
    <row r="29" spans="1:8" ht="22.35" customHeight="1" x14ac:dyDescent="0.25">
      <c r="B29" s="19" t="s">
        <v>91</v>
      </c>
      <c r="C29" s="20" t="s">
        <v>12</v>
      </c>
      <c r="D29" s="4" t="s">
        <v>92</v>
      </c>
      <c r="E29" s="4"/>
      <c r="F29" s="10"/>
    </row>
    <row r="30" spans="1:8" ht="32.85" customHeight="1" x14ac:dyDescent="0.25">
      <c r="B30" s="19" t="s">
        <v>93</v>
      </c>
      <c r="C30" s="18" t="s">
        <v>11</v>
      </c>
      <c r="D30" s="4" t="s">
        <v>94</v>
      </c>
      <c r="E30" s="4"/>
      <c r="F30" s="10"/>
    </row>
    <row r="32" spans="1:8" ht="15.75" x14ac:dyDescent="0.25">
      <c r="A32" s="15" t="s">
        <v>95</v>
      </c>
    </row>
    <row r="33" spans="2:6" ht="15" customHeight="1" x14ac:dyDescent="0.25">
      <c r="B33" s="16" t="s">
        <v>96</v>
      </c>
      <c r="C33" s="16" t="s">
        <v>97</v>
      </c>
      <c r="D33" s="3" t="s">
        <v>98</v>
      </c>
      <c r="E33" s="3"/>
      <c r="F33" s="3"/>
    </row>
    <row r="34" spans="2:6" ht="22.35" customHeight="1" x14ac:dyDescent="0.25">
      <c r="B34" s="31" t="s">
        <v>99</v>
      </c>
      <c r="C34" s="25" t="s">
        <v>100</v>
      </c>
      <c r="D34" s="4" t="s">
        <v>101</v>
      </c>
      <c r="E34" s="4"/>
      <c r="F34" s="10"/>
    </row>
    <row r="35" spans="2:6" ht="22.35" customHeight="1" x14ac:dyDescent="0.25">
      <c r="B35" s="31" t="s">
        <v>102</v>
      </c>
      <c r="C35" s="25" t="s">
        <v>103</v>
      </c>
      <c r="D35" s="4" t="s">
        <v>104</v>
      </c>
      <c r="E35" s="4"/>
      <c r="F35" s="10"/>
    </row>
    <row r="36" spans="2:6" ht="22.35" customHeight="1" x14ac:dyDescent="0.25">
      <c r="B36" s="31" t="s">
        <v>105</v>
      </c>
      <c r="C36" s="25" t="s">
        <v>106</v>
      </c>
      <c r="D36" s="4" t="s">
        <v>107</v>
      </c>
      <c r="E36" s="4"/>
      <c r="F36" s="10"/>
    </row>
    <row r="37" spans="2:6" ht="22.35" customHeight="1" x14ac:dyDescent="0.25">
      <c r="B37" s="31" t="s">
        <v>108</v>
      </c>
      <c r="C37" s="25" t="s">
        <v>109</v>
      </c>
      <c r="D37" s="4" t="s">
        <v>110</v>
      </c>
      <c r="E37" s="4"/>
      <c r="F37" s="10"/>
    </row>
    <row r="38" spans="2:6" ht="22.35" customHeight="1" x14ac:dyDescent="0.25">
      <c r="B38" s="31" t="s">
        <v>111</v>
      </c>
      <c r="C38" s="25" t="s">
        <v>112</v>
      </c>
      <c r="D38" s="4" t="s">
        <v>113</v>
      </c>
      <c r="E38" s="4"/>
      <c r="F38" s="10"/>
    </row>
  </sheetData>
  <mergeCells count="24">
    <mergeCell ref="D35:F35"/>
    <mergeCell ref="D36:F36"/>
    <mergeCell ref="D37:F37"/>
    <mergeCell ref="D38:F38"/>
    <mergeCell ref="D28:F28"/>
    <mergeCell ref="D29:F29"/>
    <mergeCell ref="D30:F30"/>
    <mergeCell ref="D33:F33"/>
    <mergeCell ref="D34:F34"/>
    <mergeCell ref="B21:C21"/>
    <mergeCell ref="B23:F23"/>
    <mergeCell ref="B24:F24"/>
    <mergeCell ref="A26:F26"/>
    <mergeCell ref="D27:F27"/>
    <mergeCell ref="B16:C16"/>
    <mergeCell ref="B17:C17"/>
    <mergeCell ref="B18:C18"/>
    <mergeCell ref="B19:C19"/>
    <mergeCell ref="B20:C20"/>
    <mergeCell ref="A1:C1"/>
    <mergeCell ref="A2:F2"/>
    <mergeCell ref="B4:F4"/>
    <mergeCell ref="B6:C6"/>
    <mergeCell ref="E6:F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Risk Assessment</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2026-03-31T09:26:52Z</dcterms:created>
  <dcterms:modified xsi:type="dcterms:W3CDTF">2026-03-31T13:57:28Z</dcterms:modified>
  <dc:language>en-US</dc:language>
</cp:coreProperties>
</file>