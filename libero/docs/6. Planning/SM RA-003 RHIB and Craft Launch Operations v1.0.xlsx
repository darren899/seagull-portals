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3 - Risk Assessments/RA-003 Series (HS - ISO 45001)/"/>
    </mc:Choice>
  </mc:AlternateContent>
  <xr:revisionPtr revIDLastSave="10" documentId="11_9FB3C6E63223E46F1AD9E10DF41655830EFF15E6" xr6:coauthVersionLast="47" xr6:coauthVersionMax="47" xr10:uidLastSave="{3C3D63E1-166B-4FFA-9A1B-A3B44EC27F44}"/>
  <bookViews>
    <workbookView xWindow="-120" yWindow="-120" windowWidth="77040" windowHeight="21120" tabRatio="500" xr2:uid="{00000000-000D-0000-FFFF-FFFF00000000}"/>
  </bookViews>
  <sheets>
    <sheet name="RA Information" sheetId="2" r:id="rId1"/>
    <sheet name="Risk Assessment" sheetId="4" r:id="rId2"/>
    <sheet name="Dashboard" sheetId="1" r:id="rId3"/>
    <sheet name="Methodology"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8" i="4" l="1"/>
  <c r="M18" i="4" s="1"/>
  <c r="G18" i="4"/>
  <c r="H18" i="4" s="1"/>
  <c r="L17" i="4"/>
  <c r="M17" i="4" s="1"/>
  <c r="G17" i="4"/>
  <c r="H17" i="4" s="1"/>
  <c r="L16" i="4"/>
  <c r="M16" i="4" s="1"/>
  <c r="G16" i="4"/>
  <c r="H16" i="4" s="1"/>
  <c r="L15" i="4"/>
  <c r="M15" i="4" s="1"/>
  <c r="G15" i="4"/>
  <c r="H15" i="4" s="1"/>
  <c r="L14" i="4"/>
  <c r="M14" i="4" s="1"/>
  <c r="G14" i="4"/>
  <c r="H14" i="4" s="1"/>
  <c r="L13" i="4"/>
  <c r="M13" i="4" s="1"/>
  <c r="G13" i="4"/>
  <c r="H13" i="4" s="1"/>
  <c r="L12" i="4"/>
  <c r="M12" i="4" s="1"/>
  <c r="G12" i="4"/>
  <c r="H12" i="4" s="1"/>
  <c r="L11" i="4"/>
  <c r="M11" i="4" s="1"/>
  <c r="G11" i="4"/>
  <c r="H11" i="4" s="1"/>
  <c r="L10" i="4"/>
  <c r="M10" i="4" s="1"/>
  <c r="G10" i="4"/>
  <c r="H10" i="4" s="1"/>
  <c r="L9" i="4"/>
  <c r="M9" i="4" s="1"/>
  <c r="G9" i="4"/>
  <c r="H9" i="4" s="1"/>
  <c r="L8" i="4"/>
  <c r="M8" i="4" s="1"/>
  <c r="G8" i="4"/>
  <c r="H8" i="4" s="1"/>
  <c r="L7" i="4"/>
  <c r="M7" i="4" s="1"/>
  <c r="G7" i="4"/>
  <c r="H7" i="4" s="1"/>
  <c r="L6" i="4"/>
  <c r="M6" i="4" s="1"/>
  <c r="G6" i="4"/>
  <c r="H6" i="4" s="1"/>
  <c r="L5" i="4"/>
  <c r="M5" i="4" s="1"/>
  <c r="G5" i="4"/>
  <c r="D24" i="1" s="1"/>
  <c r="D29" i="1"/>
  <c r="C6" i="1"/>
  <c r="D18" i="1" l="1"/>
  <c r="E18" i="1" s="1"/>
  <c r="D17" i="1"/>
  <c r="E17" i="1" s="1"/>
  <c r="D20" i="1"/>
  <c r="E20" i="1" s="1"/>
  <c r="D28" i="1"/>
  <c r="D19" i="1"/>
  <c r="E19" i="1" s="1"/>
  <c r="D27" i="1"/>
  <c r="D26" i="1"/>
  <c r="H5" i="4"/>
  <c r="D25" i="1"/>
  <c r="D11" i="1" l="1"/>
  <c r="E11" i="1" s="1"/>
  <c r="D10" i="1"/>
  <c r="E10" i="1" s="1"/>
  <c r="G6" i="1"/>
  <c r="D13" i="1"/>
  <c r="E13" i="1" s="1"/>
  <c r="F6" i="1"/>
  <c r="E6" i="1"/>
  <c r="D12" i="1"/>
  <c r="E12" i="1" s="1"/>
  <c r="D6" i="1"/>
</calcChain>
</file>

<file path=xl/sharedStrings.xml><?xml version="1.0" encoding="utf-8"?>
<sst xmlns="http://schemas.openxmlformats.org/spreadsheetml/2006/main" count="239" uniqueCount="192">
  <si>
    <t>RISK ASSESSMENT DASHBOARD</t>
  </si>
  <si>
    <t>KEY METRICS</t>
  </si>
  <si>
    <t>Total Hazards Assessed</t>
  </si>
  <si>
    <t>Critical (Inherent)</t>
  </si>
  <si>
    <t>High (Inherent)</t>
  </si>
  <si>
    <t>Medium (Inherent)</t>
  </si>
  <si>
    <t>Low (Inherent)</t>
  </si>
  <si>
    <t>INHERENT RISK DISTRIBUTION (Before Controls)</t>
  </si>
  <si>
    <t>Risk Level</t>
  </si>
  <si>
    <t>Count</t>
  </si>
  <si>
    <t>% of Total</t>
  </si>
  <si>
    <t>Critical</t>
  </si>
  <si>
    <t>High</t>
  </si>
  <si>
    <t>Medium</t>
  </si>
  <si>
    <t>Low</t>
  </si>
  <si>
    <t>RESIDUAL RISK DISTRIBUTION (After Controls)</t>
  </si>
  <si>
    <t>RISK REDUCTION SUMMARY</t>
  </si>
  <si>
    <t>Metric</t>
  </si>
  <si>
    <t>Value</t>
  </si>
  <si>
    <t>Average Inherent Risk Score</t>
  </si>
  <si>
    <t>Average Residual Risk Score</t>
  </si>
  <si>
    <t>Average Risk Reduction (%)</t>
  </si>
  <si>
    <t>Hazards at Critical (Residual)</t>
  </si>
  <si>
    <t>Hazards at High (Residual)</t>
  </si>
  <si>
    <t>Open Items</t>
  </si>
  <si>
    <t>DOCUMENT INFORMATION</t>
  </si>
  <si>
    <t>Document Reference:</t>
  </si>
  <si>
    <t>SM/HSE/RA/005</t>
  </si>
  <si>
    <t>Version:</t>
  </si>
  <si>
    <t>1.0</t>
  </si>
  <si>
    <t>Effective Date:</t>
  </si>
  <si>
    <t>15 March 2026</t>
  </si>
  <si>
    <t>Review Date:</t>
  </si>
  <si>
    <t>15 September 2026</t>
  </si>
  <si>
    <t>Assessed by:</t>
  </si>
  <si>
    <t>Group Compliance Director</t>
  </si>
  <si>
    <t>Status:</t>
  </si>
  <si>
    <t>Active</t>
  </si>
  <si>
    <t>SAFETY RISK ASSESSMENT – RHIB &amp; CRAFT LAUNCH OPERATIONS</t>
  </si>
  <si>
    <t>RISK MANAGEMENT INFORMATION</t>
  </si>
  <si>
    <t>Risk Assessment ID:</t>
  </si>
  <si>
    <t>RA-005</t>
  </si>
  <si>
    <t>Location:</t>
  </si>
  <si>
    <t>All operational vessels – all regions (IOR, WAF, PG)</t>
  </si>
  <si>
    <t>Activity Description:</t>
  </si>
  <si>
    <t>The launch, recovery, and operation of RHIBs and small craft from vessel-based armouries using davit, crane, or manual systems. Includes rigging, craning, waterborne operations, loading/unloading equipment, and craft maintenance.</t>
  </si>
  <si>
    <t>Contributors:</t>
  </si>
  <si>
    <t>Senior Operations Manager, Vessel Managers, Coxswains</t>
  </si>
  <si>
    <t>Responsible Persons:</t>
  </si>
  <si>
    <t>Senior Operations Manager, Vessel Managers, Coxswains, Team Leaders, Team Members</t>
  </si>
  <si>
    <t>Management have day-to-day responsibility for health and safety and must be aware of the hazards and control measures in this assessment. They must ensure all staff are aware of the findings and that adequate training and supervision is in place.</t>
  </si>
  <si>
    <t>Team Leaders and Team Members are to ensure they have read the risk assessment, understood and acknowledged the controls, and follow any instructions given.</t>
  </si>
  <si>
    <t>Vessel Masters are respectfully requested to review this risk assessment and assist in compliance with any relevant controls that apply to their vessel or crew.</t>
  </si>
  <si>
    <t>COMMUNICATION &amp; CONSULTATION / RECORDING &amp; REPORTING / MONITORING &amp; REVIEW</t>
  </si>
  <si>
    <t>This risk assessment must be shared with all personnel engaged with the activity. All personnel must confirm they have read and understood the assessment before deployment. A record of this must be maintained.</t>
  </si>
  <si>
    <t>Monitoring and supervision: Seagull Maritime must monitor the activities of all personnel through regular checks, toolbox talks, and debrief reports. Any failure of controls must be reported immediately.</t>
  </si>
  <si>
    <t>This assessment must be formally reviewed if there is any significant change in operational circumstances, following any incident or near miss, or at the scheduled review date — whichever comes first.</t>
  </si>
  <si>
    <t>ACTIVITY DESCRIPTION</t>
  </si>
  <si>
    <t>RISK ASSESSMENT METHODOLOGY</t>
  </si>
  <si>
    <t>Likelihood x Severity = Risk Rating</t>
  </si>
  <si>
    <t>Likelihood</t>
  </si>
  <si>
    <t>Severity</t>
  </si>
  <si>
    <t>Rare</t>
  </si>
  <si>
    <t>Minor Injury</t>
  </si>
  <si>
    <t>Unlikely</t>
  </si>
  <si>
    <t>First Aid Required</t>
  </si>
  <si>
    <t>Possible</t>
  </si>
  <si>
    <t>Medical Treatment</t>
  </si>
  <si>
    <t>Likely</t>
  </si>
  <si>
    <t>Serious Injury</t>
  </si>
  <si>
    <t>Certain</t>
  </si>
  <si>
    <t>Fatality</t>
  </si>
  <si>
    <t>5x5 RISK MATRIX</t>
  </si>
  <si>
    <t>Likelihood \ Severity</t>
  </si>
  <si>
    <t>1 - Minor</t>
  </si>
  <si>
    <t>2 - First Aid</t>
  </si>
  <si>
    <t>3 - Medical</t>
  </si>
  <si>
    <t>4 - Serious</t>
  </si>
  <si>
    <t>5 - Fatality</t>
  </si>
  <si>
    <t>5 - Certain</t>
  </si>
  <si>
    <t>4 - Likely</t>
  </si>
  <si>
    <t>3 - Possible</t>
  </si>
  <si>
    <t>2 - Unlikely</t>
  </si>
  <si>
    <t>1 - Rare</t>
  </si>
  <si>
    <t>Risk Rating = Risk before controls are applied</t>
  </si>
  <si>
    <t>Residual Risk Rating = Risk after controls have been considered and implemented</t>
  </si>
  <si>
    <t>Risk Level Key:</t>
  </si>
  <si>
    <t>1-4</t>
  </si>
  <si>
    <t>Acceptable risk. Monitor and review.</t>
  </si>
  <si>
    <t>5-9</t>
  </si>
  <si>
    <t>Tolerable with controls. Monitor closely.</t>
  </si>
  <si>
    <t>10-15</t>
  </si>
  <si>
    <t>Significant risk. Additional controls required before proceeding.</t>
  </si>
  <si>
    <t>16-25</t>
  </si>
  <si>
    <t>Unacceptable. Do not proceed without senior management approval and additional controls.</t>
  </si>
  <si>
    <t>HIERARCHY OF CONTROLS</t>
  </si>
  <si>
    <t>Priority</t>
  </si>
  <si>
    <t>Control Type</t>
  </si>
  <si>
    <t>Description</t>
  </si>
  <si>
    <t>1</t>
  </si>
  <si>
    <t>Elimination</t>
  </si>
  <si>
    <t>Remove the hazard entirely from the workplace.</t>
  </si>
  <si>
    <t>2</t>
  </si>
  <si>
    <t>Substitution</t>
  </si>
  <si>
    <t>Replace the hazard with something less dangerous.</t>
  </si>
  <si>
    <t>3</t>
  </si>
  <si>
    <t>Engineering Controls</t>
  </si>
  <si>
    <t>Isolate people from the hazard through physical means.</t>
  </si>
  <si>
    <t>4</t>
  </si>
  <si>
    <t>Administrative Controls</t>
  </si>
  <si>
    <t>Change the way people work through procedures, training, signage.</t>
  </si>
  <si>
    <t>5</t>
  </si>
  <si>
    <t>PPE</t>
  </si>
  <si>
    <t>Protect individuals with personal protective equipment.</t>
  </si>
  <si>
    <t>RISK ASSESSMENT</t>
  </si>
  <si>
    <t>Ref</t>
  </si>
  <si>
    <t>Hazard</t>
  </si>
  <si>
    <t>Risk Description</t>
  </si>
  <si>
    <t>Persons at Risk</t>
  </si>
  <si>
    <t>Risk Rating</t>
  </si>
  <si>
    <t>Implemented Controls</t>
  </si>
  <si>
    <t>Residual Likelihood</t>
  </si>
  <si>
    <t>Residual Severity</t>
  </si>
  <si>
    <t>Residual Risk</t>
  </si>
  <si>
    <t>Status</t>
  </si>
  <si>
    <t>CL-001</t>
  </si>
  <si>
    <t>Swinging craft during launch/recovery</t>
  </si>
  <si>
    <t>Craft swinging on davit or crane during launch or recovery may strike personnel, causing crush injuries, fractures, or fatality.</t>
  </si>
  <si>
    <t>Security Team / Crew</t>
  </si>
  <si>
    <t>Minimise personnel in area of davit/crane operation.
All personnel wear safety or combat helmets during operations.
Tag lines used to control craft swing.
Launch/recovery only conducted by trained and competent personnel.
Operations halted in excessive wind or sea state.</t>
  </si>
  <si>
    <t>Open</t>
  </si>
  <si>
    <t>CL-002</t>
  </si>
  <si>
    <t>Swinging davit/crane hooks</t>
  </si>
  <si>
    <t>Unsecured crane or davit hooks may swing and strike personnel during rigging or lifting operations, causing head or body injuries.</t>
  </si>
  <si>
    <t>All personnel in lifting area wear helmets.
Hooks controlled by tag lines.
Minimum personnel in lifting zone.
Hook safety latches removed only where operationally required (documented risk acceptance).
Lifting operations supervised by designated competent person.</t>
  </si>
  <si>
    <t>CL-003</t>
  </si>
  <si>
    <t>Man overboard during launch/recovery</t>
  </si>
  <si>
    <t>Personnel may fall overboard during craft launch, recovery, or boarding, risking drowning, hypothermia, or propeller injury.</t>
  </si>
  <si>
    <t>All personnel wear lifejackets during launch and recovery.
Minimum personnel at deck edge.
MOB drill rehearsed and equipment positioned at launch point.
Rescue boat on standby where practicable.
Dedicated safety observer during all operations.
Kill cord worn by coxswain at all times.</t>
  </si>
  <si>
    <t>CL-004</t>
  </si>
  <si>
    <t>Crane/davit overload</t>
  </si>
  <si>
    <t>Exceeding crane or davit safe working load may cause mechanical failure, dropping the craft, or structural damage to vessel.</t>
  </si>
  <si>
    <t>Davit/crane safe working load clearly marked and known to operators.
Standard lift weights calculated and recorded.
Craft not loaded with stores or equipment when being craned.
Davit/crane inspected and maintained per vessel schedule.
Overload prevention briefed to all operators.</t>
  </si>
  <si>
    <t>CL-005</t>
  </si>
  <si>
    <t>Craft falling from davit/cradle</t>
  </si>
  <si>
    <t>Mechanical failure, incorrect rigging, or securing failure may cause the craft to fall from its davit or cradle, causing crush injuries or damage.</t>
  </si>
  <si>
    <t>No personnel in or under craft during craning operations.
Cradle and securing arrangements inspected before each use.
Davit locks and pins checked before operations.
Craft secured with additional straps in heavy weather.
Defects reported immediately and operations halted until resolved.</t>
  </si>
  <si>
    <t>CL-006</t>
  </si>
  <si>
    <t>Slips, trips, and falls on deck</t>
  </si>
  <si>
    <t>Wet, oily, or cluttered deck surfaces near the launch area may cause slips, trips, or falls resulting in injury.</t>
  </si>
  <si>
    <t>Deck area cleared of loose equipment before operations.
Non-slip footwear mandatory.
Spills cleaned immediately.
Adequate lighting at launch area.
Personnel briefed on deck hazards before operations commence.</t>
  </si>
  <si>
    <t>CL-007</t>
  </si>
  <si>
    <t>Dangerous machinery – davit/winch mechanisms</t>
  </si>
  <si>
    <t>Contact with davit motors, winch drums, wire ropes, or moving parts may cause entanglement, crush injuries, or severed fingers.</t>
  </si>
  <si>
    <t>Only qualified personnel operate davit and winch machinery.
Guards and safety devices maintained on all equipment.
Keep clear zones marked around moving parts.
Emergency stop accessible during operations.
PPE worn including gloves and safety footwear.</t>
  </si>
  <si>
    <t>CL-008</t>
  </si>
  <si>
    <t>Sea state – launch in adverse conditions</t>
  </si>
  <si>
    <t>Launching or recovering craft in rough seas may cause craft damage, personnel injury, capsize, or failed recovery.</t>
  </si>
  <si>
    <t>Security Team / Crew / Coxswain</t>
  </si>
  <si>
    <t>Go/No-Go criteria established based on sea state and wind.
Master and Coxswain jointly agree conditions safe before launch.
Operations postponed if conditions exceed limits.
Continuous weather monitoring during waterborne operations.
Painter held firm during launch to prevent drift.</t>
  </si>
  <si>
    <t>CL-009</t>
  </si>
  <si>
    <t>Loading/unloading equipment to craft</t>
  </si>
  <si>
    <t>Transferring weapons, stores, and equipment to/from craft at deck edge may cause items to fall, personnel to overbalance, or crush injuries.</t>
  </si>
  <si>
    <t>All loading conducted at deck edge with safety barriers where possible.
Personnel wear lifejackets and helmets during loading.
Coxswain controls loading sequence and weight distribution.
Equipment passed hand-to-hand or via tag line – never thrown.
Deck area below cleared during overhead lifts.</t>
  </si>
  <si>
    <t>CL-010</t>
  </si>
  <si>
    <t>RHIB capsize</t>
  </si>
  <si>
    <t>Craft capsizing due to overloading, wave action, or operator error may result in drowning, hypothermia, or personnel trapped under craft.</t>
  </si>
  <si>
    <t>Maximum capacity clearly marked and enforced.
Coxswain trained in capsize prevention and recovery.
Lifejackets worn by all personnel.
Sea state assessed before and during operations.
Capsize drill conducted during training.</t>
  </si>
  <si>
    <t>CL-011</t>
  </si>
  <si>
    <t>Engine failure during waterborne operations</t>
  </si>
  <si>
    <t>RHIB engine failure while waterborne may leave craft drifting, exposed to collision risk, or unable to return to mothership.</t>
  </si>
  <si>
    <t>Pre-use engine checks before every operation.
Routine maintenance schedule in place.
Backup propulsion or oars carried.
VHF communications maintained with mothership.
Recovery plan established for disabled craft.</t>
  </si>
  <si>
    <t>CL-012</t>
  </si>
  <si>
    <t>Propeller injury</t>
  </si>
  <si>
    <t>Personnel in the water near craft propellers may suffer severe laceration, amputation, or fatal injury from rotating blades.</t>
  </si>
  <si>
    <t>Engines to neutral/stop on any MOB alarm.
Kill cord worn by coxswain at all times.
No swimming near craft when engines running.
Personnel kept clear of stern during operations.
Propeller guard fitted where practicable.</t>
  </si>
  <si>
    <t>CL-013</t>
  </si>
  <si>
    <t>Noise exposure during operations</t>
  </si>
  <si>
    <t>Prolonged exposure to engine noise during RHIB operations may cause hearing damage or tinnitus.</t>
  </si>
  <si>
    <t>Security Team / Coxswain</t>
  </si>
  <si>
    <t>Hearing protection available for extended operations.
Coxswain rotation to limit continuous exposure.
Personnel briefed on noise hazards.
Engine maintenance includes exhaust and silencer checks.</t>
  </si>
  <si>
    <t>CL-014</t>
  </si>
  <si>
    <t>Lack of client crew awareness</t>
  </si>
  <si>
    <t>Client vessel crew unfamiliar with launch operations may enter danger zones, interfere with equipment, or fail to assist when required.</t>
  </si>
  <si>
    <t>Security Team / Vessel Crew</t>
  </si>
  <si>
    <t>Client crew briefed on launch operations during induction.
Exclusion zone marked during operations.
Client crew not permitted in launch area without authorisation.
Vessel Master informed before all launch/recovery operations.
Non-compliance reported and addressed.</t>
  </si>
  <si>
    <t>TASK APPROVAL – THIS RISK ASSESSMENT MUST BE REVIEWED AND SIGNED OFF BEFORE OPERATIONS COMMENCE</t>
  </si>
  <si>
    <t>Reviewed by:</t>
  </si>
  <si>
    <t>Signature:</t>
  </si>
  <si>
    <t>Date:</t>
  </si>
  <si>
    <t>Approved by (Group Compliance Director):</t>
  </si>
  <si>
    <t>Briefed to Team –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</si>
</sst>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b/>
      <sz val="9"/>
      <name val="Aptos"/>
      <charset val="1"/>
    </font>
    <font>
      <b/>
      <sz val="9"/>
      <color rgb="FF9C0006"/>
      <name val="Aptos"/>
      <charset val="1"/>
    </font>
    <font>
      <b/>
      <sz val="9"/>
      <color rgb="FF9C5700"/>
      <name val="Aptos"/>
      <charset val="1"/>
    </font>
    <font>
      <b/>
      <sz val="9"/>
      <color rgb="FF006100"/>
      <name val="Aptos"/>
      <charset val="1"/>
    </font>
    <font>
      <b/>
      <sz val="11"/>
      <color rgb="FF003C72"/>
      <name val="Aptos"/>
      <charset val="1"/>
    </font>
    <font>
      <sz val="9"/>
      <name val="Aptos"/>
      <charset val="1"/>
    </font>
    <font>
      <b/>
      <sz val="8"/>
      <color rgb="FFFFFFFF"/>
      <name val="Aptos"/>
      <charset val="1"/>
    </font>
  </fonts>
  <fills count="8">
    <fill>
      <patternFill patternType="none"/>
    </fill>
    <fill>
      <patternFill patternType="gray125"/>
    </fill>
    <fill>
      <patternFill patternType="solid">
        <fgColor rgb="FF003C72"/>
        <bgColor rgb="FF333399"/>
      </patternFill>
    </fill>
    <fill>
      <patternFill patternType="solid">
        <fgColor rgb="FFC00000"/>
        <bgColor rgb="FF9C0006"/>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E6EDF5"/>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indexed="64"/>
      </right>
      <top/>
      <bottom/>
      <diagonal/>
    </border>
  </borders>
  <cellStyleXfs count="1">
    <xf numFmtId="0" fontId="0" fillId="0" borderId="0"/>
  </cellStyleXfs>
  <cellXfs count="37">
    <xf numFmtId="0" fontId="0" fillId="0" borderId="0" xfId="0"/>
    <xf numFmtId="0" fontId="4" fillId="0" borderId="3" xfId="0" applyFont="1" applyBorder="1"/>
    <xf numFmtId="0" fontId="3" fillId="2" borderId="0" xfId="0" applyFont="1" applyFill="1" applyAlignment="1">
      <alignment horizontal="center" vertical="center" wrapText="1"/>
    </xf>
    <xf numFmtId="0" fontId="3" fillId="2" borderId="3" xfId="0" applyFont="1" applyFill="1" applyBorder="1" applyAlignment="1">
      <alignment horizontal="center" vertical="center" wrapText="1"/>
    </xf>
    <xf numFmtId="0" fontId="9" fillId="0" borderId="3" xfId="0" applyFont="1" applyBorder="1" applyAlignment="1">
      <alignment horizontal="left" vertical="center" wrapText="1"/>
    </xf>
    <xf numFmtId="0" fontId="3" fillId="2" borderId="1" xfId="0" applyFont="1" applyFill="1" applyBorder="1" applyAlignment="1">
      <alignment horizontal="center" vertical="center" wrapText="1"/>
    </xf>
    <xf numFmtId="0" fontId="4" fillId="0" borderId="0" xfId="0" applyFont="1"/>
    <xf numFmtId="0" fontId="9" fillId="0" borderId="0" xfId="0" applyFont="1" applyAlignment="1">
      <alignment horizontal="left" vertical="center" wrapText="1"/>
    </xf>
    <xf numFmtId="0" fontId="2" fillId="0" borderId="0" xfId="0" applyFont="1" applyAlignment="1">
      <alignment vertical="center"/>
    </xf>
    <xf numFmtId="0" fontId="3" fillId="2" borderId="2" xfId="0" applyFont="1" applyFill="1" applyBorder="1" applyAlignment="1">
      <alignment horizontal="left" vertical="center" wrapText="1"/>
    </xf>
    <xf numFmtId="0" fontId="9" fillId="0" borderId="1" xfId="0" applyFont="1" applyBorder="1" applyAlignment="1">
      <alignment horizontal="left" vertical="center" wrapText="1"/>
    </xf>
    <xf numFmtId="0" fontId="1" fillId="0" borderId="0" xfId="0" applyFont="1" applyAlignment="1">
      <alignment vertical="center"/>
    </xf>
    <xf numFmtId="0" fontId="0" fillId="0" borderId="0" xfId="0"/>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9" fillId="0" borderId="3" xfId="0" applyFont="1" applyBorder="1"/>
    <xf numFmtId="0" fontId="0" fillId="0" borderId="0" xfId="0" applyBorder="1"/>
    <xf numFmtId="0" fontId="0" fillId="0" borderId="4" xfId="0" applyBorder="1"/>
    <xf numFmtId="0" fontId="9" fillId="0" borderId="1" xfId="0" applyFont="1" applyBorder="1"/>
  </cellXfs>
  <cellStyles count="1">
    <cellStyle name="Normal" xfId="0" builtinId="0"/>
  </cellStyles>
  <dxfs count="24">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69696"/>
      <rgbColor rgb="FF003C72"/>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414360</xdr:colOff>
      <xdr:row>0</xdr:row>
      <xdr:rowOff>647280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1380960</xdr:colOff>
      <xdr:row>0</xdr:row>
      <xdr:rowOff>647280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1552320</xdr:colOff>
      <xdr:row>0</xdr:row>
      <xdr:rowOff>647280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706680</xdr:colOff>
      <xdr:row>0</xdr:row>
      <xdr:rowOff>647280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tabSelected="1" zoomScaleNormal="100" workbookViewId="0">
      <selection activeCell="B21" sqref="B21"/>
    </sheetView>
  </sheetViews>
  <sheetFormatPr defaultColWidth="8.7109375" defaultRowHeight="15" x14ac:dyDescent="0.25"/>
  <cols>
    <col min="1" max="1" width="21.140625" customWidth="1"/>
    <col min="2" max="2" width="30.5703125" customWidth="1"/>
    <col min="3" max="3" width="14.140625" customWidth="1"/>
    <col min="4" max="4" width="68.28515625" customWidth="1"/>
  </cols>
  <sheetData>
    <row r="1" spans="1:6" ht="75.75" customHeight="1" x14ac:dyDescent="0.25">
      <c r="A1" s="12"/>
      <c r="B1" s="12"/>
      <c r="C1" s="12"/>
    </row>
    <row r="2" spans="1:6" ht="26.25" customHeight="1" x14ac:dyDescent="0.25">
      <c r="A2" s="11" t="s">
        <v>38</v>
      </c>
      <c r="B2" s="11"/>
      <c r="C2" s="11"/>
      <c r="D2" s="11"/>
      <c r="E2" s="11"/>
      <c r="F2" s="11"/>
    </row>
    <row r="4" spans="1:6" ht="15.75" customHeight="1" x14ac:dyDescent="0.25">
      <c r="A4" s="29" t="s">
        <v>39</v>
      </c>
    </row>
    <row r="6" spans="1:6" ht="15.75" customHeight="1" x14ac:dyDescent="0.25">
      <c r="A6" s="27" t="s">
        <v>40</v>
      </c>
      <c r="B6" s="28" t="s">
        <v>41</v>
      </c>
      <c r="C6" s="30" t="s">
        <v>42</v>
      </c>
      <c r="D6" s="28" t="s">
        <v>43</v>
      </c>
    </row>
    <row r="7" spans="1:6" ht="38.25" customHeight="1" x14ac:dyDescent="0.25">
      <c r="A7" s="27" t="s">
        <v>44</v>
      </c>
      <c r="B7" s="10" t="s">
        <v>45</v>
      </c>
      <c r="C7" s="10"/>
      <c r="D7" s="10"/>
    </row>
    <row r="8" spans="1:6" ht="15.75" customHeight="1" x14ac:dyDescent="0.25">
      <c r="A8" s="27" t="s">
        <v>34</v>
      </c>
      <c r="B8" s="10" t="s">
        <v>35</v>
      </c>
      <c r="C8" s="10"/>
      <c r="D8" s="10"/>
    </row>
    <row r="9" spans="1:6" ht="15.75" customHeight="1" x14ac:dyDescent="0.25">
      <c r="A9" s="27" t="s">
        <v>46</v>
      </c>
      <c r="B9" s="10" t="s">
        <v>47</v>
      </c>
      <c r="C9" s="10"/>
      <c r="D9" s="10"/>
    </row>
    <row r="10" spans="1:6" ht="15.75" customHeight="1" x14ac:dyDescent="0.25">
      <c r="A10" s="27" t="s">
        <v>30</v>
      </c>
      <c r="B10" s="10" t="s">
        <v>31</v>
      </c>
      <c r="C10" s="10"/>
      <c r="D10" s="10"/>
    </row>
    <row r="11" spans="1:6" ht="30" customHeight="1" x14ac:dyDescent="0.25">
      <c r="A11" s="9" t="s">
        <v>48</v>
      </c>
      <c r="B11" s="10" t="s">
        <v>49</v>
      </c>
      <c r="C11" s="10"/>
      <c r="D11" s="10"/>
    </row>
    <row r="12" spans="1:6" ht="30" customHeight="1" x14ac:dyDescent="0.25">
      <c r="A12" s="9"/>
      <c r="B12" s="10" t="s">
        <v>50</v>
      </c>
      <c r="C12" s="10"/>
      <c r="D12" s="10"/>
    </row>
    <row r="13" spans="1:6" ht="30" customHeight="1" x14ac:dyDescent="0.25">
      <c r="A13" s="9"/>
      <c r="B13" s="10" t="s">
        <v>51</v>
      </c>
      <c r="C13" s="10"/>
      <c r="D13" s="10"/>
    </row>
    <row r="14" spans="1:6" ht="30" customHeight="1" x14ac:dyDescent="0.25">
      <c r="A14" s="9"/>
      <c r="B14" s="10" t="s">
        <v>52</v>
      </c>
      <c r="C14" s="10"/>
      <c r="D14" s="10"/>
    </row>
    <row r="15" spans="1:6" ht="15.75" customHeight="1" x14ac:dyDescent="0.25">
      <c r="A15" s="27" t="s">
        <v>32</v>
      </c>
      <c r="B15" s="10" t="s">
        <v>33</v>
      </c>
      <c r="C15" s="10"/>
      <c r="D15" s="10"/>
    </row>
    <row r="17" spans="1:4" ht="15.75" x14ac:dyDescent="0.25">
      <c r="A17" s="8" t="s">
        <v>53</v>
      </c>
      <c r="B17" s="8"/>
      <c r="C17" s="8"/>
      <c r="D17" s="8"/>
    </row>
    <row r="18" spans="1:4" ht="28.5" customHeight="1" x14ac:dyDescent="0.25">
      <c r="A18" s="7" t="s">
        <v>54</v>
      </c>
      <c r="B18" s="7"/>
      <c r="C18" s="7"/>
      <c r="D18" s="7"/>
    </row>
    <row r="19" spans="1:4" ht="28.5" customHeight="1" x14ac:dyDescent="0.25">
      <c r="A19" s="7" t="s">
        <v>55</v>
      </c>
      <c r="B19" s="7"/>
      <c r="C19" s="7"/>
      <c r="D19" s="7"/>
    </row>
    <row r="20" spans="1:4" ht="32.25" customHeight="1" x14ac:dyDescent="0.25">
      <c r="A20" s="7" t="s">
        <v>56</v>
      </c>
      <c r="B20" s="7"/>
      <c r="C20" s="7"/>
      <c r="D20" s="7"/>
    </row>
    <row r="22" spans="1:4" ht="15.75" x14ac:dyDescent="0.25">
      <c r="A22" s="13" t="s">
        <v>57</v>
      </c>
      <c r="B22" s="13"/>
      <c r="C22" s="13"/>
      <c r="D22" s="13"/>
    </row>
    <row r="23" spans="1:4" ht="60" customHeight="1" x14ac:dyDescent="0.25">
      <c r="A23" s="7" t="s">
        <v>45</v>
      </c>
      <c r="B23" s="7"/>
      <c r="C23" s="7"/>
      <c r="D23" s="7"/>
    </row>
  </sheetData>
  <mergeCells count="18">
    <mergeCell ref="A22:D22"/>
    <mergeCell ref="A23:D23"/>
    <mergeCell ref="B15:D15"/>
    <mergeCell ref="A17:D17"/>
    <mergeCell ref="A18:D18"/>
    <mergeCell ref="A19:D19"/>
    <mergeCell ref="A20:D20"/>
    <mergeCell ref="B10:D10"/>
    <mergeCell ref="A11:A14"/>
    <mergeCell ref="B11:D11"/>
    <mergeCell ref="B12:D12"/>
    <mergeCell ref="B13:D13"/>
    <mergeCell ref="B14:D14"/>
    <mergeCell ref="A1:C1"/>
    <mergeCell ref="A2:F2"/>
    <mergeCell ref="B7:D7"/>
    <mergeCell ref="B8:D8"/>
    <mergeCell ref="B9:D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9"/>
  <sheetViews>
    <sheetView showGridLines="0" topLeftCell="A11" zoomScaleNormal="100" workbookViewId="0">
      <selection activeCell="D29" sqref="D22:H29"/>
    </sheetView>
  </sheetViews>
  <sheetFormatPr defaultColWidth="8.7109375" defaultRowHeight="15" x14ac:dyDescent="0.25"/>
  <cols>
    <col min="1" max="1" width="7.42578125" customWidth="1"/>
    <col min="2" max="2" width="31.140625" customWidth="1"/>
    <col min="3" max="3" width="55.85546875" customWidth="1"/>
    <col min="4" max="4" width="16.42578125" customWidth="1"/>
    <col min="5" max="5" width="10" customWidth="1"/>
    <col min="6" max="6" width="13" customWidth="1"/>
    <col min="7" max="7" width="13.28515625" customWidth="1"/>
    <col min="8" max="8" width="13" customWidth="1"/>
    <col min="9" max="9" width="51.140625" customWidth="1"/>
    <col min="10" max="10" width="13.42578125" customWidth="1"/>
    <col min="11" max="11" width="11.7109375" customWidth="1"/>
    <col min="12" max="13" width="13" customWidth="1"/>
    <col min="14" max="14" width="9.140625" customWidth="1"/>
  </cols>
  <sheetData>
    <row r="1" spans="1:14" ht="75.75" customHeight="1" x14ac:dyDescent="0.25"/>
    <row r="2" spans="1:14" ht="26.25" customHeight="1" x14ac:dyDescent="0.4">
      <c r="A2" s="14" t="s">
        <v>114</v>
      </c>
      <c r="B2" s="14"/>
      <c r="C2" s="14"/>
      <c r="D2" s="14"/>
      <c r="E2" s="14"/>
      <c r="F2" s="14"/>
      <c r="G2" s="14"/>
      <c r="H2" s="14"/>
      <c r="I2" s="14"/>
      <c r="J2" s="14"/>
      <c r="K2" s="14"/>
      <c r="L2" s="14"/>
      <c r="M2" s="14"/>
      <c r="N2" s="14"/>
    </row>
    <row r="4" spans="1:14" ht="24" customHeight="1" x14ac:dyDescent="0.25">
      <c r="A4" s="16" t="s">
        <v>115</v>
      </c>
      <c r="B4" s="16" t="s">
        <v>116</v>
      </c>
      <c r="C4" s="16" t="s">
        <v>117</v>
      </c>
      <c r="D4" s="16" t="s">
        <v>118</v>
      </c>
      <c r="E4" s="16" t="s">
        <v>60</v>
      </c>
      <c r="F4" s="16" t="s">
        <v>61</v>
      </c>
      <c r="G4" s="16" t="s">
        <v>119</v>
      </c>
      <c r="H4" s="16" t="s">
        <v>8</v>
      </c>
      <c r="I4" s="16" t="s">
        <v>120</v>
      </c>
      <c r="J4" s="16" t="s">
        <v>121</v>
      </c>
      <c r="K4" s="16" t="s">
        <v>122</v>
      </c>
      <c r="L4" s="16" t="s">
        <v>123</v>
      </c>
      <c r="M4" s="16" t="s">
        <v>8</v>
      </c>
      <c r="N4" s="16" t="s">
        <v>124</v>
      </c>
    </row>
    <row r="5" spans="1:14" ht="81" customHeight="1" x14ac:dyDescent="0.25">
      <c r="A5" s="19" t="s">
        <v>125</v>
      </c>
      <c r="B5" s="25" t="s">
        <v>126</v>
      </c>
      <c r="C5" s="28" t="s">
        <v>127</v>
      </c>
      <c r="D5" s="31" t="s">
        <v>128</v>
      </c>
      <c r="E5" s="19">
        <v>3</v>
      </c>
      <c r="F5" s="19">
        <v>5</v>
      </c>
      <c r="G5" s="19">
        <f t="shared" ref="G5:G18" si="0">E5*F5</f>
        <v>15</v>
      </c>
      <c r="H5" s="19" t="str">
        <f t="shared" ref="H5:H18" si="1">IF(G5&lt;=4,"Low",IF(G5&lt;=9,"Medium",IF(G5&lt;=15,"High","Critical")))</f>
        <v>High</v>
      </c>
      <c r="I5" s="28" t="s">
        <v>129</v>
      </c>
      <c r="J5" s="19">
        <v>1</v>
      </c>
      <c r="K5" s="19">
        <v>5</v>
      </c>
      <c r="L5" s="19">
        <f t="shared" ref="L5:L18" si="2">J5*K5</f>
        <v>5</v>
      </c>
      <c r="M5" s="19" t="str">
        <f t="shared" ref="M5:M18" si="3">IF(L5="","",IF(L5&lt;=4,"Low",IF(L5&lt;=9,"Medium",IF(L5&lt;=15,"High","Critical"))))</f>
        <v>Medium</v>
      </c>
      <c r="N5" s="31" t="s">
        <v>130</v>
      </c>
    </row>
    <row r="6" spans="1:14" ht="81" customHeight="1" x14ac:dyDescent="0.25">
      <c r="A6" s="19" t="s">
        <v>131</v>
      </c>
      <c r="B6" s="25" t="s">
        <v>132</v>
      </c>
      <c r="C6" s="28" t="s">
        <v>133</v>
      </c>
      <c r="D6" s="31" t="s">
        <v>128</v>
      </c>
      <c r="E6" s="19">
        <v>2</v>
      </c>
      <c r="F6" s="19">
        <v>5</v>
      </c>
      <c r="G6" s="19">
        <f t="shared" si="0"/>
        <v>10</v>
      </c>
      <c r="H6" s="19" t="str">
        <f t="shared" si="1"/>
        <v>High</v>
      </c>
      <c r="I6" s="28" t="s">
        <v>134</v>
      </c>
      <c r="J6" s="19">
        <v>1</v>
      </c>
      <c r="K6" s="19">
        <v>5</v>
      </c>
      <c r="L6" s="19">
        <f t="shared" si="2"/>
        <v>5</v>
      </c>
      <c r="M6" s="19" t="str">
        <f t="shared" si="3"/>
        <v>Medium</v>
      </c>
      <c r="N6" s="31" t="s">
        <v>130</v>
      </c>
    </row>
    <row r="7" spans="1:14" ht="93.75" customHeight="1" x14ac:dyDescent="0.25">
      <c r="A7" s="19" t="s">
        <v>135</v>
      </c>
      <c r="B7" s="25" t="s">
        <v>136</v>
      </c>
      <c r="C7" s="28" t="s">
        <v>137</v>
      </c>
      <c r="D7" s="31" t="s">
        <v>128</v>
      </c>
      <c r="E7" s="19">
        <v>2</v>
      </c>
      <c r="F7" s="19">
        <v>5</v>
      </c>
      <c r="G7" s="19">
        <f t="shared" si="0"/>
        <v>10</v>
      </c>
      <c r="H7" s="19" t="str">
        <f t="shared" si="1"/>
        <v>High</v>
      </c>
      <c r="I7" s="28" t="s">
        <v>138</v>
      </c>
      <c r="J7" s="19">
        <v>1</v>
      </c>
      <c r="K7" s="19">
        <v>5</v>
      </c>
      <c r="L7" s="19">
        <f t="shared" si="2"/>
        <v>5</v>
      </c>
      <c r="M7" s="19" t="str">
        <f t="shared" si="3"/>
        <v>Medium</v>
      </c>
      <c r="N7" s="31" t="s">
        <v>130</v>
      </c>
    </row>
    <row r="8" spans="1:14" ht="81" customHeight="1" x14ac:dyDescent="0.25">
      <c r="A8" s="19" t="s">
        <v>139</v>
      </c>
      <c r="B8" s="25" t="s">
        <v>140</v>
      </c>
      <c r="C8" s="28" t="s">
        <v>141</v>
      </c>
      <c r="D8" s="31" t="s">
        <v>128</v>
      </c>
      <c r="E8" s="19">
        <v>2</v>
      </c>
      <c r="F8" s="19">
        <v>5</v>
      </c>
      <c r="G8" s="19">
        <f t="shared" si="0"/>
        <v>10</v>
      </c>
      <c r="H8" s="19" t="str">
        <f t="shared" si="1"/>
        <v>High</v>
      </c>
      <c r="I8" s="28" t="s">
        <v>142</v>
      </c>
      <c r="J8" s="19">
        <v>1</v>
      </c>
      <c r="K8" s="19">
        <v>5</v>
      </c>
      <c r="L8" s="19">
        <f t="shared" si="2"/>
        <v>5</v>
      </c>
      <c r="M8" s="19" t="str">
        <f t="shared" si="3"/>
        <v>Medium</v>
      </c>
      <c r="N8" s="31" t="s">
        <v>130</v>
      </c>
    </row>
    <row r="9" spans="1:14" ht="81" customHeight="1" x14ac:dyDescent="0.25">
      <c r="A9" s="19" t="s">
        <v>143</v>
      </c>
      <c r="B9" s="25" t="s">
        <v>144</v>
      </c>
      <c r="C9" s="28" t="s">
        <v>145</v>
      </c>
      <c r="D9" s="31" t="s">
        <v>128</v>
      </c>
      <c r="E9" s="19">
        <v>1</v>
      </c>
      <c r="F9" s="19">
        <v>5</v>
      </c>
      <c r="G9" s="19">
        <f t="shared" si="0"/>
        <v>5</v>
      </c>
      <c r="H9" s="19" t="str">
        <f t="shared" si="1"/>
        <v>Medium</v>
      </c>
      <c r="I9" s="28" t="s">
        <v>146</v>
      </c>
      <c r="J9" s="19">
        <v>1</v>
      </c>
      <c r="K9" s="19">
        <v>5</v>
      </c>
      <c r="L9" s="19">
        <f t="shared" si="2"/>
        <v>5</v>
      </c>
      <c r="M9" s="19" t="str">
        <f t="shared" si="3"/>
        <v>Medium</v>
      </c>
      <c r="N9" s="31" t="s">
        <v>130</v>
      </c>
    </row>
    <row r="10" spans="1:14" ht="81" customHeight="1" x14ac:dyDescent="0.25">
      <c r="A10" s="19" t="s">
        <v>147</v>
      </c>
      <c r="B10" s="25" t="s">
        <v>148</v>
      </c>
      <c r="C10" s="28" t="s">
        <v>149</v>
      </c>
      <c r="D10" s="31" t="s">
        <v>128</v>
      </c>
      <c r="E10" s="19">
        <v>3</v>
      </c>
      <c r="F10" s="19">
        <v>4</v>
      </c>
      <c r="G10" s="19">
        <f t="shared" si="0"/>
        <v>12</v>
      </c>
      <c r="H10" s="19" t="str">
        <f t="shared" si="1"/>
        <v>High</v>
      </c>
      <c r="I10" s="28" t="s">
        <v>150</v>
      </c>
      <c r="J10" s="19">
        <v>1</v>
      </c>
      <c r="K10" s="19">
        <v>4</v>
      </c>
      <c r="L10" s="19">
        <f t="shared" si="2"/>
        <v>4</v>
      </c>
      <c r="M10" s="19" t="str">
        <f t="shared" si="3"/>
        <v>Low</v>
      </c>
      <c r="N10" s="31" t="s">
        <v>130</v>
      </c>
    </row>
    <row r="11" spans="1:14" ht="81" customHeight="1" x14ac:dyDescent="0.25">
      <c r="A11" s="19" t="s">
        <v>151</v>
      </c>
      <c r="B11" s="25" t="s">
        <v>152</v>
      </c>
      <c r="C11" s="28" t="s">
        <v>153</v>
      </c>
      <c r="D11" s="31" t="s">
        <v>128</v>
      </c>
      <c r="E11" s="19">
        <v>1</v>
      </c>
      <c r="F11" s="19">
        <v>5</v>
      </c>
      <c r="G11" s="19">
        <f t="shared" si="0"/>
        <v>5</v>
      </c>
      <c r="H11" s="19" t="str">
        <f t="shared" si="1"/>
        <v>Medium</v>
      </c>
      <c r="I11" s="28" t="s">
        <v>154</v>
      </c>
      <c r="J11" s="19">
        <v>1</v>
      </c>
      <c r="K11" s="19">
        <v>5</v>
      </c>
      <c r="L11" s="19">
        <f t="shared" si="2"/>
        <v>5</v>
      </c>
      <c r="M11" s="19" t="str">
        <f t="shared" si="3"/>
        <v>Medium</v>
      </c>
      <c r="N11" s="31" t="s">
        <v>130</v>
      </c>
    </row>
    <row r="12" spans="1:14" ht="81" customHeight="1" x14ac:dyDescent="0.25">
      <c r="A12" s="19" t="s">
        <v>155</v>
      </c>
      <c r="B12" s="25" t="s">
        <v>156</v>
      </c>
      <c r="C12" s="28" t="s">
        <v>157</v>
      </c>
      <c r="D12" s="31" t="s">
        <v>158</v>
      </c>
      <c r="E12" s="19">
        <v>3</v>
      </c>
      <c r="F12" s="19">
        <v>5</v>
      </c>
      <c r="G12" s="19">
        <f t="shared" si="0"/>
        <v>15</v>
      </c>
      <c r="H12" s="19" t="str">
        <f t="shared" si="1"/>
        <v>High</v>
      </c>
      <c r="I12" s="28" t="s">
        <v>159</v>
      </c>
      <c r="J12" s="19">
        <v>1</v>
      </c>
      <c r="K12" s="19">
        <v>5</v>
      </c>
      <c r="L12" s="19">
        <f t="shared" si="2"/>
        <v>5</v>
      </c>
      <c r="M12" s="19" t="str">
        <f t="shared" si="3"/>
        <v>Medium</v>
      </c>
      <c r="N12" s="31" t="s">
        <v>130</v>
      </c>
    </row>
    <row r="13" spans="1:14" ht="81" customHeight="1" x14ac:dyDescent="0.25">
      <c r="A13" s="19" t="s">
        <v>160</v>
      </c>
      <c r="B13" s="25" t="s">
        <v>161</v>
      </c>
      <c r="C13" s="28" t="s">
        <v>162</v>
      </c>
      <c r="D13" s="31" t="s">
        <v>128</v>
      </c>
      <c r="E13" s="19">
        <v>3</v>
      </c>
      <c r="F13" s="19">
        <v>4</v>
      </c>
      <c r="G13" s="19">
        <f t="shared" si="0"/>
        <v>12</v>
      </c>
      <c r="H13" s="19" t="str">
        <f t="shared" si="1"/>
        <v>High</v>
      </c>
      <c r="I13" s="28" t="s">
        <v>163</v>
      </c>
      <c r="J13" s="19">
        <v>1</v>
      </c>
      <c r="K13" s="19">
        <v>4</v>
      </c>
      <c r="L13" s="19">
        <f t="shared" si="2"/>
        <v>4</v>
      </c>
      <c r="M13" s="19" t="str">
        <f t="shared" si="3"/>
        <v>Low</v>
      </c>
      <c r="N13" s="31" t="s">
        <v>130</v>
      </c>
    </row>
    <row r="14" spans="1:14" ht="81" customHeight="1" x14ac:dyDescent="0.25">
      <c r="A14" s="19" t="s">
        <v>164</v>
      </c>
      <c r="B14" s="25" t="s">
        <v>165</v>
      </c>
      <c r="C14" s="28" t="s">
        <v>166</v>
      </c>
      <c r="D14" s="31" t="s">
        <v>158</v>
      </c>
      <c r="E14" s="19">
        <v>2</v>
      </c>
      <c r="F14" s="19">
        <v>5</v>
      </c>
      <c r="G14" s="19">
        <f t="shared" si="0"/>
        <v>10</v>
      </c>
      <c r="H14" s="19" t="str">
        <f t="shared" si="1"/>
        <v>High</v>
      </c>
      <c r="I14" s="28" t="s">
        <v>167</v>
      </c>
      <c r="J14" s="19">
        <v>1</v>
      </c>
      <c r="K14" s="19">
        <v>5</v>
      </c>
      <c r="L14" s="19">
        <f t="shared" si="2"/>
        <v>5</v>
      </c>
      <c r="M14" s="19" t="str">
        <f t="shared" si="3"/>
        <v>Medium</v>
      </c>
      <c r="N14" s="31" t="s">
        <v>130</v>
      </c>
    </row>
    <row r="15" spans="1:14" ht="81" customHeight="1" x14ac:dyDescent="0.25">
      <c r="A15" s="19" t="s">
        <v>168</v>
      </c>
      <c r="B15" s="25" t="s">
        <v>169</v>
      </c>
      <c r="C15" s="28" t="s">
        <v>170</v>
      </c>
      <c r="D15" s="31" t="s">
        <v>158</v>
      </c>
      <c r="E15" s="19">
        <v>2</v>
      </c>
      <c r="F15" s="19">
        <v>4</v>
      </c>
      <c r="G15" s="19">
        <f t="shared" si="0"/>
        <v>8</v>
      </c>
      <c r="H15" s="19" t="str">
        <f t="shared" si="1"/>
        <v>Medium</v>
      </c>
      <c r="I15" s="28" t="s">
        <v>171</v>
      </c>
      <c r="J15" s="19">
        <v>1</v>
      </c>
      <c r="K15" s="19">
        <v>4</v>
      </c>
      <c r="L15" s="19">
        <f t="shared" si="2"/>
        <v>4</v>
      </c>
      <c r="M15" s="19" t="str">
        <f t="shared" si="3"/>
        <v>Low</v>
      </c>
      <c r="N15" s="31" t="s">
        <v>130</v>
      </c>
    </row>
    <row r="16" spans="1:14" ht="81" customHeight="1" x14ac:dyDescent="0.25">
      <c r="A16" s="19" t="s">
        <v>172</v>
      </c>
      <c r="B16" s="25" t="s">
        <v>173</v>
      </c>
      <c r="C16" s="28" t="s">
        <v>174</v>
      </c>
      <c r="D16" s="31" t="s">
        <v>128</v>
      </c>
      <c r="E16" s="19">
        <v>2</v>
      </c>
      <c r="F16" s="19">
        <v>5</v>
      </c>
      <c r="G16" s="19">
        <f t="shared" si="0"/>
        <v>10</v>
      </c>
      <c r="H16" s="19" t="str">
        <f t="shared" si="1"/>
        <v>High</v>
      </c>
      <c r="I16" s="28" t="s">
        <v>175</v>
      </c>
      <c r="J16" s="19">
        <v>1</v>
      </c>
      <c r="K16" s="19">
        <v>5</v>
      </c>
      <c r="L16" s="19">
        <f t="shared" si="2"/>
        <v>5</v>
      </c>
      <c r="M16" s="19" t="str">
        <f t="shared" si="3"/>
        <v>Medium</v>
      </c>
      <c r="N16" s="31" t="s">
        <v>130</v>
      </c>
    </row>
    <row r="17" spans="1:14" ht="67.5" customHeight="1" x14ac:dyDescent="0.25">
      <c r="A17" s="19" t="s">
        <v>176</v>
      </c>
      <c r="B17" s="25" t="s">
        <v>177</v>
      </c>
      <c r="C17" s="28" t="s">
        <v>178</v>
      </c>
      <c r="D17" s="31" t="s">
        <v>179</v>
      </c>
      <c r="E17" s="19">
        <v>2</v>
      </c>
      <c r="F17" s="19">
        <v>4</v>
      </c>
      <c r="G17" s="19">
        <f t="shared" si="0"/>
        <v>8</v>
      </c>
      <c r="H17" s="19" t="str">
        <f t="shared" si="1"/>
        <v>Medium</v>
      </c>
      <c r="I17" s="28" t="s">
        <v>180</v>
      </c>
      <c r="J17" s="19">
        <v>1</v>
      </c>
      <c r="K17" s="19">
        <v>4</v>
      </c>
      <c r="L17" s="19">
        <f t="shared" si="2"/>
        <v>4</v>
      </c>
      <c r="M17" s="19" t="str">
        <f t="shared" si="3"/>
        <v>Low</v>
      </c>
      <c r="N17" s="31" t="s">
        <v>130</v>
      </c>
    </row>
    <row r="18" spans="1:14" ht="81" customHeight="1" x14ac:dyDescent="0.25">
      <c r="A18" s="19" t="s">
        <v>181</v>
      </c>
      <c r="B18" s="25" t="s">
        <v>182</v>
      </c>
      <c r="C18" s="28" t="s">
        <v>183</v>
      </c>
      <c r="D18" s="31" t="s">
        <v>184</v>
      </c>
      <c r="E18" s="19">
        <v>2</v>
      </c>
      <c r="F18" s="19">
        <v>4</v>
      </c>
      <c r="G18" s="19">
        <f t="shared" si="0"/>
        <v>8</v>
      </c>
      <c r="H18" s="19" t="str">
        <f t="shared" si="1"/>
        <v>Medium</v>
      </c>
      <c r="I18" s="28" t="s">
        <v>185</v>
      </c>
      <c r="J18" s="19">
        <v>1</v>
      </c>
      <c r="K18" s="19">
        <v>4</v>
      </c>
      <c r="L18" s="19">
        <f t="shared" si="2"/>
        <v>4</v>
      </c>
      <c r="M18" s="19" t="str">
        <f t="shared" si="3"/>
        <v>Low</v>
      </c>
      <c r="N18" s="31" t="s">
        <v>130</v>
      </c>
    </row>
    <row r="21" spans="1:14" ht="15" customHeight="1" x14ac:dyDescent="0.25">
      <c r="A21" s="2" t="s">
        <v>186</v>
      </c>
      <c r="B21" s="2"/>
      <c r="C21" s="2"/>
      <c r="D21" s="2"/>
      <c r="E21" s="2"/>
      <c r="F21" s="2"/>
      <c r="G21" s="2"/>
      <c r="H21" s="2"/>
      <c r="I21" s="2"/>
      <c r="J21" s="2"/>
      <c r="K21" s="2"/>
      <c r="L21" s="2"/>
      <c r="M21" s="2"/>
      <c r="N21" s="2"/>
    </row>
    <row r="22" spans="1:14" x14ac:dyDescent="0.25">
      <c r="D22" s="34"/>
      <c r="E22" s="34"/>
      <c r="F22" s="34"/>
      <c r="G22" s="34"/>
      <c r="H22" s="35"/>
    </row>
    <row r="23" spans="1:14" x14ac:dyDescent="0.25">
      <c r="A23" s="1" t="s">
        <v>187</v>
      </c>
      <c r="B23" s="1"/>
      <c r="C23" s="1"/>
      <c r="D23" s="33"/>
      <c r="E23" s="33"/>
      <c r="F23" s="33"/>
      <c r="G23" s="33"/>
      <c r="H23" s="36"/>
    </row>
    <row r="24" spans="1:14" x14ac:dyDescent="0.25">
      <c r="A24" s="1" t="s">
        <v>188</v>
      </c>
      <c r="B24" s="1"/>
      <c r="C24" s="1"/>
      <c r="D24" s="33"/>
      <c r="E24" s="33"/>
      <c r="F24" s="33"/>
      <c r="G24" s="33"/>
      <c r="H24" s="36"/>
    </row>
    <row r="25" spans="1:14" x14ac:dyDescent="0.25">
      <c r="A25" s="1" t="s">
        <v>189</v>
      </c>
      <c r="B25" s="1"/>
      <c r="C25" s="1"/>
      <c r="D25" s="33"/>
      <c r="E25" s="33"/>
      <c r="F25" s="33"/>
      <c r="G25" s="33"/>
      <c r="H25" s="36"/>
    </row>
    <row r="26" spans="1:14" x14ac:dyDescent="0.25">
      <c r="A26" s="1" t="s">
        <v>190</v>
      </c>
      <c r="B26" s="1"/>
      <c r="C26" s="1"/>
      <c r="D26" s="33"/>
      <c r="E26" s="33"/>
      <c r="F26" s="33"/>
      <c r="G26" s="33"/>
      <c r="H26" s="36"/>
    </row>
    <row r="27" spans="1:14" x14ac:dyDescent="0.25">
      <c r="A27" s="1" t="s">
        <v>188</v>
      </c>
      <c r="B27" s="1"/>
      <c r="C27" s="1"/>
      <c r="D27" s="33"/>
      <c r="E27" s="33"/>
      <c r="F27" s="33"/>
      <c r="G27" s="33"/>
      <c r="H27" s="36"/>
    </row>
    <row r="28" spans="1:14" x14ac:dyDescent="0.25">
      <c r="A28" s="1" t="s">
        <v>189</v>
      </c>
      <c r="B28" s="1"/>
      <c r="C28" s="1"/>
      <c r="D28" s="33"/>
      <c r="E28" s="33"/>
      <c r="F28" s="33"/>
      <c r="G28" s="33"/>
      <c r="H28" s="36"/>
    </row>
    <row r="29" spans="1:14" x14ac:dyDescent="0.25">
      <c r="A29" s="1" t="s">
        <v>191</v>
      </c>
      <c r="B29" s="1"/>
      <c r="C29" s="1"/>
      <c r="D29" s="33"/>
      <c r="E29" s="33"/>
      <c r="F29" s="33"/>
      <c r="G29" s="33"/>
      <c r="H29" s="36"/>
    </row>
  </sheetData>
  <mergeCells count="16">
    <mergeCell ref="A28:C28"/>
    <mergeCell ref="D28:H28"/>
    <mergeCell ref="A29:C29"/>
    <mergeCell ref="D29:H29"/>
    <mergeCell ref="A25:C25"/>
    <mergeCell ref="D25:H25"/>
    <mergeCell ref="A26:C26"/>
    <mergeCell ref="D26:H26"/>
    <mergeCell ref="A27:C27"/>
    <mergeCell ref="D27:H27"/>
    <mergeCell ref="A2:N2"/>
    <mergeCell ref="A21:N21"/>
    <mergeCell ref="A23:C23"/>
    <mergeCell ref="D23:H23"/>
    <mergeCell ref="A24:C24"/>
    <mergeCell ref="D24:H24"/>
  </mergeCells>
  <conditionalFormatting sqref="E5:F18">
    <cfRule type="cellIs" dxfId="23" priority="2" operator="equal">
      <formula>1</formula>
    </cfRule>
    <cfRule type="cellIs" dxfId="22" priority="3" operator="equal">
      <formula>2</formula>
    </cfRule>
    <cfRule type="cellIs" dxfId="21" priority="4" operator="equal">
      <formula>3</formula>
    </cfRule>
    <cfRule type="cellIs" dxfId="20" priority="5" operator="equal">
      <formula>4</formula>
    </cfRule>
    <cfRule type="cellIs" dxfId="19" priority="6" operator="equal">
      <formula>5</formula>
    </cfRule>
  </conditionalFormatting>
  <conditionalFormatting sqref="G5:G18">
    <cfRule type="cellIs" dxfId="18" priority="12" operator="lessThanOrEqual">
      <formula>4</formula>
    </cfRule>
    <cfRule type="cellIs" dxfId="17" priority="13" operator="between">
      <formula>5</formula>
      <formula>9</formula>
    </cfRule>
    <cfRule type="cellIs" dxfId="16" priority="14" operator="greaterThanOrEqual">
      <formula>10</formula>
    </cfRule>
  </conditionalFormatting>
  <conditionalFormatting sqref="H5:H18">
    <cfRule type="cellIs" dxfId="15" priority="18" operator="equal">
      <formula>"Low"</formula>
    </cfRule>
    <cfRule type="cellIs" dxfId="14" priority="19" operator="equal">
      <formula>"Medium"</formula>
    </cfRule>
    <cfRule type="cellIs" dxfId="13" priority="20" operator="equal">
      <formula>"High"</formula>
    </cfRule>
    <cfRule type="cellIs" dxfId="12" priority="21" operator="equal">
      <formula>"Critical"</formula>
    </cfRule>
  </conditionalFormatting>
  <conditionalFormatting sqref="J5:K18">
    <cfRule type="cellIs" dxfId="11" priority="7" operator="equal">
      <formula>1</formula>
    </cfRule>
    <cfRule type="cellIs" dxfId="10" priority="8" operator="equal">
      <formula>2</formula>
    </cfRule>
    <cfRule type="cellIs" dxfId="9" priority="9" operator="equal">
      <formula>3</formula>
    </cfRule>
    <cfRule type="cellIs" dxfId="8" priority="10" operator="equal">
      <formula>4</formula>
    </cfRule>
    <cfRule type="cellIs" dxfId="7" priority="11" operator="equal">
      <formula>5</formula>
    </cfRule>
  </conditionalFormatting>
  <conditionalFormatting sqref="L5:L18">
    <cfRule type="cellIs" dxfId="6" priority="15" operator="lessThanOrEqual">
      <formula>4</formula>
    </cfRule>
    <cfRule type="cellIs" dxfId="5" priority="16" operator="between">
      <formula>5</formula>
      <formula>9</formula>
    </cfRule>
    <cfRule type="cellIs" dxfId="4" priority="17" operator="greaterThanOrEqual">
      <formula>10</formula>
    </cfRule>
  </conditionalFormatting>
  <conditionalFormatting sqref="M5:M18">
    <cfRule type="cellIs" dxfId="3" priority="22" operator="equal">
      <formula>"Low"</formula>
    </cfRule>
    <cfRule type="cellIs" dxfId="2" priority="23" operator="equal">
      <formula>"Medium"</formula>
    </cfRule>
    <cfRule type="cellIs" dxfId="1" priority="24" operator="equal">
      <formula>"High"</formula>
    </cfRule>
    <cfRule type="cellIs" dxfId="0" priority="25" operator="equal">
      <formula>"Critical"</formula>
    </cfRule>
  </conditionalFormatting>
  <dataValidations count="2">
    <dataValidation type="list" allowBlank="1" errorTitle="Invalid Score" error="Please select a value between 1 and 5" promptTitle="Score" prompt="Select 1-5" sqref="E5:F18 J5:K18" xr:uid="{00000000-0002-0000-0300-000000000000}">
      <formula1>"1,2,3,4,5"</formula1>
      <formula2>0</formula2>
    </dataValidation>
    <dataValidation type="list" allowBlank="1" errorTitle="Invalid Status" error="Please select Open, Closed, or In Progress" sqref="N5:N18" xr:uid="{00000000-0002-0000-0300-000001000000}">
      <formula1>"Open,Closed,In Progress"</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Normal="100" workbookViewId="0"/>
  </sheetViews>
  <sheetFormatPr defaultColWidth="8.7109375" defaultRowHeight="15" x14ac:dyDescent="0.25"/>
  <cols>
    <col min="1" max="1" width="5" customWidth="1"/>
    <col min="2" max="2" width="30" customWidth="1"/>
    <col min="3" max="7" width="16" customWidth="1"/>
  </cols>
  <sheetData>
    <row r="1" spans="1:7" ht="75.75" customHeight="1" x14ac:dyDescent="0.25"/>
    <row r="2" spans="1:7" ht="26.25" customHeight="1" x14ac:dyDescent="0.4">
      <c r="A2" s="14" t="s">
        <v>0</v>
      </c>
      <c r="B2" s="14"/>
      <c r="C2" s="14"/>
      <c r="D2" s="14"/>
      <c r="E2" s="14"/>
      <c r="F2" s="14"/>
      <c r="G2" s="14"/>
    </row>
    <row r="4" spans="1:7" ht="15.75" x14ac:dyDescent="0.25">
      <c r="B4" s="15" t="s">
        <v>1</v>
      </c>
    </row>
    <row r="5" spans="1:7" ht="24" x14ac:dyDescent="0.25">
      <c r="C5" s="16" t="s">
        <v>2</v>
      </c>
      <c r="D5" s="16" t="s">
        <v>3</v>
      </c>
      <c r="E5" s="16" t="s">
        <v>4</v>
      </c>
      <c r="F5" s="16" t="s">
        <v>5</v>
      </c>
      <c r="G5" s="16" t="s">
        <v>6</v>
      </c>
    </row>
    <row r="6" spans="1:7" ht="36" customHeight="1" x14ac:dyDescent="0.25">
      <c r="C6" s="17">
        <f>COUNTA('Risk Assessment'!A5:A18)</f>
        <v>14</v>
      </c>
      <c r="D6" s="17">
        <f>COUNTIF('Risk Assessment'!H5:H18,"Critical")</f>
        <v>0</v>
      </c>
      <c r="E6" s="17">
        <f>COUNTIF('Risk Assessment'!H5:H18,"High")</f>
        <v>9</v>
      </c>
      <c r="F6" s="17">
        <f>COUNTIF('Risk Assessment'!H5:H18,"Medium")</f>
        <v>5</v>
      </c>
      <c r="G6" s="17">
        <f>COUNTIF('Risk Assessment'!H5:H18,"Low")</f>
        <v>0</v>
      </c>
    </row>
    <row r="8" spans="1:7" ht="15.75" x14ac:dyDescent="0.25">
      <c r="B8" s="13" t="s">
        <v>7</v>
      </c>
      <c r="C8" s="13"/>
      <c r="D8" s="13"/>
      <c r="E8" s="13"/>
      <c r="F8" s="13"/>
      <c r="G8" s="13"/>
    </row>
    <row r="9" spans="1:7" x14ac:dyDescent="0.25">
      <c r="C9" s="16" t="s">
        <v>8</v>
      </c>
      <c r="D9" s="16" t="s">
        <v>9</v>
      </c>
      <c r="E9" s="16" t="s">
        <v>10</v>
      </c>
    </row>
    <row r="10" spans="1:7" x14ac:dyDescent="0.25">
      <c r="C10" s="18" t="s">
        <v>11</v>
      </c>
      <c r="D10" s="19">
        <f>COUNTIF('Risk Assessment'!H5:H18,"Critical")</f>
        <v>0</v>
      </c>
      <c r="E10" s="19" t="str">
        <f>IF(D10=0,"0%",TEXT(D10/C6,"0%"))</f>
        <v>0%</v>
      </c>
    </row>
    <row r="11" spans="1:7" x14ac:dyDescent="0.25">
      <c r="C11" s="20" t="s">
        <v>12</v>
      </c>
      <c r="D11" s="19">
        <f>COUNTIF('Risk Assessment'!H5:H18,"High")</f>
        <v>9</v>
      </c>
      <c r="E11" s="19" t="str">
        <f>IF(D11=0,"0%",TEXT(D11/C6,"0%"))</f>
        <v>64%</v>
      </c>
    </row>
    <row r="12" spans="1:7" x14ac:dyDescent="0.25">
      <c r="C12" s="21" t="s">
        <v>13</v>
      </c>
      <c r="D12" s="19">
        <f>COUNTIF('Risk Assessment'!H5:H18,"Medium")</f>
        <v>5</v>
      </c>
      <c r="E12" s="19" t="str">
        <f>IF(D12=0,"0%",TEXT(D12/C6,"0%"))</f>
        <v>36%</v>
      </c>
    </row>
    <row r="13" spans="1:7" x14ac:dyDescent="0.25">
      <c r="C13" s="22" t="s">
        <v>14</v>
      </c>
      <c r="D13" s="19">
        <f>COUNTIF('Risk Assessment'!H5:H18,"Low")</f>
        <v>0</v>
      </c>
      <c r="E13" s="19" t="str">
        <f>IF(D13=0,"0%",TEXT(D13/C6,"0%"))</f>
        <v>0%</v>
      </c>
    </row>
    <row r="15" spans="1:7" ht="15.75" x14ac:dyDescent="0.25">
      <c r="B15" s="13" t="s">
        <v>15</v>
      </c>
      <c r="C15" s="13"/>
      <c r="D15" s="13"/>
      <c r="E15" s="13"/>
      <c r="F15" s="13"/>
      <c r="G15" s="13"/>
    </row>
    <row r="16" spans="1:7" x14ac:dyDescent="0.25">
      <c r="C16" s="16" t="s">
        <v>8</v>
      </c>
      <c r="D16" s="16" t="s">
        <v>9</v>
      </c>
      <c r="E16" s="16" t="s">
        <v>10</v>
      </c>
    </row>
    <row r="17" spans="2:7" x14ac:dyDescent="0.25">
      <c r="C17" s="18" t="s">
        <v>11</v>
      </c>
      <c r="D17" s="19">
        <f>COUNTIF('Risk Assessment'!M5:M18,"Critical")</f>
        <v>0</v>
      </c>
      <c r="E17" s="19" t="str">
        <f>IF(D17=0,"0%",TEXT(D17/C6,"0%"))</f>
        <v>0%</v>
      </c>
    </row>
    <row r="18" spans="2:7" x14ac:dyDescent="0.25">
      <c r="C18" s="20" t="s">
        <v>12</v>
      </c>
      <c r="D18" s="19">
        <f>COUNTIF('Risk Assessment'!M5:M18,"High")</f>
        <v>0</v>
      </c>
      <c r="E18" s="19" t="str">
        <f>IF(D18=0,"0%",TEXT(D18/C6,"0%"))</f>
        <v>0%</v>
      </c>
    </row>
    <row r="19" spans="2:7" x14ac:dyDescent="0.25">
      <c r="C19" s="21" t="s">
        <v>13</v>
      </c>
      <c r="D19" s="19">
        <f>COUNTIF('Risk Assessment'!M5:M18,"Medium")</f>
        <v>9</v>
      </c>
      <c r="E19" s="19" t="str">
        <f>IF(D19=0,"0%",TEXT(D19/C6,"0%"))</f>
        <v>64%</v>
      </c>
    </row>
    <row r="20" spans="2:7" x14ac:dyDescent="0.25">
      <c r="C20" s="22" t="s">
        <v>14</v>
      </c>
      <c r="D20" s="19">
        <f>COUNTIF('Risk Assessment'!M5:M18,"Low")</f>
        <v>5</v>
      </c>
      <c r="E20" s="19" t="str">
        <f>IF(D20=0,"0%",TEXT(D20/C6,"0%"))</f>
        <v>36%</v>
      </c>
    </row>
    <row r="22" spans="2:7" ht="15.75" x14ac:dyDescent="0.25">
      <c r="B22" s="13" t="s">
        <v>16</v>
      </c>
      <c r="C22" s="13"/>
      <c r="D22" s="13"/>
      <c r="E22" s="13"/>
      <c r="F22" s="13"/>
      <c r="G22" s="13"/>
    </row>
    <row r="23" spans="2:7" x14ac:dyDescent="0.25">
      <c r="C23" s="16" t="s">
        <v>17</v>
      </c>
      <c r="D23" s="16" t="s">
        <v>18</v>
      </c>
    </row>
    <row r="24" spans="2:7" ht="21.75" customHeight="1" x14ac:dyDescent="0.25">
      <c r="C24" s="23" t="s">
        <v>19</v>
      </c>
      <c r="D24" s="24">
        <f>ROUND(AVERAGE('Risk Assessment'!G5:G18),1)</f>
        <v>9.9</v>
      </c>
    </row>
    <row r="25" spans="2:7" ht="21.75" customHeight="1" x14ac:dyDescent="0.25">
      <c r="C25" s="25" t="s">
        <v>20</v>
      </c>
      <c r="D25" s="26">
        <f>ROUND(AVERAGE('Risk Assessment'!L5:L18),1)</f>
        <v>4.5999999999999996</v>
      </c>
    </row>
    <row r="26" spans="2:7" ht="21.75" customHeight="1" x14ac:dyDescent="0.25">
      <c r="C26" s="23" t="s">
        <v>21</v>
      </c>
      <c r="D26" s="24" t="str">
        <f>TEXT(1-(AVERAGE('Risk Assessment'!L5:L18)/AVERAGE('Risk Assessment'!G5:G18)),"0%")</f>
        <v>53%</v>
      </c>
    </row>
    <row r="27" spans="2:7" ht="21.75" customHeight="1" x14ac:dyDescent="0.25">
      <c r="C27" s="25" t="s">
        <v>22</v>
      </c>
      <c r="D27" s="26">
        <f>COUNTIF('Risk Assessment'!M5:M18,"Critical")</f>
        <v>0</v>
      </c>
    </row>
    <row r="28" spans="2:7" ht="21.75" customHeight="1" x14ac:dyDescent="0.25">
      <c r="C28" s="23" t="s">
        <v>23</v>
      </c>
      <c r="D28" s="24">
        <f>COUNTIF('Risk Assessment'!M5:M18,"High")</f>
        <v>0</v>
      </c>
    </row>
    <row r="29" spans="2:7" ht="21.75" customHeight="1" x14ac:dyDescent="0.25">
      <c r="C29" s="25" t="s">
        <v>24</v>
      </c>
      <c r="D29" s="26">
        <f>COUNTIF('Risk Assessment'!N5:N18,"Open")</f>
        <v>14</v>
      </c>
    </row>
    <row r="31" spans="2:7" ht="15.75" x14ac:dyDescent="0.25">
      <c r="B31" s="15" t="s">
        <v>25</v>
      </c>
    </row>
    <row r="32" spans="2:7" ht="24" x14ac:dyDescent="0.25">
      <c r="C32" s="27" t="s">
        <v>26</v>
      </c>
      <c r="D32" s="28" t="s">
        <v>27</v>
      </c>
    </row>
    <row r="33" spans="3:4" x14ac:dyDescent="0.25">
      <c r="C33" s="27" t="s">
        <v>28</v>
      </c>
      <c r="D33" s="28" t="s">
        <v>29</v>
      </c>
    </row>
    <row r="34" spans="3:4" x14ac:dyDescent="0.25">
      <c r="C34" s="27" t="s">
        <v>30</v>
      </c>
      <c r="D34" s="28" t="s">
        <v>31</v>
      </c>
    </row>
    <row r="35" spans="3:4" x14ac:dyDescent="0.25">
      <c r="C35" s="27" t="s">
        <v>32</v>
      </c>
      <c r="D35" s="28" t="s">
        <v>33</v>
      </c>
    </row>
    <row r="36" spans="3:4" ht="24" x14ac:dyDescent="0.25">
      <c r="C36" s="27" t="s">
        <v>34</v>
      </c>
      <c r="D36" s="28" t="s">
        <v>35</v>
      </c>
    </row>
    <row r="37" spans="3:4" x14ac:dyDescent="0.25">
      <c r="C37" s="27" t="s">
        <v>36</v>
      </c>
      <c r="D37" s="28" t="s">
        <v>37</v>
      </c>
    </row>
  </sheetData>
  <mergeCells count="4">
    <mergeCell ref="A2:G2"/>
    <mergeCell ref="B8:G8"/>
    <mergeCell ref="B15:G15"/>
    <mergeCell ref="B22:G2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showGridLines="0" zoomScaleNormal="100" workbookViewId="0">
      <selection activeCell="I30" sqref="I30:I31"/>
    </sheetView>
  </sheetViews>
  <sheetFormatPr defaultColWidth="8.7109375" defaultRowHeight="15" x14ac:dyDescent="0.25"/>
  <cols>
    <col min="1" max="1" width="5" customWidth="1"/>
    <col min="2" max="2" width="12" customWidth="1"/>
    <col min="3" max="3" width="25" customWidth="1"/>
    <col min="4" max="8" width="12" customWidth="1"/>
  </cols>
  <sheetData>
    <row r="1" spans="1:8" ht="75.75" customHeight="1" x14ac:dyDescent="0.25">
      <c r="A1" s="12"/>
      <c r="B1" s="12"/>
      <c r="C1" s="12"/>
    </row>
    <row r="2" spans="1:8" ht="26.25" customHeight="1" x14ac:dyDescent="0.4">
      <c r="A2" s="14" t="s">
        <v>58</v>
      </c>
      <c r="B2" s="14"/>
      <c r="C2" s="14"/>
      <c r="D2" s="14"/>
      <c r="E2" s="14"/>
      <c r="F2" s="14"/>
    </row>
    <row r="4" spans="1:8" x14ac:dyDescent="0.25">
      <c r="B4" s="6" t="s">
        <v>59</v>
      </c>
      <c r="C4" s="6"/>
      <c r="D4" s="6"/>
      <c r="E4" s="6"/>
      <c r="F4" s="6"/>
    </row>
    <row r="6" spans="1:8" x14ac:dyDescent="0.25">
      <c r="B6" s="6" t="s">
        <v>60</v>
      </c>
      <c r="C6" s="6"/>
      <c r="E6" s="6" t="s">
        <v>61</v>
      </c>
      <c r="F6" s="6"/>
    </row>
    <row r="7" spans="1:8" x14ac:dyDescent="0.25">
      <c r="B7" s="31">
        <v>1</v>
      </c>
      <c r="C7" s="28" t="s">
        <v>62</v>
      </c>
      <c r="E7" s="31">
        <v>1</v>
      </c>
      <c r="F7" s="28" t="s">
        <v>63</v>
      </c>
    </row>
    <row r="8" spans="1:8" ht="24" x14ac:dyDescent="0.25">
      <c r="B8" s="31">
        <v>2</v>
      </c>
      <c r="C8" s="28" t="s">
        <v>64</v>
      </c>
      <c r="E8" s="31">
        <v>2</v>
      </c>
      <c r="F8" s="28" t="s">
        <v>65</v>
      </c>
    </row>
    <row r="9" spans="1:8" ht="24" x14ac:dyDescent="0.25">
      <c r="B9" s="31">
        <v>3</v>
      </c>
      <c r="C9" s="28" t="s">
        <v>66</v>
      </c>
      <c r="E9" s="31">
        <v>3</v>
      </c>
      <c r="F9" s="28" t="s">
        <v>67</v>
      </c>
    </row>
    <row r="10" spans="1:8" x14ac:dyDescent="0.25">
      <c r="B10" s="31">
        <v>4</v>
      </c>
      <c r="C10" s="28" t="s">
        <v>68</v>
      </c>
      <c r="E10" s="31">
        <v>4</v>
      </c>
      <c r="F10" s="28" t="s">
        <v>69</v>
      </c>
    </row>
    <row r="11" spans="1:8" x14ac:dyDescent="0.25">
      <c r="B11" s="31">
        <v>5</v>
      </c>
      <c r="C11" s="28" t="s">
        <v>70</v>
      </c>
      <c r="E11" s="31">
        <v>5</v>
      </c>
      <c r="F11" s="28" t="s">
        <v>71</v>
      </c>
    </row>
    <row r="14" spans="1:8" ht="15.75" x14ac:dyDescent="0.25">
      <c r="A14" s="15" t="s">
        <v>72</v>
      </c>
    </row>
    <row r="16" spans="1:8" ht="15" customHeight="1" x14ac:dyDescent="0.25">
      <c r="B16" s="5" t="s">
        <v>73</v>
      </c>
      <c r="C16" s="5"/>
      <c r="D16" s="32" t="s">
        <v>74</v>
      </c>
      <c r="E16" s="32" t="s">
        <v>75</v>
      </c>
      <c r="F16" s="32" t="s">
        <v>76</v>
      </c>
      <c r="G16" s="32" t="s">
        <v>77</v>
      </c>
      <c r="H16" s="32" t="s">
        <v>78</v>
      </c>
    </row>
    <row r="17" spans="1:8" ht="15" customHeight="1" x14ac:dyDescent="0.25">
      <c r="B17" s="5" t="s">
        <v>79</v>
      </c>
      <c r="C17" s="5"/>
      <c r="D17" s="21">
        <v>5</v>
      </c>
      <c r="E17" s="20">
        <v>10</v>
      </c>
      <c r="F17" s="20">
        <v>15</v>
      </c>
      <c r="G17" s="18">
        <v>20</v>
      </c>
      <c r="H17" s="18">
        <v>25</v>
      </c>
    </row>
    <row r="18" spans="1:8" ht="15" customHeight="1" x14ac:dyDescent="0.25">
      <c r="B18" s="5" t="s">
        <v>80</v>
      </c>
      <c r="C18" s="5"/>
      <c r="D18" s="22">
        <v>4</v>
      </c>
      <c r="E18" s="21">
        <v>8</v>
      </c>
      <c r="F18" s="20">
        <v>12</v>
      </c>
      <c r="G18" s="18">
        <v>16</v>
      </c>
      <c r="H18" s="18">
        <v>20</v>
      </c>
    </row>
    <row r="19" spans="1:8" ht="15" customHeight="1" x14ac:dyDescent="0.25">
      <c r="B19" s="5" t="s">
        <v>81</v>
      </c>
      <c r="C19" s="5"/>
      <c r="D19" s="22">
        <v>3</v>
      </c>
      <c r="E19" s="21">
        <v>6</v>
      </c>
      <c r="F19" s="21">
        <v>9</v>
      </c>
      <c r="G19" s="20">
        <v>12</v>
      </c>
      <c r="H19" s="20">
        <v>15</v>
      </c>
    </row>
    <row r="20" spans="1:8" ht="15" customHeight="1" x14ac:dyDescent="0.25">
      <c r="B20" s="5" t="s">
        <v>82</v>
      </c>
      <c r="C20" s="5"/>
      <c r="D20" s="22">
        <v>2</v>
      </c>
      <c r="E20" s="22">
        <v>4</v>
      </c>
      <c r="F20" s="21">
        <v>6</v>
      </c>
      <c r="G20" s="21">
        <v>8</v>
      </c>
      <c r="H20" s="20">
        <v>10</v>
      </c>
    </row>
    <row r="21" spans="1:8" ht="15" customHeight="1" x14ac:dyDescent="0.25">
      <c r="B21" s="5" t="s">
        <v>83</v>
      </c>
      <c r="C21" s="5"/>
      <c r="D21" s="22">
        <v>1</v>
      </c>
      <c r="E21" s="22">
        <v>2</v>
      </c>
      <c r="F21" s="22">
        <v>3</v>
      </c>
      <c r="G21" s="22">
        <v>4</v>
      </c>
      <c r="H21" s="21">
        <v>5</v>
      </c>
    </row>
    <row r="23" spans="1:8" x14ac:dyDescent="0.25">
      <c r="B23" s="6" t="s">
        <v>84</v>
      </c>
      <c r="C23" s="6"/>
      <c r="D23" s="6"/>
      <c r="E23" s="6"/>
      <c r="F23" s="6"/>
    </row>
    <row r="24" spans="1:8" x14ac:dyDescent="0.25">
      <c r="B24" s="6" t="s">
        <v>85</v>
      </c>
      <c r="C24" s="6"/>
      <c r="D24" s="6"/>
      <c r="E24" s="6"/>
      <c r="F24" s="6"/>
    </row>
    <row r="26" spans="1:8" ht="15.75" x14ac:dyDescent="0.25">
      <c r="A26" s="13" t="s">
        <v>86</v>
      </c>
      <c r="B26" s="13"/>
      <c r="C26" s="13"/>
      <c r="D26" s="13"/>
      <c r="E26" s="13"/>
      <c r="F26" s="13"/>
    </row>
    <row r="27" spans="1:8" ht="15" customHeight="1" x14ac:dyDescent="0.25">
      <c r="B27" s="19" t="s">
        <v>87</v>
      </c>
      <c r="C27" s="22" t="s">
        <v>14</v>
      </c>
      <c r="D27" s="4" t="s">
        <v>88</v>
      </c>
      <c r="E27" s="4"/>
      <c r="F27" s="10"/>
    </row>
    <row r="28" spans="1:8" ht="15" customHeight="1" x14ac:dyDescent="0.25">
      <c r="B28" s="19" t="s">
        <v>89</v>
      </c>
      <c r="C28" s="21" t="s">
        <v>13</v>
      </c>
      <c r="D28" s="4" t="s">
        <v>90</v>
      </c>
      <c r="E28" s="4"/>
      <c r="F28" s="10"/>
    </row>
    <row r="29" spans="1:8" ht="22.35" customHeight="1" x14ac:dyDescent="0.25">
      <c r="B29" s="19" t="s">
        <v>91</v>
      </c>
      <c r="C29" s="20" t="s">
        <v>12</v>
      </c>
      <c r="D29" s="4" t="s">
        <v>92</v>
      </c>
      <c r="E29" s="4"/>
      <c r="F29" s="10"/>
    </row>
    <row r="30" spans="1:8" ht="32.85" customHeight="1" x14ac:dyDescent="0.25">
      <c r="B30" s="19" t="s">
        <v>93</v>
      </c>
      <c r="C30" s="18" t="s">
        <v>11</v>
      </c>
      <c r="D30" s="4" t="s">
        <v>94</v>
      </c>
      <c r="E30" s="4"/>
      <c r="F30" s="10"/>
    </row>
    <row r="32" spans="1:8" ht="15.75" x14ac:dyDescent="0.25">
      <c r="A32" s="15" t="s">
        <v>95</v>
      </c>
    </row>
    <row r="33" spans="2:6" ht="15" customHeight="1" x14ac:dyDescent="0.25">
      <c r="B33" s="16" t="s">
        <v>96</v>
      </c>
      <c r="C33" s="16" t="s">
        <v>97</v>
      </c>
      <c r="D33" s="3" t="s">
        <v>98</v>
      </c>
      <c r="E33" s="3"/>
      <c r="F33" s="5"/>
    </row>
    <row r="34" spans="2:6" ht="22.35" customHeight="1" x14ac:dyDescent="0.25">
      <c r="B34" s="31" t="s">
        <v>99</v>
      </c>
      <c r="C34" s="25" t="s">
        <v>100</v>
      </c>
      <c r="D34" s="4" t="s">
        <v>101</v>
      </c>
      <c r="E34" s="4"/>
      <c r="F34" s="10"/>
    </row>
    <row r="35" spans="2:6" ht="22.35" customHeight="1" x14ac:dyDescent="0.25">
      <c r="B35" s="31" t="s">
        <v>102</v>
      </c>
      <c r="C35" s="25" t="s">
        <v>103</v>
      </c>
      <c r="D35" s="4" t="s">
        <v>104</v>
      </c>
      <c r="E35" s="4"/>
      <c r="F35" s="10"/>
    </row>
    <row r="36" spans="2:6" ht="22.35" customHeight="1" x14ac:dyDescent="0.25">
      <c r="B36" s="31" t="s">
        <v>105</v>
      </c>
      <c r="C36" s="25" t="s">
        <v>106</v>
      </c>
      <c r="D36" s="4" t="s">
        <v>107</v>
      </c>
      <c r="E36" s="4"/>
      <c r="F36" s="10"/>
    </row>
    <row r="37" spans="2:6" ht="22.35" customHeight="1" x14ac:dyDescent="0.25">
      <c r="B37" s="31" t="s">
        <v>108</v>
      </c>
      <c r="C37" s="25" t="s">
        <v>109</v>
      </c>
      <c r="D37" s="4" t="s">
        <v>110</v>
      </c>
      <c r="E37" s="4"/>
      <c r="F37" s="10"/>
    </row>
    <row r="38" spans="2:6" ht="22.35" customHeight="1" x14ac:dyDescent="0.25">
      <c r="B38" s="31" t="s">
        <v>111</v>
      </c>
      <c r="C38" s="25" t="s">
        <v>112</v>
      </c>
      <c r="D38" s="4" t="s">
        <v>113</v>
      </c>
      <c r="E38" s="4"/>
      <c r="F38" s="10"/>
    </row>
  </sheetData>
  <mergeCells count="24">
    <mergeCell ref="D35:F35"/>
    <mergeCell ref="D36:F36"/>
    <mergeCell ref="D37:F37"/>
    <mergeCell ref="D38:F38"/>
    <mergeCell ref="D28:F28"/>
    <mergeCell ref="D29:F29"/>
    <mergeCell ref="D30:F30"/>
    <mergeCell ref="D33:F33"/>
    <mergeCell ref="D34:F34"/>
    <mergeCell ref="B21:C21"/>
    <mergeCell ref="B23:F23"/>
    <mergeCell ref="B24:F24"/>
    <mergeCell ref="A26:F26"/>
    <mergeCell ref="D27:F27"/>
    <mergeCell ref="B16:C16"/>
    <mergeCell ref="B17:C17"/>
    <mergeCell ref="B18:C18"/>
    <mergeCell ref="B19:C19"/>
    <mergeCell ref="B20:C20"/>
    <mergeCell ref="A1:C1"/>
    <mergeCell ref="A2:F2"/>
    <mergeCell ref="B4:F4"/>
    <mergeCell ref="B6:C6"/>
    <mergeCell ref="E6:F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Risk Assessment</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2026-03-31T09:23:34Z</dcterms:created>
  <dcterms:modified xsi:type="dcterms:W3CDTF">2026-03-31T13:56:10Z</dcterms:modified>
  <dc:language>en-US</dc:language>
</cp:coreProperties>
</file>