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bcad5c95b35c585/Documents/Claude - Work/Projects/Seagull Maritime/Seagull Maritime Management System/04 - Registers and Trackers/"/>
    </mc:Choice>
  </mc:AlternateContent>
  <xr:revisionPtr revIDLastSave="0" documentId="11_EA195EECCED85B989F572EA43B105A7A78E1AAE3" xr6:coauthVersionLast="47" xr6:coauthVersionMax="47" xr10:uidLastSave="{00000000-0000-0000-0000-000000000000}"/>
  <bookViews>
    <workbookView xWindow="-120" yWindow="-120" windowWidth="77040" windowHeight="21120" xr2:uid="{00000000-000D-0000-FFFF-FFFF00000000}"/>
  </bookViews>
  <sheets>
    <sheet name="Objectives" sheetId="1" r:id="rId1"/>
    <sheet name="Dashboard" sheetId="2" r:id="rId2"/>
    <sheet name="Review History" sheetId="3" r:id="rId3"/>
    <sheet name="Lists" sheetId="4" r:id="rId4"/>
  </sheets>
  <definedNames>
    <definedName name="_xlnm._FilterDatabase" localSheetId="0" hidden="1">Objectives!$A$4:$O$36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B18" i="2"/>
  <c r="E17" i="2"/>
  <c r="B17" i="2"/>
  <c r="E16" i="2"/>
  <c r="B16" i="2"/>
  <c r="E15" i="2"/>
  <c r="B15" i="2"/>
  <c r="E11" i="2"/>
  <c r="E10" i="2"/>
  <c r="E9" i="2"/>
  <c r="B9" i="2"/>
  <c r="E8" i="2"/>
  <c r="B8" i="2"/>
  <c r="E7" i="2"/>
  <c r="B7" i="2"/>
  <c r="E6" i="2"/>
  <c r="B6" i="2"/>
  <c r="B10" i="2" s="1"/>
</calcChain>
</file>

<file path=xl/sharedStrings.xml><?xml version="1.0" encoding="utf-8"?>
<sst xmlns="http://schemas.openxmlformats.org/spreadsheetml/2006/main" count="549" uniqueCount="277">
  <si>
    <t>Company Objectives Register</t>
  </si>
  <si>
    <t>Seagull Maritime Ltd  |  SM/INT/REG/006  |  Last Review: March 2026  |  Next Review: September 2026</t>
  </si>
  <si>
    <t>Ref</t>
  </si>
  <si>
    <t>ISO System</t>
  </si>
  <si>
    <t>ISO Clause</t>
  </si>
  <si>
    <t>Business Function</t>
  </si>
  <si>
    <t>Objective</t>
  </si>
  <si>
    <t>SMART Description</t>
  </si>
  <si>
    <t>KPIs</t>
  </si>
  <si>
    <t>Owner</t>
  </si>
  <si>
    <t>Supporting</t>
  </si>
  <si>
    <t>Target Date</t>
  </si>
  <si>
    <t>Status</t>
  </si>
  <si>
    <t>RAG</t>
  </si>
  <si>
    <t>Progress %</t>
  </si>
  <si>
    <t>Evidence</t>
  </si>
  <si>
    <t>MR Action Ref</t>
  </si>
  <si>
    <t>OBJ-001</t>
  </si>
  <si>
    <t>HSE</t>
  </si>
  <si>
    <t>6.2 / 45001</t>
  </si>
  <si>
    <t>Compliance</t>
  </si>
  <si>
    <t>Achieve ISO 45001:2018 initial certification</t>
  </si>
  <si>
    <t>Obtain initial ISO 45001:2018 certification from Libero Assurance by Q2 2026. Pass Stage 1 and Stage 2 audits with no major non-conformities. Build 3 months implementation evidence.</t>
  </si>
  <si>
    <t>Stage 1 passed; Stage 2 passed; Certificate issued; Zero major NCs</t>
  </si>
  <si>
    <t>D. Watts (GCD)</t>
  </si>
  <si>
    <t>Pavel Shparber (CEO)</t>
  </si>
  <si>
    <t>2026-06-30</t>
  </si>
  <si>
    <t>On Track</t>
  </si>
  <si>
    <t>Amber</t>
  </si>
  <si>
    <t>SM/HSE/POL/001; SM/HSE/PRO/001; SM/HSE/RA/002-009; SM/HSE/DOC/001; SM/INT/DOC/002; CWP</t>
  </si>
  <si>
    <t>MRM-2026-A1</t>
  </si>
  <si>
    <t>OBJ-002</t>
  </si>
  <si>
    <t>Operations</t>
  </si>
  <si>
    <t>Zero serious workplace injuries across all operations</t>
  </si>
  <si>
    <t>Achieve and maintain zero lost-time injuries (LTIs) and zero serious workplace incidents across all operational theatres (IOR, PG, WAF) and office environments throughout 2026.</t>
  </si>
  <si>
    <t>LTI count = 0; RIDDOR reportable = 0; Near-miss rate ≥2/vessel/month</t>
  </si>
  <si>
    <t>Operations Managers</t>
  </si>
  <si>
    <t>2026-12-31</t>
  </si>
  <si>
    <t>Green</t>
  </si>
  <si>
    <t>Emergent HSE App incident data; Vessel logs</t>
  </si>
  <si>
    <t>MRM-2026-A2</t>
  </si>
  <si>
    <t>OBJ-003</t>
  </si>
  <si>
    <t>Establish proactive near-miss and hazard reporting culture</t>
  </si>
  <si>
    <t>Implement company-wide near-miss and hazard reporting via the Emergent HSE App. Target minimum 2 reports per vessel per month. Track trends quarterly.</t>
  </si>
  <si>
    <t>Reports per vessel ≥2/month; Quarterly trend analysis; App adoption 100%</t>
  </si>
  <si>
    <t>Oleksii Yurasov</t>
  </si>
  <si>
    <t>2026-09-30</t>
  </si>
  <si>
    <t>Emergent HSE App data; Quarterly HSE reports</t>
  </si>
  <si>
    <t>MRM-2026-A3</t>
  </si>
  <si>
    <t>OBJ-004</t>
  </si>
  <si>
    <t>Complete H&amp;S risk assessments for all operational activities</t>
  </si>
  <si>
    <t>Develop and maintain comprehensive H&amp;S risk assessments (RA-003 pattern) covering all operational, office, and remote working activities. Minimum 100 hazards assessed with controls.</t>
  </si>
  <si>
    <t>RAs completed; Total hazards ≥100; All RAs reviewed within 12 months</t>
  </si>
  <si>
    <t>2026-03-31</t>
  </si>
  <si>
    <t>Completed</t>
  </si>
  <si>
    <t>SM/HSE/RA/002-009 (8 RAs, 130 hazards); SM/CAM/BRAG/001-008</t>
  </si>
  <si>
    <t>MRM-2026-A4</t>
  </si>
  <si>
    <t>OBJ-005</t>
  </si>
  <si>
    <t>Deliver H&amp;S awareness training to all operational personnel</t>
  </si>
  <si>
    <t>Ensure 100% of operational personnel complete H&amp;S awareness training via the company's online training platform by Q3 2026. Include vessel transfer, weapons handling, heat stress modules.</t>
  </si>
  <si>
    <t>Training completion ≥95%; Module pass rate ≥80%; Overdue count = 0</t>
  </si>
  <si>
    <t>Not Started</t>
  </si>
  <si>
    <t>Training platform data; Training Register</t>
  </si>
  <si>
    <t>MRM-2026-A5</t>
  </si>
  <si>
    <t>OBJ-006</t>
  </si>
  <si>
    <t>Implement heat stress management for Gulf operations</t>
  </si>
  <si>
    <t>Establish and enforce heat stress management protocols for all Persian Gulf operations. Issue BRAG guidance, monitor WBGT readings, ensure all PG personnel briefed.</t>
  </si>
  <si>
    <t>BRAG distributed 100% PG teams; WBGT monitoring in place; Zero heat incidents</t>
  </si>
  <si>
    <t>PG Operations Manager</t>
  </si>
  <si>
    <t>SM/HSE/RA/009; SM/CAM/BRAG/008</t>
  </si>
  <si>
    <t>MRM-2026-A6</t>
  </si>
  <si>
    <t>OBJ-007</t>
  </si>
  <si>
    <t>Distribute BRAGs to 100% of frontline teams</t>
  </si>
  <si>
    <t>Ensure all 8 BRAGs are distributed to every operational team across IOR, PG, and WAF. Physical copies on every vessel, digital copies via campaign portal.</t>
  </si>
  <si>
    <t>Distribution per vessel confirmed; Portal access logged; Acknowledgement ≥90%</t>
  </si>
  <si>
    <t>In Progress</t>
  </si>
  <si>
    <t>SM/CAM/BRAG/001-008; Distribution records; Campaign portal</t>
  </si>
  <si>
    <t>MRM-2026-A7</t>
  </si>
  <si>
    <t>OBJ-008</t>
  </si>
  <si>
    <t>SEC</t>
  </si>
  <si>
    <t>6.2 / 18788</t>
  </si>
  <si>
    <t>Maintain ISO 18788:2015 certification</t>
  </si>
  <si>
    <t>Pass 2026 surveillance audit and maintain ISO 18788:2015 certification with no major non-conformities.</t>
  </si>
  <si>
    <t>Audit outcome; NC count = 0 major; CAR closure 100%</t>
  </si>
  <si>
    <t>Audit reports; Internal audit programme; NCR Register</t>
  </si>
  <si>
    <t>MRM-2026-B1</t>
  </si>
  <si>
    <t>OBJ-009</t>
  </si>
  <si>
    <t>6.2 / 28007</t>
  </si>
  <si>
    <t>Maintain ISO 28007:2015 certification</t>
  </si>
  <si>
    <t>Pass 2026 surveillance audit and maintain ISO/PAS 28007:2015 certification with no major non-conformities.</t>
  </si>
  <si>
    <t>MRM-2026-B2</t>
  </si>
  <si>
    <t>OBJ-010</t>
  </si>
  <si>
    <t>6.2 / 28000</t>
  </si>
  <si>
    <t>Maintain ISO 28000:2022 certification</t>
  </si>
  <si>
    <t>Pass 2026 surveillance audit and maintain ISO 28000:2022 certification with no major non-conformities.</t>
  </si>
  <si>
    <t>MRM-2026-B3</t>
  </si>
  <si>
    <t>OBJ-011</t>
  </si>
  <si>
    <t>Zero security incidents attributable to procedural failures</t>
  </si>
  <si>
    <t>Achieve zero security-related incidents attributable to failures in procedure, training, or risk management across all operational theatres throughout 2026.</t>
  </si>
  <si>
    <t>Incident count from procedure failure = 0; Root cause analysis for all incidents</t>
  </si>
  <si>
    <t>Incident reports; After-action reviews; NCR Register</t>
  </si>
  <si>
    <t>MRM-2026-B4</t>
  </si>
  <si>
    <t>OBJ-012</t>
  </si>
  <si>
    <t>Complete security risk assessments for all theatres (RA-004)</t>
  </si>
  <si>
    <t>Develop security and business risk assessments (RA-004 PESTLE pattern) for all active operational theatres: IOR, PG, and WAF.</t>
  </si>
  <si>
    <t>RAs per theatre completed; All theatres covered; Quarterly review cycle</t>
  </si>
  <si>
    <t>SM/SEC/RA/001 (IOR); RA-004 pattern RAs for PG and WAF pending</t>
  </si>
  <si>
    <t>MRM-2026-B5</t>
  </si>
  <si>
    <t>OBJ-013</t>
  </si>
  <si>
    <t>Integrate VPSHR into all operational procedures and training</t>
  </si>
  <si>
    <t>Ensure VPSHR are explicitly referenced and integrated into all operational SOPs, security procedures, and training materials.</t>
  </si>
  <si>
    <t>VPSHR in 100% operational SOPs; Training module developed; Awareness ≥90%</t>
  </si>
  <si>
    <t>Shell F6 (NCR-006); Operational SOPs; Training records</t>
  </si>
  <si>
    <t>MRM-2026-B6</t>
  </si>
  <si>
    <t>OBJ-014</t>
  </si>
  <si>
    <t>Maintain 100% flag state authorisation compliance</t>
  </si>
  <si>
    <t>Ensure all flag state authorisations are current, valid, and renewed before expiry for every flag state.</t>
  </si>
  <si>
    <t>Zero expired authorisations; Renewal tracker current; 30-day advance trigger</t>
  </si>
  <si>
    <t>Olga Zuck (CCO)</t>
  </si>
  <si>
    <t>Flag state register; Renewal correspondence</t>
  </si>
  <si>
    <t>MRM-2026-B7</t>
  </si>
  <si>
    <t>OBJ-015</t>
  </si>
  <si>
    <t>QMS</t>
  </si>
  <si>
    <t>6.2 / 9001</t>
  </si>
  <si>
    <t>Maintain ISO 9001:2015 certification</t>
  </si>
  <si>
    <t>Pass 2026 surveillance audit and maintain ISO 9001:2015 certification with no major non-conformities.</t>
  </si>
  <si>
    <t>MRM-2026-C1</t>
  </si>
  <si>
    <t>OBJ-016</t>
  </si>
  <si>
    <t>Commercial</t>
  </si>
  <si>
    <t>Establish structured client feedback mechanism</t>
  </si>
  <si>
    <t>Implement formal client satisfaction monitoring with regular feedback collection, trend analysis, and quarterly reporting to management review.</t>
  </si>
  <si>
    <t>Mechanism deployed; Quarterly reports produced; Response rate ≥50%</t>
  </si>
  <si>
    <t>Client feedback forms; Quarterly satisfaction reports</t>
  </si>
  <si>
    <t>MRM-2026-C2</t>
  </si>
  <si>
    <t>OBJ-017</t>
  </si>
  <si>
    <t>Achieve client satisfaction rating above 90%</t>
  </si>
  <si>
    <t>Achieve and maintain client satisfaction above 90% across all service lines, measured from structured feedback per contract.</t>
  </si>
  <si>
    <t>Average score ≥90%; Individual contract ≥80%; Quarterly trend analysis</t>
  </si>
  <si>
    <t>Christoforos Antzoulatos</t>
  </si>
  <si>
    <t>Grey</t>
  </si>
  <si>
    <t>Client satisfaction register (dependent on OBJ-016)</t>
  </si>
  <si>
    <t>MRM-2026-C3</t>
  </si>
  <si>
    <t>OBJ-018</t>
  </si>
  <si>
    <t>INT</t>
  </si>
  <si>
    <t>6.2 / Multi</t>
  </si>
  <si>
    <t>Unify management system across all ISO standards</t>
  </si>
  <si>
    <t>Complete integration of 45001 into existing security and quality management system. Single document structure, common procedures, unified audit programme.</t>
  </si>
  <si>
    <t>Unified document register; Cross-standard procedures; Single audit programme</t>
  </si>
  <si>
    <t>SM/INT/CMP/002 (CWP); Document Register; Internal Audit Schedule</t>
  </si>
  <si>
    <t>MRM-2026-D1</t>
  </si>
  <si>
    <t>OBJ-019</t>
  </si>
  <si>
    <t>Close all Shell audit findings before May review</t>
  </si>
  <si>
    <t>Close or demonstrate substantial progress on all 7 Shell findings and 8 OFIs before the Shell review first week of May 2026.</t>
  </si>
  <si>
    <t>Findings closed: 7/7; OFIs closed: 8/8; Evidence per finding</t>
  </si>
  <si>
    <t>2026-05-09</t>
  </si>
  <si>
    <t>NCR Register (SM/INT/REG/004); Shell CMP; Evidence folders</t>
  </si>
  <si>
    <t>MRM-2026-D2</t>
  </si>
  <si>
    <t>OBJ-020</t>
  </si>
  <si>
    <t>Deliver 2026 internal audit programme</t>
  </si>
  <si>
    <t>Complete all scheduled internal audits covering all ISO clause areas across 45001, 18788, 28007, 28000, and 9001.</t>
  </si>
  <si>
    <t>Audits completed vs scheduled; Coverage map; All findings tracked</t>
  </si>
  <si>
    <t>Future QHSE Manager</t>
  </si>
  <si>
    <t>SM/INT/REG/003 (Audit Schedule); Audit reports</t>
  </si>
  <si>
    <t>MRM-2026-D3</t>
  </si>
  <si>
    <t>OBJ-021</t>
  </si>
  <si>
    <t>Establish biannual management review cycle</t>
  </si>
  <si>
    <t>Conduct management reviews every 6 months covering all ISO inputs per Clause 9.3. Next review due September 2026.</t>
  </si>
  <si>
    <t>MR meetings vs scheduled; Action closure ≥90%; Minutes within 5 days</t>
  </si>
  <si>
    <t>SM/INT/MRM/001; Management Review Minutes</t>
  </si>
  <si>
    <t>MRM-2026-D4</t>
  </si>
  <si>
    <t>OBJ-022</t>
  </si>
  <si>
    <t>Deploy compliance awareness campaign company-wide</t>
  </si>
  <si>
    <t>Launch and sustain 'Your Watch. Our Standard.' campaign. Quarterly bulletins, flash cards, BRAGs distributed to all teams.</t>
  </si>
  <si>
    <t>Bulletins ≥4/year; Flash cards per topic; BRAG distribution 100%; Portal engagement</t>
  </si>
  <si>
    <t>SM/CAM/BUL/001; SM/CAM/FC/001; Campaign portal</t>
  </si>
  <si>
    <t>MRM-2026-D5</t>
  </si>
  <si>
    <t>OBJ-023</t>
  </si>
  <si>
    <t>6.2 / 7.2</t>
  </si>
  <si>
    <t>Implement integrated training platform</t>
  </si>
  <si>
    <t>Deploy the company's online training platform with AI-powered quiz generation, certificates, and progress tracking for all ISO-required training.</t>
  </si>
  <si>
    <t>Platform live; Courses published; Completion tracking active; Certificates working</t>
  </si>
  <si>
    <t>Training platform (preview); Course catalogue; Training Register</t>
  </si>
  <si>
    <t>MRM-2026-D6</t>
  </si>
  <si>
    <t>OBJ-024</t>
  </si>
  <si>
    <t>6.2 / 7.5</t>
  </si>
  <si>
    <t>Complete management system document migration</t>
  </si>
  <si>
    <t>Migrate all legacy documents to SM/ referencing format with standardised formatting, version control, and Document Register tracking.</t>
  </si>
  <si>
    <t>Documents migrated %; Register entries vs baseline; Zero unreferenced active docs</t>
  </si>
  <si>
    <t>Eugene Lukshin</t>
  </si>
  <si>
    <t>Document Register (SM/INT/REG/001); Legacy Mapping</t>
  </si>
  <si>
    <t>MRM-2026-D7</t>
  </si>
  <si>
    <t>OBJ-025</t>
  </si>
  <si>
    <t>Build and maintain Due Diligence portal</t>
  </si>
  <si>
    <t>Maintain client-facing DD portal with current documentation. Update within 5 working days of changes. Migrate to portals.seagullmaritimeltd.com.</t>
  </si>
  <si>
    <t>Uptime 99%; Currency ≤5 days; Client access logs; Subdomain live</t>
  </si>
  <si>
    <t>DD Portal (GitHub Pages); 107 documents hosted</t>
  </si>
  <si>
    <t>MRM-2026-D8</t>
  </si>
  <si>
    <t>OBJ-026</t>
  </si>
  <si>
    <t>HR</t>
  </si>
  <si>
    <t>Recruit dedicated QHSE Manager</t>
  </si>
  <si>
    <t>Recruit a QHSE Manager to support the GCD and ensure ongoing management system maintenance and development.</t>
  </si>
  <si>
    <t>Recruitment status; Start date; Induction completion; Handover of routine tasks</t>
  </si>
  <si>
    <t>SM/INT/JD/003 (QHSE Manager JD); Recruitment records</t>
  </si>
  <si>
    <t>MRM-2026-D9</t>
  </si>
  <si>
    <t>OBJ-027</t>
  </si>
  <si>
    <t>Complete IRT exercise and documentation</t>
  </si>
  <si>
    <t>Plan, execute, and document a formal Incident Response Team exercise covering security incident scenarios.</t>
  </si>
  <si>
    <t>Exercise planned; Completed; After-action report issued; Lessons actioned</t>
  </si>
  <si>
    <t>Shell F7 (NCR-007); Exercise plan; After-action report</t>
  </si>
  <si>
    <t>MRM-2026-D10</t>
  </si>
  <si>
    <t>OBJ-028</t>
  </si>
  <si>
    <t>Resolve Malta exemption documentation (Shell F1)</t>
  </si>
  <si>
    <t>Obtain and file Maltese exemption documentation (S.L. 480.05 / Arms Act) for PMSC operations under Malta flag.</t>
  </si>
  <si>
    <t>Documentation received; Filed; Shell F1 closed</t>
  </si>
  <si>
    <t>Shell F1 (NCR-001); Malta correspondence</t>
  </si>
  <si>
    <t>MRM-2026-D11</t>
  </si>
  <si>
    <t>OBJ-029</t>
  </si>
  <si>
    <t>Establish SEV minimum standards</t>
  </si>
  <si>
    <t>Develop and implement minimum operational standards for Security Escort Vessels covering crew competency, equipment, maintenance, and readiness.</t>
  </si>
  <si>
    <t>Standards published; All SEVs assessed; Gap closure plan per vessel</t>
  </si>
  <si>
    <t>Shell OFI-006; SEV standards document</t>
  </si>
  <si>
    <t>MRM-2026-D12</t>
  </si>
  <si>
    <t>OBJ-030</t>
  </si>
  <si>
    <t>Implement Management of Change process</t>
  </si>
  <si>
    <t>Develop and deploy formal MoC procedure covering operational, organisational, and system changes with risk assessment and approval workflows.</t>
  </si>
  <si>
    <t>MoC procedure published; Register established; All changes tracked; Zero uncontrolled</t>
  </si>
  <si>
    <t>Shell OFI-001; MoC procedure; MoC register</t>
  </si>
  <si>
    <t>MRM-2026-D13</t>
  </si>
  <si>
    <t>OBJ-031</t>
  </si>
  <si>
    <t>Develop Eugene Lukshin into effective compliance support role</t>
  </si>
  <si>
    <t>Implement structured development plan for Eugene covering document control, register maintenance, training administration, and basic audit support. Monthly progress reviews against competency milestones.</t>
  </si>
  <si>
    <t>Development plan published; Monthly reviews completed; Milestones achieved; Independent task rate</t>
  </si>
  <si>
    <t>SM/INT/JD/002 (Compliance Admin JD); Development plan; Review notes</t>
  </si>
  <si>
    <t>MRM-2026-D14</t>
  </si>
  <si>
    <t>OBJ-032</t>
  </si>
  <si>
    <t>Review and formalise shore-side staff HR and training processes</t>
  </si>
  <si>
    <t>Review and formalise HR processes and training records for shore-side personnel, currently managed through PSS. Ensure management system captures competence, training evidence, and personnel records.</t>
  </si>
  <si>
    <t>HR process review completed; Training records current 100% shore-side; Gap analysis done</t>
  </si>
  <si>
    <t>Training Register; HR process documentation; PSS staff records</t>
  </si>
  <si>
    <t>MRM-2026-D15</t>
  </si>
  <si>
    <t>Objectives Dashboard</t>
  </si>
  <si>
    <t>Auto-calculated summary from Objectives sheet</t>
  </si>
  <si>
    <t>By ISO System</t>
  </si>
  <si>
    <t>By Status</t>
  </si>
  <si>
    <t>System</t>
  </si>
  <si>
    <t>Count</t>
  </si>
  <si>
    <t>TOTAL</t>
  </si>
  <si>
    <t>At Risk</t>
  </si>
  <si>
    <t>Overdue</t>
  </si>
  <si>
    <t>By RAG</t>
  </si>
  <si>
    <t>Progress Statistics</t>
  </si>
  <si>
    <t>Metric</t>
  </si>
  <si>
    <t>Value</t>
  </si>
  <si>
    <t>Average Progress</t>
  </si>
  <si>
    <t>Maximum Progress</t>
  </si>
  <si>
    <t>Red</t>
  </si>
  <si>
    <t>Minimum Progress</t>
  </si>
  <si>
    <t>Total Objectives</t>
  </si>
  <si>
    <t>Objectives Review History</t>
  </si>
  <si>
    <t>Record of reviews for Clause 9.1 monitoring evidence</t>
  </si>
  <si>
    <t>Review Date</t>
  </si>
  <si>
    <t>Review Period</t>
  </si>
  <si>
    <t>Reviewer</t>
  </si>
  <si>
    <t>Summary</t>
  </si>
  <si>
    <t>Actions Arising</t>
  </si>
  <si>
    <t>Next Review Due</t>
  </si>
  <si>
    <t>31/03/2026</t>
  </si>
  <si>
    <t>Q1 2026 (Jan-Mar)</t>
  </si>
  <si>
    <t>Initial register established with 32 objectives across HSE (7), SEC (7), QMS (3), and Integrated (15). All 18 management review objectives mapped and expanded. 1 completed (H&amp;S RAs). 12 on track, 6 in progress, 8 not started. Strong momentum from S15-S16.</t>
  </si>
  <si>
    <t>1. Prioritise 45001 documentation for May Shell review. 2. Begin H&amp;S training module development. 3. VPSHR integration into SOPs. 4. Recruit QHSE Manager (CEO action). 5. Deploy training platform to production.</t>
  </si>
  <si>
    <t>30/06/2026</t>
  </si>
  <si>
    <t>Senior Management</t>
  </si>
  <si>
    <t>Finance</t>
  </si>
  <si>
    <t>Deferred</t>
  </si>
  <si>
    <t>6.2 / 9.1</t>
  </si>
  <si>
    <t>6.2 / 9.3</t>
  </si>
  <si>
    <t>6.2 / 10.1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</si>
</sst>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8" x14ac:knownFonts="1">
    <font>
      <sz val="11"/>
      <color theme="1"/>
      <name val="Calibri"/>
      <family val="2"/>
      <scheme val="minor"/>
    </font>
    <font>
      <b/>
      <sz val="20"/>
      <color rgb="FF003C72"/>
      <name val="Avenir Next LT Pro"/>
    </font>
    <font>
      <b/>
      <sz val="12"/>
      <color rgb="FF003C72"/>
      <name val="Avenir Next LT Pro"/>
    </font>
    <font>
      <b/>
      <sz val="9"/>
      <color rgb="FFFFFFFF"/>
      <name val="Aptos"/>
    </font>
    <font>
      <sz val="9"/>
      <name val="Aptos"/>
    </font>
    <font>
      <b/>
      <sz val="9"/>
      <color rgb="FF27AE60"/>
      <name val="Aptos"/>
    </font>
    <font>
      <sz val="9"/>
      <color rgb="FF666666"/>
      <name val="Aptos"/>
    </font>
    <font>
      <b/>
      <sz val="9"/>
      <name val="Aptos"/>
    </font>
  </fonts>
  <fills count="8">
    <fill>
      <patternFill patternType="none"/>
    </fill>
    <fill>
      <patternFill patternType="gray125"/>
    </fill>
    <fill>
      <patternFill patternType="solid">
        <fgColor rgb="FF003C72"/>
      </patternFill>
    </fill>
    <fill>
      <patternFill patternType="solid">
        <fgColor rgb="FFFFF3E0"/>
      </patternFill>
    </fill>
    <fill>
      <patternFill patternType="solid">
        <fgColor rgb="FFE6EDF5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rgb="FFFFEBEE"/>
      </patternFill>
    </fill>
  </fills>
  <borders count="2">
    <border>
      <left/>
      <right/>
      <top/>
      <bottom/>
      <diagonal/>
    </border>
    <border>
      <left style="thin">
        <color rgb="FF003C72"/>
      </left>
      <right style="thin">
        <color rgb="FF003C72"/>
      </right>
      <top style="thin">
        <color rgb="FF003C72"/>
      </top>
      <bottom style="thin">
        <color rgb="FF003C7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C72"/>
  </sheetPr>
  <dimension ref="A1:O36"/>
  <sheetViews>
    <sheetView showGridLines="0" tabSelected="1" workbookViewId="0">
      <pane ySplit="4" topLeftCell="A5" activePane="bottomLeft" state="frozen"/>
      <selection pane="bottomLeft" activeCell="B9" sqref="B9"/>
    </sheetView>
  </sheetViews>
  <sheetFormatPr defaultRowHeight="15" x14ac:dyDescent="0.25"/>
  <cols>
    <col min="1" max="1" width="10" customWidth="1"/>
    <col min="2" max="3" width="12" customWidth="1"/>
    <col min="4" max="4" width="14" customWidth="1"/>
    <col min="5" max="5" width="30" customWidth="1"/>
    <col min="6" max="6" width="40" customWidth="1"/>
    <col min="7" max="7" width="35" customWidth="1"/>
    <col min="8" max="9" width="18" customWidth="1"/>
    <col min="10" max="10" width="14" customWidth="1"/>
    <col min="11" max="11" width="12" customWidth="1"/>
    <col min="12" max="12" width="8" customWidth="1"/>
    <col min="13" max="13" width="10" customWidth="1"/>
    <col min="14" max="14" width="35" customWidth="1"/>
    <col min="15" max="15" width="14" customWidth="1"/>
  </cols>
  <sheetData>
    <row r="1" spans="1:15" ht="30" customHeight="1" x14ac:dyDescent="0.4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21.95" customHeight="1" x14ac:dyDescent="0.25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ht="8.1" customHeight="1" x14ac:dyDescent="0.25"/>
    <row r="4" spans="1:15" ht="27.95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 ht="54.95" customHeight="1" x14ac:dyDescent="0.25">
      <c r="A5" s="3" t="s">
        <v>17</v>
      </c>
      <c r="B5" s="3" t="s">
        <v>18</v>
      </c>
      <c r="C5" s="3" t="s">
        <v>19</v>
      </c>
      <c r="D5" s="3" t="s">
        <v>20</v>
      </c>
      <c r="E5" s="4" t="s">
        <v>21</v>
      </c>
      <c r="F5" s="4" t="s">
        <v>22</v>
      </c>
      <c r="G5" s="4" t="s">
        <v>23</v>
      </c>
      <c r="H5" s="3" t="s">
        <v>24</v>
      </c>
      <c r="I5" s="3" t="s">
        <v>25</v>
      </c>
      <c r="J5" s="3" t="s">
        <v>26</v>
      </c>
      <c r="K5" s="3" t="s">
        <v>27</v>
      </c>
      <c r="L5" s="5" t="s">
        <v>28</v>
      </c>
      <c r="M5" s="3">
        <v>55</v>
      </c>
      <c r="N5" s="4" t="s">
        <v>29</v>
      </c>
      <c r="O5" s="3" t="s">
        <v>30</v>
      </c>
    </row>
    <row r="6" spans="1:15" ht="54.95" customHeight="1" x14ac:dyDescent="0.25">
      <c r="A6" s="6" t="s">
        <v>31</v>
      </c>
      <c r="B6" s="6" t="s">
        <v>18</v>
      </c>
      <c r="C6" s="6" t="s">
        <v>19</v>
      </c>
      <c r="D6" s="6" t="s">
        <v>32</v>
      </c>
      <c r="E6" s="7" t="s">
        <v>33</v>
      </c>
      <c r="F6" s="7" t="s">
        <v>34</v>
      </c>
      <c r="G6" s="7" t="s">
        <v>35</v>
      </c>
      <c r="H6" s="6" t="s">
        <v>24</v>
      </c>
      <c r="I6" s="6" t="s">
        <v>36</v>
      </c>
      <c r="J6" s="6" t="s">
        <v>37</v>
      </c>
      <c r="K6" s="6" t="s">
        <v>27</v>
      </c>
      <c r="L6" s="8" t="s">
        <v>38</v>
      </c>
      <c r="M6" s="6">
        <v>25</v>
      </c>
      <c r="N6" s="7" t="s">
        <v>39</v>
      </c>
      <c r="O6" s="6" t="s">
        <v>40</v>
      </c>
    </row>
    <row r="7" spans="1:15" ht="54.95" customHeight="1" x14ac:dyDescent="0.25">
      <c r="A7" s="3" t="s">
        <v>41</v>
      </c>
      <c r="B7" s="3" t="s">
        <v>18</v>
      </c>
      <c r="C7" s="3" t="s">
        <v>19</v>
      </c>
      <c r="D7" s="3" t="s">
        <v>32</v>
      </c>
      <c r="E7" s="4" t="s">
        <v>42</v>
      </c>
      <c r="F7" s="4" t="s">
        <v>43</v>
      </c>
      <c r="G7" s="4" t="s">
        <v>44</v>
      </c>
      <c r="H7" s="3" t="s">
        <v>24</v>
      </c>
      <c r="I7" s="3" t="s">
        <v>45</v>
      </c>
      <c r="J7" s="3" t="s">
        <v>46</v>
      </c>
      <c r="K7" s="3" t="s">
        <v>27</v>
      </c>
      <c r="L7" s="8" t="s">
        <v>38</v>
      </c>
      <c r="M7" s="3">
        <v>30</v>
      </c>
      <c r="N7" s="4" t="s">
        <v>47</v>
      </c>
      <c r="O7" s="3" t="s">
        <v>48</v>
      </c>
    </row>
    <row r="8" spans="1:15" ht="54.95" customHeight="1" x14ac:dyDescent="0.25">
      <c r="A8" s="6" t="s">
        <v>49</v>
      </c>
      <c r="B8" s="6" t="s">
        <v>18</v>
      </c>
      <c r="C8" s="6" t="s">
        <v>19</v>
      </c>
      <c r="D8" s="6" t="s">
        <v>20</v>
      </c>
      <c r="E8" s="7" t="s">
        <v>50</v>
      </c>
      <c r="F8" s="7" t="s">
        <v>51</v>
      </c>
      <c r="G8" s="7" t="s">
        <v>52</v>
      </c>
      <c r="H8" s="6" t="s">
        <v>24</v>
      </c>
      <c r="I8" s="6" t="s">
        <v>36</v>
      </c>
      <c r="J8" s="6" t="s">
        <v>53</v>
      </c>
      <c r="K8" s="9" t="s">
        <v>54</v>
      </c>
      <c r="L8" s="8" t="s">
        <v>38</v>
      </c>
      <c r="M8" s="6">
        <v>100</v>
      </c>
      <c r="N8" s="7" t="s">
        <v>55</v>
      </c>
      <c r="O8" s="6" t="s">
        <v>56</v>
      </c>
    </row>
    <row r="9" spans="1:15" ht="54.95" customHeight="1" x14ac:dyDescent="0.25">
      <c r="A9" s="3" t="s">
        <v>57</v>
      </c>
      <c r="B9" s="3" t="s">
        <v>18</v>
      </c>
      <c r="C9" s="3" t="s">
        <v>19</v>
      </c>
      <c r="D9" s="3" t="s">
        <v>32</v>
      </c>
      <c r="E9" s="4" t="s">
        <v>58</v>
      </c>
      <c r="F9" s="4" t="s">
        <v>59</v>
      </c>
      <c r="G9" s="4" t="s">
        <v>60</v>
      </c>
      <c r="H9" s="3" t="s">
        <v>45</v>
      </c>
      <c r="I9" s="3" t="s">
        <v>24</v>
      </c>
      <c r="J9" s="3" t="s">
        <v>46</v>
      </c>
      <c r="K9" s="10" t="s">
        <v>61</v>
      </c>
      <c r="L9" s="5" t="s">
        <v>28</v>
      </c>
      <c r="M9" s="3">
        <v>5</v>
      </c>
      <c r="N9" s="4" t="s">
        <v>62</v>
      </c>
      <c r="O9" s="3" t="s">
        <v>63</v>
      </c>
    </row>
    <row r="10" spans="1:15" ht="54.95" customHeight="1" x14ac:dyDescent="0.25">
      <c r="A10" s="6" t="s">
        <v>64</v>
      </c>
      <c r="B10" s="6" t="s">
        <v>18</v>
      </c>
      <c r="C10" s="6" t="s">
        <v>19</v>
      </c>
      <c r="D10" s="6" t="s">
        <v>32</v>
      </c>
      <c r="E10" s="7" t="s">
        <v>65</v>
      </c>
      <c r="F10" s="7" t="s">
        <v>66</v>
      </c>
      <c r="G10" s="7" t="s">
        <v>67</v>
      </c>
      <c r="H10" s="6" t="s">
        <v>24</v>
      </c>
      <c r="I10" s="6" t="s">
        <v>68</v>
      </c>
      <c r="J10" s="6" t="s">
        <v>26</v>
      </c>
      <c r="K10" s="6" t="s">
        <v>27</v>
      </c>
      <c r="L10" s="8" t="s">
        <v>38</v>
      </c>
      <c r="M10" s="6">
        <v>40</v>
      </c>
      <c r="N10" s="7" t="s">
        <v>69</v>
      </c>
      <c r="O10" s="6" t="s">
        <v>70</v>
      </c>
    </row>
    <row r="11" spans="1:15" ht="54.95" customHeight="1" x14ac:dyDescent="0.25">
      <c r="A11" s="3" t="s">
        <v>71</v>
      </c>
      <c r="B11" s="3" t="s">
        <v>18</v>
      </c>
      <c r="C11" s="3" t="s">
        <v>19</v>
      </c>
      <c r="D11" s="3" t="s">
        <v>20</v>
      </c>
      <c r="E11" s="4" t="s">
        <v>72</v>
      </c>
      <c r="F11" s="4" t="s">
        <v>73</v>
      </c>
      <c r="G11" s="4" t="s">
        <v>74</v>
      </c>
      <c r="H11" s="3" t="s">
        <v>24</v>
      </c>
      <c r="I11" s="3" t="s">
        <v>36</v>
      </c>
      <c r="J11" s="3" t="s">
        <v>26</v>
      </c>
      <c r="K11" s="3" t="s">
        <v>75</v>
      </c>
      <c r="L11" s="8" t="s">
        <v>38</v>
      </c>
      <c r="M11" s="3">
        <v>20</v>
      </c>
      <c r="N11" s="4" t="s">
        <v>76</v>
      </c>
      <c r="O11" s="3" t="s">
        <v>77</v>
      </c>
    </row>
    <row r="12" spans="1:15" ht="54.95" customHeight="1" x14ac:dyDescent="0.25">
      <c r="A12" s="6" t="s">
        <v>78</v>
      </c>
      <c r="B12" s="6" t="s">
        <v>79</v>
      </c>
      <c r="C12" s="6" t="s">
        <v>80</v>
      </c>
      <c r="D12" s="6" t="s">
        <v>20</v>
      </c>
      <c r="E12" s="7" t="s">
        <v>81</v>
      </c>
      <c r="F12" s="7" t="s">
        <v>82</v>
      </c>
      <c r="G12" s="7" t="s">
        <v>83</v>
      </c>
      <c r="H12" s="6" t="s">
        <v>24</v>
      </c>
      <c r="I12" s="6" t="s">
        <v>25</v>
      </c>
      <c r="J12" s="6" t="s">
        <v>37</v>
      </c>
      <c r="K12" s="6" t="s">
        <v>27</v>
      </c>
      <c r="L12" s="8" t="s">
        <v>38</v>
      </c>
      <c r="M12" s="6">
        <v>25</v>
      </c>
      <c r="N12" s="7" t="s">
        <v>84</v>
      </c>
      <c r="O12" s="6" t="s">
        <v>85</v>
      </c>
    </row>
    <row r="13" spans="1:15" ht="54.95" customHeight="1" x14ac:dyDescent="0.25">
      <c r="A13" s="3" t="s">
        <v>86</v>
      </c>
      <c r="B13" s="3" t="s">
        <v>79</v>
      </c>
      <c r="C13" s="3" t="s">
        <v>87</v>
      </c>
      <c r="D13" s="3" t="s">
        <v>20</v>
      </c>
      <c r="E13" s="4" t="s">
        <v>88</v>
      </c>
      <c r="F13" s="4" t="s">
        <v>89</v>
      </c>
      <c r="G13" s="4" t="s">
        <v>83</v>
      </c>
      <c r="H13" s="3" t="s">
        <v>24</v>
      </c>
      <c r="I13" s="3" t="s">
        <v>25</v>
      </c>
      <c r="J13" s="3" t="s">
        <v>37</v>
      </c>
      <c r="K13" s="3" t="s">
        <v>27</v>
      </c>
      <c r="L13" s="8" t="s">
        <v>38</v>
      </c>
      <c r="M13" s="3">
        <v>25</v>
      </c>
      <c r="N13" s="4" t="s">
        <v>84</v>
      </c>
      <c r="O13" s="3" t="s">
        <v>90</v>
      </c>
    </row>
    <row r="14" spans="1:15" ht="54.95" customHeight="1" x14ac:dyDescent="0.25">
      <c r="A14" s="6" t="s">
        <v>91</v>
      </c>
      <c r="B14" s="6" t="s">
        <v>79</v>
      </c>
      <c r="C14" s="6" t="s">
        <v>92</v>
      </c>
      <c r="D14" s="6" t="s">
        <v>20</v>
      </c>
      <c r="E14" s="7" t="s">
        <v>93</v>
      </c>
      <c r="F14" s="7" t="s">
        <v>94</v>
      </c>
      <c r="G14" s="7" t="s">
        <v>83</v>
      </c>
      <c r="H14" s="6" t="s">
        <v>24</v>
      </c>
      <c r="I14" s="6" t="s">
        <v>25</v>
      </c>
      <c r="J14" s="6" t="s">
        <v>37</v>
      </c>
      <c r="K14" s="6" t="s">
        <v>27</v>
      </c>
      <c r="L14" s="8" t="s">
        <v>38</v>
      </c>
      <c r="M14" s="6">
        <v>25</v>
      </c>
      <c r="N14" s="7" t="s">
        <v>84</v>
      </c>
      <c r="O14" s="6" t="s">
        <v>95</v>
      </c>
    </row>
    <row r="15" spans="1:15" ht="54.95" customHeight="1" x14ac:dyDescent="0.25">
      <c r="A15" s="3" t="s">
        <v>96</v>
      </c>
      <c r="B15" s="3" t="s">
        <v>79</v>
      </c>
      <c r="C15" s="3" t="s">
        <v>80</v>
      </c>
      <c r="D15" s="3" t="s">
        <v>32</v>
      </c>
      <c r="E15" s="4" t="s">
        <v>97</v>
      </c>
      <c r="F15" s="4" t="s">
        <v>98</v>
      </c>
      <c r="G15" s="4" t="s">
        <v>99</v>
      </c>
      <c r="H15" s="3" t="s">
        <v>24</v>
      </c>
      <c r="I15" s="3" t="s">
        <v>36</v>
      </c>
      <c r="J15" s="3" t="s">
        <v>37</v>
      </c>
      <c r="K15" s="3" t="s">
        <v>27</v>
      </c>
      <c r="L15" s="8" t="s">
        <v>38</v>
      </c>
      <c r="M15" s="3">
        <v>25</v>
      </c>
      <c r="N15" s="4" t="s">
        <v>100</v>
      </c>
      <c r="O15" s="3" t="s">
        <v>101</v>
      </c>
    </row>
    <row r="16" spans="1:15" ht="54.95" customHeight="1" x14ac:dyDescent="0.25">
      <c r="A16" s="6" t="s">
        <v>102</v>
      </c>
      <c r="B16" s="6" t="s">
        <v>79</v>
      </c>
      <c r="C16" s="6" t="s">
        <v>80</v>
      </c>
      <c r="D16" s="6" t="s">
        <v>20</v>
      </c>
      <c r="E16" s="7" t="s">
        <v>103</v>
      </c>
      <c r="F16" s="7" t="s">
        <v>104</v>
      </c>
      <c r="G16" s="7" t="s">
        <v>105</v>
      </c>
      <c r="H16" s="6" t="s">
        <v>24</v>
      </c>
      <c r="I16" s="6" t="s">
        <v>36</v>
      </c>
      <c r="J16" s="6" t="s">
        <v>26</v>
      </c>
      <c r="K16" s="6" t="s">
        <v>75</v>
      </c>
      <c r="L16" s="8" t="s">
        <v>38</v>
      </c>
      <c r="M16" s="6">
        <v>33</v>
      </c>
      <c r="N16" s="7" t="s">
        <v>106</v>
      </c>
      <c r="O16" s="6" t="s">
        <v>107</v>
      </c>
    </row>
    <row r="17" spans="1:15" ht="54.95" customHeight="1" x14ac:dyDescent="0.25">
      <c r="A17" s="3" t="s">
        <v>108</v>
      </c>
      <c r="B17" s="3" t="s">
        <v>79</v>
      </c>
      <c r="C17" s="3" t="s">
        <v>80</v>
      </c>
      <c r="D17" s="3" t="s">
        <v>20</v>
      </c>
      <c r="E17" s="4" t="s">
        <v>109</v>
      </c>
      <c r="F17" s="4" t="s">
        <v>110</v>
      </c>
      <c r="G17" s="4" t="s">
        <v>111</v>
      </c>
      <c r="H17" s="3" t="s">
        <v>24</v>
      </c>
      <c r="I17" s="3" t="s">
        <v>45</v>
      </c>
      <c r="J17" s="3" t="s">
        <v>46</v>
      </c>
      <c r="K17" s="3" t="s">
        <v>75</v>
      </c>
      <c r="L17" s="5" t="s">
        <v>28</v>
      </c>
      <c r="M17" s="3">
        <v>15</v>
      </c>
      <c r="N17" s="4" t="s">
        <v>112</v>
      </c>
      <c r="O17" s="3" t="s">
        <v>113</v>
      </c>
    </row>
    <row r="18" spans="1:15" ht="54.95" customHeight="1" x14ac:dyDescent="0.25">
      <c r="A18" s="6" t="s">
        <v>114</v>
      </c>
      <c r="B18" s="6" t="s">
        <v>79</v>
      </c>
      <c r="C18" s="6" t="s">
        <v>87</v>
      </c>
      <c r="D18" s="6" t="s">
        <v>20</v>
      </c>
      <c r="E18" s="7" t="s">
        <v>115</v>
      </c>
      <c r="F18" s="7" t="s">
        <v>116</v>
      </c>
      <c r="G18" s="7" t="s">
        <v>117</v>
      </c>
      <c r="H18" s="6" t="s">
        <v>24</v>
      </c>
      <c r="I18" s="6" t="s">
        <v>118</v>
      </c>
      <c r="J18" s="6" t="s">
        <v>37</v>
      </c>
      <c r="K18" s="6" t="s">
        <v>27</v>
      </c>
      <c r="L18" s="8" t="s">
        <v>38</v>
      </c>
      <c r="M18" s="6">
        <v>50</v>
      </c>
      <c r="N18" s="7" t="s">
        <v>119</v>
      </c>
      <c r="O18" s="6" t="s">
        <v>120</v>
      </c>
    </row>
    <row r="19" spans="1:15" ht="54.95" customHeight="1" x14ac:dyDescent="0.25">
      <c r="A19" s="3" t="s">
        <v>121</v>
      </c>
      <c r="B19" s="3" t="s">
        <v>122</v>
      </c>
      <c r="C19" s="3" t="s">
        <v>123</v>
      </c>
      <c r="D19" s="3" t="s">
        <v>20</v>
      </c>
      <c r="E19" s="4" t="s">
        <v>124</v>
      </c>
      <c r="F19" s="4" t="s">
        <v>125</v>
      </c>
      <c r="G19" s="4" t="s">
        <v>83</v>
      </c>
      <c r="H19" s="3" t="s">
        <v>24</v>
      </c>
      <c r="I19" s="3" t="s">
        <v>25</v>
      </c>
      <c r="J19" s="3" t="s">
        <v>37</v>
      </c>
      <c r="K19" s="3" t="s">
        <v>27</v>
      </c>
      <c r="L19" s="8" t="s">
        <v>38</v>
      </c>
      <c r="M19" s="3">
        <v>25</v>
      </c>
      <c r="N19" s="4" t="s">
        <v>84</v>
      </c>
      <c r="O19" s="3" t="s">
        <v>126</v>
      </c>
    </row>
    <row r="20" spans="1:15" ht="54.95" customHeight="1" x14ac:dyDescent="0.25">
      <c r="A20" s="6" t="s">
        <v>127</v>
      </c>
      <c r="B20" s="6" t="s">
        <v>122</v>
      </c>
      <c r="C20" s="6" t="s">
        <v>123</v>
      </c>
      <c r="D20" s="6" t="s">
        <v>128</v>
      </c>
      <c r="E20" s="7" t="s">
        <v>129</v>
      </c>
      <c r="F20" s="7" t="s">
        <v>130</v>
      </c>
      <c r="G20" s="7" t="s">
        <v>131</v>
      </c>
      <c r="H20" s="6" t="s">
        <v>118</v>
      </c>
      <c r="I20" s="6" t="s">
        <v>24</v>
      </c>
      <c r="J20" s="6" t="s">
        <v>46</v>
      </c>
      <c r="K20" s="10" t="s">
        <v>61</v>
      </c>
      <c r="L20" s="5" t="s">
        <v>28</v>
      </c>
      <c r="M20" s="6">
        <v>0</v>
      </c>
      <c r="N20" s="7" t="s">
        <v>132</v>
      </c>
      <c r="O20" s="6" t="s">
        <v>133</v>
      </c>
    </row>
    <row r="21" spans="1:15" ht="54.95" customHeight="1" x14ac:dyDescent="0.25">
      <c r="A21" s="3" t="s">
        <v>134</v>
      </c>
      <c r="B21" s="3" t="s">
        <v>122</v>
      </c>
      <c r="C21" s="3" t="s">
        <v>123</v>
      </c>
      <c r="D21" s="3" t="s">
        <v>128</v>
      </c>
      <c r="E21" s="4" t="s">
        <v>135</v>
      </c>
      <c r="F21" s="4" t="s">
        <v>136</v>
      </c>
      <c r="G21" s="4" t="s">
        <v>137</v>
      </c>
      <c r="H21" s="3" t="s">
        <v>118</v>
      </c>
      <c r="I21" s="3" t="s">
        <v>138</v>
      </c>
      <c r="J21" s="3" t="s">
        <v>37</v>
      </c>
      <c r="K21" s="10" t="s">
        <v>61</v>
      </c>
      <c r="L21" s="10" t="s">
        <v>139</v>
      </c>
      <c r="M21" s="3">
        <v>0</v>
      </c>
      <c r="N21" s="4" t="s">
        <v>140</v>
      </c>
      <c r="O21" s="3" t="s">
        <v>141</v>
      </c>
    </row>
    <row r="22" spans="1:15" ht="54.95" customHeight="1" x14ac:dyDescent="0.25">
      <c r="A22" s="6" t="s">
        <v>142</v>
      </c>
      <c r="B22" s="6" t="s">
        <v>143</v>
      </c>
      <c r="C22" s="6" t="s">
        <v>144</v>
      </c>
      <c r="D22" s="6" t="s">
        <v>20</v>
      </c>
      <c r="E22" s="7" t="s">
        <v>145</v>
      </c>
      <c r="F22" s="7" t="s">
        <v>146</v>
      </c>
      <c r="G22" s="7" t="s">
        <v>147</v>
      </c>
      <c r="H22" s="6" t="s">
        <v>24</v>
      </c>
      <c r="I22" s="6" t="s">
        <v>25</v>
      </c>
      <c r="J22" s="6" t="s">
        <v>26</v>
      </c>
      <c r="K22" s="6" t="s">
        <v>27</v>
      </c>
      <c r="L22" s="8" t="s">
        <v>38</v>
      </c>
      <c r="M22" s="6">
        <v>45</v>
      </c>
      <c r="N22" s="7" t="s">
        <v>148</v>
      </c>
      <c r="O22" s="6" t="s">
        <v>149</v>
      </c>
    </row>
    <row r="23" spans="1:15" ht="54.95" customHeight="1" x14ac:dyDescent="0.25">
      <c r="A23" s="3" t="s">
        <v>150</v>
      </c>
      <c r="B23" s="3" t="s">
        <v>143</v>
      </c>
      <c r="C23" s="3" t="s">
        <v>144</v>
      </c>
      <c r="D23" s="3" t="s">
        <v>20</v>
      </c>
      <c r="E23" s="4" t="s">
        <v>151</v>
      </c>
      <c r="F23" s="4" t="s">
        <v>152</v>
      </c>
      <c r="G23" s="4" t="s">
        <v>153</v>
      </c>
      <c r="H23" s="3" t="s">
        <v>24</v>
      </c>
      <c r="I23" s="3" t="s">
        <v>25</v>
      </c>
      <c r="J23" s="3" t="s">
        <v>154</v>
      </c>
      <c r="K23" s="3" t="s">
        <v>27</v>
      </c>
      <c r="L23" s="5" t="s">
        <v>28</v>
      </c>
      <c r="M23" s="3">
        <v>50</v>
      </c>
      <c r="N23" s="4" t="s">
        <v>155</v>
      </c>
      <c r="O23" s="3" t="s">
        <v>156</v>
      </c>
    </row>
    <row r="24" spans="1:15" ht="54.95" customHeight="1" x14ac:dyDescent="0.25">
      <c r="A24" s="6" t="s">
        <v>157</v>
      </c>
      <c r="B24" s="6" t="s">
        <v>143</v>
      </c>
      <c r="C24" s="6" t="s">
        <v>144</v>
      </c>
      <c r="D24" s="6" t="s">
        <v>20</v>
      </c>
      <c r="E24" s="7" t="s">
        <v>158</v>
      </c>
      <c r="F24" s="7" t="s">
        <v>159</v>
      </c>
      <c r="G24" s="7" t="s">
        <v>160</v>
      </c>
      <c r="H24" s="6" t="s">
        <v>24</v>
      </c>
      <c r="I24" s="6" t="s">
        <v>161</v>
      </c>
      <c r="J24" s="6" t="s">
        <v>37</v>
      </c>
      <c r="K24" s="6" t="s">
        <v>75</v>
      </c>
      <c r="L24" s="8" t="s">
        <v>38</v>
      </c>
      <c r="M24" s="6">
        <v>20</v>
      </c>
      <c r="N24" s="7" t="s">
        <v>162</v>
      </c>
      <c r="O24" s="6" t="s">
        <v>163</v>
      </c>
    </row>
    <row r="25" spans="1:15" ht="54.95" customHeight="1" x14ac:dyDescent="0.25">
      <c r="A25" s="3" t="s">
        <v>164</v>
      </c>
      <c r="B25" s="3" t="s">
        <v>143</v>
      </c>
      <c r="C25" s="3" t="s">
        <v>144</v>
      </c>
      <c r="D25" s="3" t="s">
        <v>20</v>
      </c>
      <c r="E25" s="4" t="s">
        <v>165</v>
      </c>
      <c r="F25" s="4" t="s">
        <v>166</v>
      </c>
      <c r="G25" s="4" t="s">
        <v>167</v>
      </c>
      <c r="H25" s="3" t="s">
        <v>24</v>
      </c>
      <c r="I25" s="3" t="s">
        <v>25</v>
      </c>
      <c r="J25" s="3" t="s">
        <v>46</v>
      </c>
      <c r="K25" s="3" t="s">
        <v>27</v>
      </c>
      <c r="L25" s="8" t="s">
        <v>38</v>
      </c>
      <c r="M25" s="3">
        <v>50</v>
      </c>
      <c r="N25" s="4" t="s">
        <v>168</v>
      </c>
      <c r="O25" s="3" t="s">
        <v>169</v>
      </c>
    </row>
    <row r="26" spans="1:15" ht="54.95" customHeight="1" x14ac:dyDescent="0.25">
      <c r="A26" s="6" t="s">
        <v>170</v>
      </c>
      <c r="B26" s="6" t="s">
        <v>143</v>
      </c>
      <c r="C26" s="6" t="s">
        <v>144</v>
      </c>
      <c r="D26" s="6" t="s">
        <v>20</v>
      </c>
      <c r="E26" s="7" t="s">
        <v>171</v>
      </c>
      <c r="F26" s="7" t="s">
        <v>172</v>
      </c>
      <c r="G26" s="7" t="s">
        <v>173</v>
      </c>
      <c r="H26" s="6" t="s">
        <v>24</v>
      </c>
      <c r="I26" s="6" t="s">
        <v>36</v>
      </c>
      <c r="J26" s="6" t="s">
        <v>37</v>
      </c>
      <c r="K26" s="6" t="s">
        <v>27</v>
      </c>
      <c r="L26" s="8" t="s">
        <v>38</v>
      </c>
      <c r="M26" s="6">
        <v>25</v>
      </c>
      <c r="N26" s="7" t="s">
        <v>174</v>
      </c>
      <c r="O26" s="6" t="s">
        <v>175</v>
      </c>
    </row>
    <row r="27" spans="1:15" ht="54.95" customHeight="1" x14ac:dyDescent="0.25">
      <c r="A27" s="3" t="s">
        <v>176</v>
      </c>
      <c r="B27" s="3" t="s">
        <v>143</v>
      </c>
      <c r="C27" s="3" t="s">
        <v>177</v>
      </c>
      <c r="D27" s="3" t="s">
        <v>20</v>
      </c>
      <c r="E27" s="4" t="s">
        <v>178</v>
      </c>
      <c r="F27" s="4" t="s">
        <v>179</v>
      </c>
      <c r="G27" s="4" t="s">
        <v>180</v>
      </c>
      <c r="H27" s="3" t="s">
        <v>24</v>
      </c>
      <c r="I27" s="3" t="s">
        <v>45</v>
      </c>
      <c r="J27" s="3" t="s">
        <v>26</v>
      </c>
      <c r="K27" s="3" t="s">
        <v>75</v>
      </c>
      <c r="L27" s="8" t="s">
        <v>38</v>
      </c>
      <c r="M27" s="3">
        <v>40</v>
      </c>
      <c r="N27" s="4" t="s">
        <v>181</v>
      </c>
      <c r="O27" s="3" t="s">
        <v>182</v>
      </c>
    </row>
    <row r="28" spans="1:15" ht="54.95" customHeight="1" x14ac:dyDescent="0.25">
      <c r="A28" s="6" t="s">
        <v>183</v>
      </c>
      <c r="B28" s="6" t="s">
        <v>143</v>
      </c>
      <c r="C28" s="6" t="s">
        <v>184</v>
      </c>
      <c r="D28" s="6" t="s">
        <v>20</v>
      </c>
      <c r="E28" s="7" t="s">
        <v>185</v>
      </c>
      <c r="F28" s="7" t="s">
        <v>186</v>
      </c>
      <c r="G28" s="7" t="s">
        <v>187</v>
      </c>
      <c r="H28" s="6" t="s">
        <v>24</v>
      </c>
      <c r="I28" s="6" t="s">
        <v>188</v>
      </c>
      <c r="J28" s="6" t="s">
        <v>46</v>
      </c>
      <c r="K28" s="6" t="s">
        <v>75</v>
      </c>
      <c r="L28" s="5" t="s">
        <v>28</v>
      </c>
      <c r="M28" s="6">
        <v>35</v>
      </c>
      <c r="N28" s="7" t="s">
        <v>189</v>
      </c>
      <c r="O28" s="6" t="s">
        <v>190</v>
      </c>
    </row>
    <row r="29" spans="1:15" ht="54.95" customHeight="1" x14ac:dyDescent="0.25">
      <c r="A29" s="3" t="s">
        <v>191</v>
      </c>
      <c r="B29" s="3" t="s">
        <v>143</v>
      </c>
      <c r="C29" s="3" t="s">
        <v>144</v>
      </c>
      <c r="D29" s="3" t="s">
        <v>20</v>
      </c>
      <c r="E29" s="4" t="s">
        <v>192</v>
      </c>
      <c r="F29" s="4" t="s">
        <v>193</v>
      </c>
      <c r="G29" s="4" t="s">
        <v>194</v>
      </c>
      <c r="H29" s="3" t="s">
        <v>24</v>
      </c>
      <c r="I29" s="3" t="s">
        <v>188</v>
      </c>
      <c r="J29" s="3" t="s">
        <v>37</v>
      </c>
      <c r="K29" s="3" t="s">
        <v>27</v>
      </c>
      <c r="L29" s="8" t="s">
        <v>38</v>
      </c>
      <c r="M29" s="3">
        <v>60</v>
      </c>
      <c r="N29" s="4" t="s">
        <v>195</v>
      </c>
      <c r="O29" s="3" t="s">
        <v>196</v>
      </c>
    </row>
    <row r="30" spans="1:15" ht="54.95" customHeight="1" x14ac:dyDescent="0.25">
      <c r="A30" s="6" t="s">
        <v>197</v>
      </c>
      <c r="B30" s="6" t="s">
        <v>143</v>
      </c>
      <c r="C30" s="6" t="s">
        <v>177</v>
      </c>
      <c r="D30" s="6" t="s">
        <v>198</v>
      </c>
      <c r="E30" s="7" t="s">
        <v>199</v>
      </c>
      <c r="F30" s="7" t="s">
        <v>200</v>
      </c>
      <c r="G30" s="7" t="s">
        <v>201</v>
      </c>
      <c r="H30" s="6" t="s">
        <v>25</v>
      </c>
      <c r="I30" s="6" t="s">
        <v>24</v>
      </c>
      <c r="J30" s="6" t="s">
        <v>46</v>
      </c>
      <c r="K30" s="10" t="s">
        <v>61</v>
      </c>
      <c r="L30" s="5" t="s">
        <v>28</v>
      </c>
      <c r="M30" s="6">
        <v>0</v>
      </c>
      <c r="N30" s="7" t="s">
        <v>202</v>
      </c>
      <c r="O30" s="6" t="s">
        <v>203</v>
      </c>
    </row>
    <row r="31" spans="1:15" ht="54.95" customHeight="1" x14ac:dyDescent="0.25">
      <c r="A31" s="3" t="s">
        <v>204</v>
      </c>
      <c r="B31" s="3" t="s">
        <v>143</v>
      </c>
      <c r="C31" s="3" t="s">
        <v>144</v>
      </c>
      <c r="D31" s="3" t="s">
        <v>32</v>
      </c>
      <c r="E31" s="4" t="s">
        <v>205</v>
      </c>
      <c r="F31" s="4" t="s">
        <v>206</v>
      </c>
      <c r="G31" s="4" t="s">
        <v>207</v>
      </c>
      <c r="H31" s="3" t="s">
        <v>24</v>
      </c>
      <c r="I31" s="3" t="s">
        <v>36</v>
      </c>
      <c r="J31" s="3" t="s">
        <v>26</v>
      </c>
      <c r="K31" s="10" t="s">
        <v>61</v>
      </c>
      <c r="L31" s="5" t="s">
        <v>28</v>
      </c>
      <c r="M31" s="3">
        <v>0</v>
      </c>
      <c r="N31" s="4" t="s">
        <v>208</v>
      </c>
      <c r="O31" s="3" t="s">
        <v>209</v>
      </c>
    </row>
    <row r="32" spans="1:15" ht="54.95" customHeight="1" x14ac:dyDescent="0.25">
      <c r="A32" s="6" t="s">
        <v>210</v>
      </c>
      <c r="B32" s="6" t="s">
        <v>143</v>
      </c>
      <c r="C32" s="6" t="s">
        <v>144</v>
      </c>
      <c r="D32" s="6" t="s">
        <v>20</v>
      </c>
      <c r="E32" s="7" t="s">
        <v>211</v>
      </c>
      <c r="F32" s="7" t="s">
        <v>212</v>
      </c>
      <c r="G32" s="7" t="s">
        <v>213</v>
      </c>
      <c r="H32" s="6" t="s">
        <v>24</v>
      </c>
      <c r="I32" s="6" t="s">
        <v>118</v>
      </c>
      <c r="J32" s="6" t="s">
        <v>26</v>
      </c>
      <c r="K32" s="6" t="s">
        <v>27</v>
      </c>
      <c r="L32" s="5" t="s">
        <v>28</v>
      </c>
      <c r="M32" s="6">
        <v>30</v>
      </c>
      <c r="N32" s="7" t="s">
        <v>214</v>
      </c>
      <c r="O32" s="6" t="s">
        <v>215</v>
      </c>
    </row>
    <row r="33" spans="1:15" ht="54.95" customHeight="1" x14ac:dyDescent="0.25">
      <c r="A33" s="3" t="s">
        <v>216</v>
      </c>
      <c r="B33" s="3" t="s">
        <v>143</v>
      </c>
      <c r="C33" s="3" t="s">
        <v>144</v>
      </c>
      <c r="D33" s="3" t="s">
        <v>32</v>
      </c>
      <c r="E33" s="4" t="s">
        <v>217</v>
      </c>
      <c r="F33" s="4" t="s">
        <v>218</v>
      </c>
      <c r="G33" s="4" t="s">
        <v>219</v>
      </c>
      <c r="H33" s="3" t="s">
        <v>24</v>
      </c>
      <c r="I33" s="3" t="s">
        <v>138</v>
      </c>
      <c r="J33" s="3" t="s">
        <v>46</v>
      </c>
      <c r="K33" s="10" t="s">
        <v>61</v>
      </c>
      <c r="L33" s="5" t="s">
        <v>28</v>
      </c>
      <c r="M33" s="3">
        <v>0</v>
      </c>
      <c r="N33" s="4" t="s">
        <v>220</v>
      </c>
      <c r="O33" s="3" t="s">
        <v>221</v>
      </c>
    </row>
    <row r="34" spans="1:15" ht="54.95" customHeight="1" x14ac:dyDescent="0.25">
      <c r="A34" s="6" t="s">
        <v>222</v>
      </c>
      <c r="B34" s="6" t="s">
        <v>143</v>
      </c>
      <c r="C34" s="6" t="s">
        <v>144</v>
      </c>
      <c r="D34" s="6" t="s">
        <v>20</v>
      </c>
      <c r="E34" s="7" t="s">
        <v>223</v>
      </c>
      <c r="F34" s="7" t="s">
        <v>224</v>
      </c>
      <c r="G34" s="7" t="s">
        <v>225</v>
      </c>
      <c r="H34" s="6" t="s">
        <v>24</v>
      </c>
      <c r="I34" s="6" t="s">
        <v>25</v>
      </c>
      <c r="J34" s="6" t="s">
        <v>46</v>
      </c>
      <c r="K34" s="10" t="s">
        <v>61</v>
      </c>
      <c r="L34" s="5" t="s">
        <v>28</v>
      </c>
      <c r="M34" s="6">
        <v>0</v>
      </c>
      <c r="N34" s="7" t="s">
        <v>226</v>
      </c>
      <c r="O34" s="6" t="s">
        <v>227</v>
      </c>
    </row>
    <row r="35" spans="1:15" ht="54.95" customHeight="1" x14ac:dyDescent="0.25">
      <c r="A35" s="3" t="s">
        <v>228</v>
      </c>
      <c r="B35" s="3" t="s">
        <v>143</v>
      </c>
      <c r="C35" s="3" t="s">
        <v>177</v>
      </c>
      <c r="D35" s="3" t="s">
        <v>20</v>
      </c>
      <c r="E35" s="4" t="s">
        <v>229</v>
      </c>
      <c r="F35" s="4" t="s">
        <v>230</v>
      </c>
      <c r="G35" s="4" t="s">
        <v>231</v>
      </c>
      <c r="H35" s="3" t="s">
        <v>24</v>
      </c>
      <c r="I35" s="3" t="s">
        <v>188</v>
      </c>
      <c r="J35" s="3" t="s">
        <v>46</v>
      </c>
      <c r="K35" s="10" t="s">
        <v>61</v>
      </c>
      <c r="L35" s="5" t="s">
        <v>28</v>
      </c>
      <c r="M35" s="3">
        <v>5</v>
      </c>
      <c r="N35" s="4" t="s">
        <v>232</v>
      </c>
      <c r="O35" s="3" t="s">
        <v>233</v>
      </c>
    </row>
    <row r="36" spans="1:15" ht="54.95" customHeight="1" x14ac:dyDescent="0.25">
      <c r="A36" s="6" t="s">
        <v>234</v>
      </c>
      <c r="B36" s="6" t="s">
        <v>143</v>
      </c>
      <c r="C36" s="6" t="s">
        <v>177</v>
      </c>
      <c r="D36" s="6" t="s">
        <v>198</v>
      </c>
      <c r="E36" s="7" t="s">
        <v>235</v>
      </c>
      <c r="F36" s="7" t="s">
        <v>236</v>
      </c>
      <c r="G36" s="7" t="s">
        <v>237</v>
      </c>
      <c r="H36" s="6" t="s">
        <v>24</v>
      </c>
      <c r="I36" s="6" t="s">
        <v>45</v>
      </c>
      <c r="J36" s="6" t="s">
        <v>46</v>
      </c>
      <c r="K36" s="10" t="s">
        <v>61</v>
      </c>
      <c r="L36" s="5" t="s">
        <v>28</v>
      </c>
      <c r="M36" s="6">
        <v>0</v>
      </c>
      <c r="N36" s="7" t="s">
        <v>238</v>
      </c>
      <c r="O36" s="6" t="s">
        <v>239</v>
      </c>
    </row>
  </sheetData>
  <autoFilter ref="A4:O36" xr:uid="{00000000-0009-0000-0000-000000000000}"/>
  <mergeCells count="2">
    <mergeCell ref="A1:O1"/>
    <mergeCell ref="A2:O2"/>
  </mergeCells>
  <pageMargins left="0.75" right="0.75" top="1" bottom="1" header="0.5" footer="0.5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000-000000000000}">
          <x14:formula1>
            <xm:f>Lists!$A$2:$A$8</xm:f>
          </x14:formula1>
          <xm:sqref>K5:K36</xm:sqref>
        </x14:dataValidation>
        <x14:dataValidation type="list" xr:uid="{00000000-0002-0000-0000-000001000000}">
          <x14:formula1>
            <xm:f>Lists!$B$2:$B$5</xm:f>
          </x14:formula1>
          <xm:sqref>L5:L36</xm:sqref>
        </x14:dataValidation>
        <x14:dataValidation type="list" xr:uid="{00000000-0002-0000-0000-000002000000}">
          <x14:formula1>
            <xm:f>Lists!$C$2:$C$5</xm:f>
          </x14:formula1>
          <xm:sqref>B5:B36</xm:sqref>
        </x14:dataValidation>
        <x14:dataValidation type="list" xr:uid="{00000000-0002-0000-0000-000003000000}">
          <x14:formula1>
            <xm:f>Lists!$D$2:$D$7</xm:f>
          </x14:formula1>
          <xm:sqref>D5:D36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C72"/>
  </sheetPr>
  <dimension ref="A1:F18"/>
  <sheetViews>
    <sheetView showGridLines="0" workbookViewId="0"/>
  </sheetViews>
  <sheetFormatPr defaultRowHeight="15" x14ac:dyDescent="0.25"/>
  <cols>
    <col min="1" max="5" width="18" customWidth="1"/>
  </cols>
  <sheetData>
    <row r="1" spans="1:6" ht="26.25" x14ac:dyDescent="0.4">
      <c r="A1" s="17" t="s">
        <v>240</v>
      </c>
      <c r="B1" s="18"/>
      <c r="C1" s="18"/>
      <c r="D1" s="18"/>
      <c r="E1" s="18"/>
      <c r="F1" s="18"/>
    </row>
    <row r="2" spans="1:6" x14ac:dyDescent="0.25">
      <c r="A2" s="11" t="s">
        <v>241</v>
      </c>
    </row>
    <row r="3" spans="1:6" ht="8.1" customHeight="1" x14ac:dyDescent="0.25"/>
    <row r="4" spans="1:6" ht="15.75" x14ac:dyDescent="0.25">
      <c r="A4" s="1" t="s">
        <v>242</v>
      </c>
      <c r="D4" s="1" t="s">
        <v>243</v>
      </c>
    </row>
    <row r="5" spans="1:6" x14ac:dyDescent="0.25">
      <c r="A5" s="2" t="s">
        <v>244</v>
      </c>
      <c r="B5" s="2" t="s">
        <v>245</v>
      </c>
      <c r="D5" s="2" t="s">
        <v>12</v>
      </c>
      <c r="E5" s="2" t="s">
        <v>245</v>
      </c>
    </row>
    <row r="6" spans="1:6" x14ac:dyDescent="0.25">
      <c r="A6" s="3" t="s">
        <v>18</v>
      </c>
      <c r="B6" s="3">
        <f>COUNTIF(Objectives!B5:B36,"HSE")</f>
        <v>7</v>
      </c>
      <c r="D6" s="3" t="s">
        <v>27</v>
      </c>
      <c r="E6" s="3">
        <f>COUNTIF(Objectives!K5:K36,"On Track")</f>
        <v>16</v>
      </c>
    </row>
    <row r="7" spans="1:6" x14ac:dyDescent="0.25">
      <c r="A7" s="6" t="s">
        <v>79</v>
      </c>
      <c r="B7" s="6">
        <f>COUNTIF(Objectives!B5:B36,"SEC")</f>
        <v>7</v>
      </c>
      <c r="D7" s="6" t="s">
        <v>54</v>
      </c>
      <c r="E7" s="6">
        <f>COUNTIF(Objectives!K5:K36,"Completed")</f>
        <v>1</v>
      </c>
    </row>
    <row r="8" spans="1:6" x14ac:dyDescent="0.25">
      <c r="A8" s="3" t="s">
        <v>122</v>
      </c>
      <c r="B8" s="3">
        <f>COUNTIF(Objectives!B5:B36,"QMS")</f>
        <v>3</v>
      </c>
      <c r="D8" s="3" t="s">
        <v>75</v>
      </c>
      <c r="E8" s="3">
        <f>COUNTIF(Objectives!K5:K36,"In Progress")</f>
        <v>6</v>
      </c>
    </row>
    <row r="9" spans="1:6" x14ac:dyDescent="0.25">
      <c r="A9" s="6" t="s">
        <v>143</v>
      </c>
      <c r="B9" s="6">
        <f>COUNTIF(Objectives!B5:B36,"INT")</f>
        <v>15</v>
      </c>
      <c r="D9" s="6" t="s">
        <v>61</v>
      </c>
      <c r="E9" s="6">
        <f>COUNTIF(Objectives!K5:K36,"Not Started")</f>
        <v>9</v>
      </c>
    </row>
    <row r="10" spans="1:6" x14ac:dyDescent="0.25">
      <c r="A10" s="12" t="s">
        <v>246</v>
      </c>
      <c r="B10" s="12">
        <f>SUM(B6:B9)</f>
        <v>32</v>
      </c>
      <c r="D10" s="3" t="s">
        <v>247</v>
      </c>
      <c r="E10" s="3">
        <f>COUNTIF(Objectives!K5:K36,"At Risk")</f>
        <v>0</v>
      </c>
    </row>
    <row r="11" spans="1:6" x14ac:dyDescent="0.25">
      <c r="D11" s="6" t="s">
        <v>248</v>
      </c>
      <c r="E11" s="6">
        <f>COUNTIF(Objectives!K5:K36,"Overdue")</f>
        <v>0</v>
      </c>
    </row>
    <row r="13" spans="1:6" ht="15.75" x14ac:dyDescent="0.25">
      <c r="A13" s="1" t="s">
        <v>249</v>
      </c>
      <c r="D13" s="1" t="s">
        <v>250</v>
      </c>
    </row>
    <row r="14" spans="1:6" x14ac:dyDescent="0.25">
      <c r="A14" s="2" t="s">
        <v>13</v>
      </c>
      <c r="B14" s="2" t="s">
        <v>245</v>
      </c>
      <c r="D14" s="2" t="s">
        <v>251</v>
      </c>
      <c r="E14" s="2" t="s">
        <v>252</v>
      </c>
    </row>
    <row r="15" spans="1:6" x14ac:dyDescent="0.25">
      <c r="A15" s="8" t="s">
        <v>38</v>
      </c>
      <c r="B15" s="3">
        <f>COUNTIF(Objectives!L5:L36,"Green")</f>
        <v>18</v>
      </c>
      <c r="D15" s="3" t="s">
        <v>253</v>
      </c>
      <c r="E15" s="13">
        <f>AVERAGE(Objectives!M5:M36)</f>
        <v>26.8125</v>
      </c>
    </row>
    <row r="16" spans="1:6" x14ac:dyDescent="0.25">
      <c r="A16" s="5" t="s">
        <v>28</v>
      </c>
      <c r="B16" s="3">
        <f>COUNTIF(Objectives!L5:L36,"Amber")</f>
        <v>13</v>
      </c>
      <c r="D16" s="6" t="s">
        <v>254</v>
      </c>
      <c r="E16" s="14">
        <f>MAX(Objectives!M5:M36)</f>
        <v>100</v>
      </c>
    </row>
    <row r="17" spans="1:5" x14ac:dyDescent="0.25">
      <c r="A17" s="15" t="s">
        <v>255</v>
      </c>
      <c r="B17" s="3">
        <f>COUNTIF(Objectives!L5:L36,"Red")</f>
        <v>0</v>
      </c>
      <c r="D17" s="3" t="s">
        <v>256</v>
      </c>
      <c r="E17" s="13">
        <f>MIN(Objectives!M5:M36)</f>
        <v>0</v>
      </c>
    </row>
    <row r="18" spans="1:5" x14ac:dyDescent="0.25">
      <c r="A18" s="10" t="s">
        <v>139</v>
      </c>
      <c r="B18" s="3">
        <f>COUNTIF(Objectives!L5:L36,"Grey")</f>
        <v>1</v>
      </c>
      <c r="D18" s="6" t="s">
        <v>257</v>
      </c>
      <c r="E18" s="16">
        <f>COUNTA(Objectives!A5:A36)</f>
        <v>32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3C72"/>
  </sheetPr>
  <dimension ref="A1:F5"/>
  <sheetViews>
    <sheetView showGridLines="0" workbookViewId="0"/>
  </sheetViews>
  <sheetFormatPr defaultRowHeight="15" x14ac:dyDescent="0.25"/>
  <cols>
    <col min="1" max="1" width="14" customWidth="1"/>
    <col min="2" max="2" width="16" customWidth="1"/>
    <col min="3" max="3" width="18" customWidth="1"/>
    <col min="4" max="4" width="50" customWidth="1"/>
    <col min="5" max="5" width="40" customWidth="1"/>
    <col min="6" max="6" width="16" customWidth="1"/>
  </cols>
  <sheetData>
    <row r="1" spans="1:6" ht="26.25" x14ac:dyDescent="0.4">
      <c r="A1" s="17" t="s">
        <v>258</v>
      </c>
      <c r="B1" s="18"/>
      <c r="C1" s="18"/>
      <c r="D1" s="18"/>
      <c r="E1" s="18"/>
      <c r="F1" s="18"/>
    </row>
    <row r="2" spans="1:6" x14ac:dyDescent="0.25">
      <c r="A2" s="11" t="s">
        <v>259</v>
      </c>
    </row>
    <row r="3" spans="1:6" ht="8.1" customHeight="1" x14ac:dyDescent="0.25"/>
    <row r="4" spans="1:6" x14ac:dyDescent="0.25">
      <c r="A4" s="2" t="s">
        <v>260</v>
      </c>
      <c r="B4" s="2" t="s">
        <v>261</v>
      </c>
      <c r="C4" s="2" t="s">
        <v>262</v>
      </c>
      <c r="D4" s="2" t="s">
        <v>263</v>
      </c>
      <c r="E4" s="2" t="s">
        <v>264</v>
      </c>
      <c r="F4" s="2" t="s">
        <v>265</v>
      </c>
    </row>
    <row r="5" spans="1:6" ht="80.099999999999994" customHeight="1" x14ac:dyDescent="0.25">
      <c r="A5" s="3" t="s">
        <v>266</v>
      </c>
      <c r="B5" s="3" t="s">
        <v>267</v>
      </c>
      <c r="C5" s="3" t="s">
        <v>24</v>
      </c>
      <c r="D5" s="4" t="s">
        <v>268</v>
      </c>
      <c r="E5" s="4" t="s">
        <v>269</v>
      </c>
      <c r="F5" s="3" t="s">
        <v>270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3C72"/>
  </sheetPr>
  <dimension ref="A1:E12"/>
  <sheetViews>
    <sheetView showGridLines="0" workbookViewId="0"/>
  </sheetViews>
  <sheetFormatPr defaultRowHeight="15" x14ac:dyDescent="0.25"/>
  <cols>
    <col min="1" max="5" width="20" customWidth="1"/>
  </cols>
  <sheetData>
    <row r="1" spans="1:5" x14ac:dyDescent="0.25">
      <c r="A1" s="2" t="s">
        <v>12</v>
      </c>
      <c r="B1" s="2" t="s">
        <v>13</v>
      </c>
      <c r="C1" s="2" t="s">
        <v>3</v>
      </c>
      <c r="D1" s="2" t="s">
        <v>5</v>
      </c>
      <c r="E1" s="2" t="s">
        <v>4</v>
      </c>
    </row>
    <row r="2" spans="1:5" x14ac:dyDescent="0.25">
      <c r="A2" s="3" t="s">
        <v>27</v>
      </c>
      <c r="B2" s="3" t="s">
        <v>38</v>
      </c>
      <c r="C2" s="3" t="s">
        <v>18</v>
      </c>
      <c r="D2" s="3" t="s">
        <v>32</v>
      </c>
      <c r="E2" s="3" t="s">
        <v>19</v>
      </c>
    </row>
    <row r="3" spans="1:5" x14ac:dyDescent="0.25">
      <c r="A3" s="3" t="s">
        <v>54</v>
      </c>
      <c r="B3" s="3" t="s">
        <v>28</v>
      </c>
      <c r="C3" s="3" t="s">
        <v>79</v>
      </c>
      <c r="D3" s="3" t="s">
        <v>128</v>
      </c>
      <c r="E3" s="3" t="s">
        <v>80</v>
      </c>
    </row>
    <row r="4" spans="1:5" x14ac:dyDescent="0.25">
      <c r="A4" s="3" t="s">
        <v>75</v>
      </c>
      <c r="B4" s="3" t="s">
        <v>255</v>
      </c>
      <c r="C4" s="3" t="s">
        <v>122</v>
      </c>
      <c r="D4" s="3" t="s">
        <v>20</v>
      </c>
      <c r="E4" s="3" t="s">
        <v>87</v>
      </c>
    </row>
    <row r="5" spans="1:5" x14ac:dyDescent="0.25">
      <c r="A5" s="3" t="s">
        <v>61</v>
      </c>
      <c r="B5" s="3" t="s">
        <v>139</v>
      </c>
      <c r="C5" s="3" t="s">
        <v>143</v>
      </c>
      <c r="D5" s="3" t="s">
        <v>198</v>
      </c>
      <c r="E5" s="3" t="s">
        <v>92</v>
      </c>
    </row>
    <row r="6" spans="1:5" x14ac:dyDescent="0.25">
      <c r="A6" s="3" t="s">
        <v>247</v>
      </c>
      <c r="D6" s="3" t="s">
        <v>271</v>
      </c>
      <c r="E6" s="3" t="s">
        <v>123</v>
      </c>
    </row>
    <row r="7" spans="1:5" x14ac:dyDescent="0.25">
      <c r="A7" s="3" t="s">
        <v>248</v>
      </c>
      <c r="D7" s="3" t="s">
        <v>272</v>
      </c>
      <c r="E7" s="3" t="s">
        <v>144</v>
      </c>
    </row>
    <row r="8" spans="1:5" x14ac:dyDescent="0.25">
      <c r="A8" s="3" t="s">
        <v>273</v>
      </c>
      <c r="E8" s="3" t="s">
        <v>177</v>
      </c>
    </row>
    <row r="9" spans="1:5" x14ac:dyDescent="0.25">
      <c r="E9" s="3" t="s">
        <v>184</v>
      </c>
    </row>
    <row r="10" spans="1:5" x14ac:dyDescent="0.25">
      <c r="E10" s="3" t="s">
        <v>274</v>
      </c>
    </row>
    <row r="11" spans="1:5" x14ac:dyDescent="0.25">
      <c r="E11" s="3" t="s">
        <v>275</v>
      </c>
    </row>
    <row r="12" spans="1:5" x14ac:dyDescent="0.25">
      <c r="E12" s="3" t="s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Objectives</vt:lpstr>
      <vt:lpstr>Dashboard</vt:lpstr>
      <vt:lpstr>Review History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Darren Watts</cp:lastModifiedBy>
  <dcterms:created xsi:type="dcterms:W3CDTF">2026-03-31T15:04:49Z</dcterms:created>
  <dcterms:modified xsi:type="dcterms:W3CDTF">2026-03-31T15:06:07Z</dcterms:modified>
</cp:coreProperties>
</file>