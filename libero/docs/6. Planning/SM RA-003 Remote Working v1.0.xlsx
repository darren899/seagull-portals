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
    </mc:Choice>
  </mc:AlternateContent>
  <xr:revisionPtr revIDLastSave="5" documentId="11_4736CCE6209258B59DCAE10DF41655930FE4F171" xr6:coauthVersionLast="47" xr6:coauthVersionMax="47" xr10:uidLastSave="{415A9C37-6512-441E-ACE5-5B86241295AF}"/>
  <bookViews>
    <workbookView xWindow="-120" yWindow="-120" windowWidth="77040" windowHeight="21120" tabRatio="500" activeTab="1"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6" i="4" l="1"/>
  <c r="M16" i="4" s="1"/>
  <c r="G16" i="4"/>
  <c r="H16" i="4" s="1"/>
  <c r="M15" i="4"/>
  <c r="L15" i="4"/>
  <c r="G15" i="4"/>
  <c r="H15" i="4" s="1"/>
  <c r="L14" i="4"/>
  <c r="M14" i="4" s="1"/>
  <c r="G14" i="4"/>
  <c r="H14" i="4" s="1"/>
  <c r="M13" i="4"/>
  <c r="L13" i="4"/>
  <c r="G13" i="4"/>
  <c r="H13" i="4" s="1"/>
  <c r="L12" i="4"/>
  <c r="M12" i="4" s="1"/>
  <c r="G12" i="4"/>
  <c r="H12" i="4" s="1"/>
  <c r="M11" i="4"/>
  <c r="L11" i="4"/>
  <c r="G11" i="4"/>
  <c r="H11" i="4" s="1"/>
  <c r="L10" i="4"/>
  <c r="M10" i="4" s="1"/>
  <c r="G10" i="4"/>
  <c r="H10" i="4" s="1"/>
  <c r="M9" i="4"/>
  <c r="L9" i="4"/>
  <c r="G9" i="4"/>
  <c r="H9" i="4" s="1"/>
  <c r="L8" i="4"/>
  <c r="M8" i="4" s="1"/>
  <c r="G8" i="4"/>
  <c r="H8" i="4" s="1"/>
  <c r="M7" i="4"/>
  <c r="L7" i="4"/>
  <c r="G7" i="4"/>
  <c r="H7" i="4" s="1"/>
  <c r="L6" i="4"/>
  <c r="M6" i="4" s="1"/>
  <c r="G6" i="4"/>
  <c r="H6" i="4" s="1"/>
  <c r="M5" i="4"/>
  <c r="L5" i="4"/>
  <c r="G5" i="4"/>
  <c r="H5" i="4" s="1"/>
  <c r="D29" i="1"/>
  <c r="D26" i="1"/>
  <c r="D25" i="1"/>
  <c r="D24" i="1"/>
  <c r="C6" i="1"/>
  <c r="D28" i="1" l="1"/>
  <c r="D12" i="1"/>
  <c r="E12" i="1" s="1"/>
  <c r="D6" i="1"/>
  <c r="G6" i="1"/>
  <c r="D13" i="1"/>
  <c r="E13" i="1" s="1"/>
  <c r="F6" i="1"/>
  <c r="E6" i="1"/>
  <c r="D11" i="1"/>
  <c r="E11" i="1" s="1"/>
  <c r="D10" i="1"/>
  <c r="E10" i="1" s="1"/>
  <c r="D27" i="1"/>
  <c r="D17" i="1"/>
  <c r="E17" i="1" s="1"/>
  <c r="D18" i="1"/>
  <c r="E18" i="1" s="1"/>
  <c r="D20" i="1"/>
  <c r="E20" i="1" s="1"/>
  <c r="D19" i="1"/>
  <c r="E19" i="1" s="1"/>
</calcChain>
</file>

<file path=xl/sharedStrings.xml><?xml version="1.0" encoding="utf-8"?>
<sst xmlns="http://schemas.openxmlformats.org/spreadsheetml/2006/main" count="227" uniqueCount="183">
  <si>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</si>
  <si>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</si>
  <si>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</si>
  <si>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</si>
  <si>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</si>
  <si>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</si>
  <si>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</si>
  <si>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</si>
  <si>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</si>
  <si>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</si>
  <si>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</si>
  <si>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</si>
  <si>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</si>
  <si>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</si>
  <si>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</si>
  <si>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</si>
  <si>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</si>
  <si>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</si>
  <si>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</si>
  <si>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</si>
  <si>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</si>
  <si>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</si>
  <si>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</si>
  <si>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</si>
  <si>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</si>
  <si>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</si>
  <si>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</si>
  <si>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SM/HSE/RA/008</t>
  </si>
  <si>
    <t>Version:</t>
  </si>
  <si>
    <t>1.0</t>
  </si>
  <si>
    <t>Effective Date:</t>
  </si>
  <si>
    <t>15 March 2026</t>
  </si>
  <si>
    <t>Review Date:</t>
  </si>
  <si>
    <t>15 September 2026</t>
  </si>
  <si>
    <t>Assessed by:</t>
  </si>
  <si>
    <t>Group Compliance Director</t>
  </si>
  <si>
    <t>Status:</t>
  </si>
  <si>
    <t>Active</t>
  </si>
  <si>
    <t>SAFETY RISK ASSESSMENT – REMOTE WORKING</t>
  </si>
  <si>
    <t>RISK MANAGEMENT INFORMATION</t>
  </si>
  <si>
    <t>Risk Assessment ID:</t>
  </si>
  <si>
    <t>RA-008</t>
  </si>
  <si>
    <t>Location:</t>
  </si>
  <si>
    <t>All remote/home working locations</t>
  </si>
  <si>
    <t>Activity Description:</t>
  </si>
  <si>
    <t>Work undertaken by Seagull Maritime personnel from home or other remote locations including desk-based administration, reporting, meetings, and communication. Covers DSE use, ergonomics, lone working, mental health, and home environment hazards.</t>
  </si>
  <si>
    <t>Contributors:</t>
  </si>
  <si>
    <t>Line Managers</t>
  </si>
  <si>
    <t>Responsible Persons:</t>
  </si>
  <si>
    <t>Line Managers, All Remote Workers</t>
  </si>
  <si>
    <t>Line Managers have day-to-day responsibility for health and safety and must be aware of the hazards and control measures in this assessment. They must ensure all remote workers are aware of the findings and that adequate training and supervision is in place.</t>
  </si>
  <si>
    <t>Remote Workers are to ensure they have read the risk assessment, understood and acknowledged the controls, and follow any instructions given.</t>
  </si>
  <si>
    <t>Group Compliance Director and Human Resources have overall responsibility for the remote working policy and periodic review of this assessment.</t>
  </si>
  <si>
    <t>COMMUNICATION &amp; CONSULTATION / RECORDING &amp; REPORTING / MONITORING &amp; REVIEW</t>
  </si>
  <si>
    <t>This risk assessment must be shared with all personnel engaged in remote working. All personnel must confirm they have read and understood the assessment before commencing remote work.</t>
  </si>
  <si>
    <t>Monitoring and supervision: Line Managers must monitor the activities and wellbeing of remote workers through regular check-ins and reviews.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</si>
  <si>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</si>
  <si>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</si>
  <si>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</si>
  <si>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</si>
  <si>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</si>
  <si>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</si>
  <si>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</si>
  <si>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</si>
  <si>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</si>
  <si>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</si>
  <si>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</si>
  <si>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</si>
  <si>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</si>
  <si>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</si>
  <si>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</si>
  <si>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</si>
  <si>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</si>
  <si>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</si>
  <si>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</si>
  <si>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</si>
  <si>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</si>
  <si>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</si>
  <si>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</si>
  <si>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</si>
  <si>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</si>
  <si>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</si>
  <si>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</si>
  <si>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</si>
  <si>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</si>
  <si>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</si>
  <si>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</si>
  <si>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</si>
  <si>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</si>
  <si>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</si>
  <si>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</si>
  <si>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</si>
  <si>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</si>
  <si>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</si>
  <si>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</si>
  <si>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</si>
  <si>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</si>
  <si>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</si>
  <si>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</si>
  <si>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</si>
  <si>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</si>
  <si>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</si>
  <si>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</si>
  <si>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</si>
  <si>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</si>
  <si>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</si>
  <si>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</si>
  <si>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</si>
  <si>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</si>
  <si>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</si>
  <si>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</si>
  <si>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</si>
  <si>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</si>
  <si>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</si>
  <si>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</si>
  <si>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</si>
  <si>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</si>
  <si>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</si>
  <si>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</si>
  <si>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</si>
  <si>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</si>
  <si>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</si>
  <si>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</si>
  <si>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</si>
  <si>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</si>
  <si>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RW-001</t>
  </si>
  <si>
    <t>Display screen equipment (DSE)</t>
  </si>
  <si>
    <t>Prolonged use of laptops and monitors without proper ergonomic setup may cause eye strain, headaches, repetitive strain injury, or musculoskeletal disorders.</t>
  </si>
  <si>
    <t>All Remote Workers</t>
  </si>
  <si>
    <t>Remote worker DSE self-assessment issued to all remote workers.
Guidance provided on correct workstation setup.
External keyboard, mouse, and monitor stand recommended.
Regular breaks encouraged – at least 5 minutes every hour.
Eye tests offered where required.
Line manager reviews self-assessment and follows up.</t>
  </si>
  <si>
    <t>Open</t>
  </si>
  <si>
    <t>RW-002</t>
  </si>
  <si>
    <t>Poor ergonomics / workstation setup</t>
  </si>
  <si>
    <t>Working from sofas, beds, kitchen tables, or unsuitable furniture for extended periods may cause chronic back pain, neck strain, or postural problems.</t>
  </si>
  <si>
    <t>Self-assessment includes workstation evaluation.
Guidance provided on suitable desk, chair, and screen positioning.
Company may provide ergonomic equipment where justified.
Personnel encouraged to vary working position throughout the day.
Standing desk or alternative arrangements supported where possible.</t>
  </si>
  <si>
    <t>RW-003</t>
  </si>
  <si>
    <t>Electrical hazards</t>
  </si>
  <si>
    <t>Use of personal electrical equipment, overloaded extension leads, or faulty domestic wiring may cause electric shock or fire.</t>
  </si>
  <si>
    <t>Remote workers advised to check condition of plugs, sockets, and cables.
Overloading of power sockets prohibited.
Company-issued equipment maintained and PAT tested before issue.
Personnel report any electrical concerns.
Guidance issued on safe use of extension leads and chargers.</t>
  </si>
  <si>
    <t>RW-004</t>
  </si>
  <si>
    <t>Fire at home workplace</t>
  </si>
  <si>
    <t>Fire from electrical fault, cooking, or heating appliance in or near the working area may cause injury, equipment loss, or data loss.</t>
  </si>
  <si>
    <t>Remote workers advised to ensure working smoke detectors in home.
Working area kept clear of combustible materials.
Fire escape route considered for home workspace.
Company equipment not left charging unattended overnight.
Personnel aware of emergency procedures and exit routes.</t>
  </si>
  <si>
    <t>RW-005</t>
  </si>
  <si>
    <t>Slips, trips, and falls</t>
  </si>
  <si>
    <t>Trailing cables, cluttered workspace, or poor lighting in the home environment may cause slips, trips, or falls.</t>
  </si>
  <si>
    <t>Self-assessment includes workspace tidiness and cable management.
Adequate lighting recommended for workspace.
Trailing cables secured or routed safely.
Home workspace kept clean and uncluttered.
Personnel advised to report any workspace concerns.</t>
  </si>
  <si>
    <t>RW-006</t>
  </si>
  <si>
    <t>Lone working / isolation</t>
  </si>
  <si>
    <t>Working alone for extended periods without face-to-face contact may increase risk from medical emergency, security incident, or inability to summon help.</t>
  </si>
  <si>
    <t>Lone working policy applies to remote workers.
Regular check-ins with line manager or team (daily minimum).
Emergency contact details held by company.
Mobile phone accessible during working hours.
Personnel know how to summon emergency services from their location.</t>
  </si>
  <si>
    <t>RW-007</t>
  </si>
  <si>
    <t>Mental health and wellbeing</t>
  </si>
  <si>
    <t>Prolonged remote working may contribute to social isolation, loneliness, blurred work-life boundaries, stress, anxiety, or burnout.</t>
  </si>
  <si>
    <t>Regular team meetings and social interaction maintained.
Line managers conduct regular wellbeing check-ins.
Personnel encouraged to set clear working hours and boundaries.
Access to employee assistance or wellbeing support.
Holiday and rest days monitored to prevent burnout.
Flexible working arrangements available.</t>
  </si>
  <si>
    <t>RW-008</t>
  </si>
  <si>
    <t>Data security and confidentiality</t>
  </si>
  <si>
    <t>Working from unsecured networks, shared spaces, or public locations may expose sensitive company or client data to unauthorised access or breach.</t>
  </si>
  <si>
    <t>All Remote Workers / Company</t>
  </si>
  <si>
    <t>VPN required for accessing company systems.
Screen lock enforced when stepping away.
Work not conducted in public spaces where screens visible.
Company data stored on company systems only – not personal devices.
Printed documents secured and shredded when no longer needed.
Information security policy applies to all remote workers.</t>
  </si>
  <si>
    <t>RW-009</t>
  </si>
  <si>
    <t>Domestic environment hazards</t>
  </si>
  <si>
    <t>Home environment factors such as pets, children, visitors, or household activities may create distractions or physical hazards during working hours.</t>
  </si>
  <si>
    <t>Dedicated workspace recommended where possible.
Personnel advised to manage distractions during working hours.
Hot drinks and liquids kept away from equipment.
Workspace door closed during calls and focused work where possible.</t>
  </si>
  <si>
    <t>RW-010</t>
  </si>
  <si>
    <t>Inadequate first aid provision</t>
  </si>
  <si>
    <t>Absence of workplace first aid facilities at home may delay treatment of minor injuries.</t>
  </si>
  <si>
    <t>Personnel advised to maintain a basic first aid kit at home.
Emergency services contact numbers known.
Line manager informed of any injury sustained during working hours.
Incidents reported through standard reporting procedure.</t>
  </si>
  <si>
    <t>RW-011</t>
  </si>
  <si>
    <t>Working hours and fatigue</t>
  </si>
  <si>
    <t>Blurred boundaries between work and personal time may lead to excessive working hours, fatigue, reduced concentration, and increased error rates.</t>
  </si>
  <si>
    <t>Clear working hours agreed between employee and manager.
Overtime monitored and excessive hours addressed.
Personnel encouraged to take regular breaks.
Line managers monitor output patterns for signs of overwork.
Company culture supports switching off outside agreed hours.</t>
  </si>
  <si>
    <t>RW-012</t>
  </si>
  <si>
    <t>Climate and environment – hot locations</t>
  </si>
  <si>
    <t>Remote workers in hot climates (Dubai, Lagos, West Africa) may experience heat-related illness if air conditioning fails or during power outages.</t>
  </si>
  <si>
    <t>Remote Workers in Hot Climates</t>
  </si>
  <si>
    <t>Air conditioning maintained where applicable.
Drinking water available.
Contingency plan for power outages (relocate to alternative location or cease work).
Personnel briefed on heat stress symptoms.
Flexible arrangements available during extreme heat events.</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</si>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</sst>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7">
    <xf numFmtId="0" fontId="0" fillId="0" borderId="0" xfId="0"/>
    <xf numFmtId="0" fontId="4" fillId="0" borderId="3" xfId="0" applyFont="1" applyBorder="1"/>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vertical="center"/>
    </xf>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9" fillId="0" borderId="3" xfId="0" applyFont="1" applyBorder="1"/>
    <xf numFmtId="0" fontId="0" fillId="0" borderId="0" xfId="0" applyBorder="1"/>
    <xf numFmtId="0" fontId="0" fillId="0" borderId="4" xfId="0" applyBorder="1"/>
    <xf numFmtId="0" fontId="9" fillId="0" borderId="1" xfId="0" applyFont="1" applyBorder="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zoomScaleNormal="100" workbookViewId="0">
      <selection sqref="A1:C1"/>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12"/>
      <c r="B1" s="12"/>
      <c r="C1" s="12"/>
    </row>
    <row r="2" spans="1:6" ht="26.25" customHeight="1" x14ac:dyDescent="0.25">
      <c r="A2" s="11" t="s">
        <v>38</v>
      </c>
      <c r="B2" s="11"/>
      <c r="C2" s="11"/>
      <c r="D2" s="11"/>
      <c r="E2" s="11"/>
      <c r="F2" s="11"/>
    </row>
    <row r="4" spans="1:6" ht="15.75" customHeight="1" x14ac:dyDescent="0.25">
      <c r="A4" s="29" t="s">
        <v>39</v>
      </c>
    </row>
    <row r="6" spans="1:6" ht="15.75" customHeight="1" x14ac:dyDescent="0.25">
      <c r="A6" s="27" t="s">
        <v>40</v>
      </c>
      <c r="B6" s="28" t="s">
        <v>41</v>
      </c>
      <c r="C6" s="30" t="s">
        <v>42</v>
      </c>
      <c r="D6" s="28" t="s">
        <v>43</v>
      </c>
    </row>
    <row r="7" spans="1:6" ht="38.25" customHeight="1" x14ac:dyDescent="0.25">
      <c r="A7" s="27" t="s">
        <v>44</v>
      </c>
      <c r="B7" s="10" t="s">
        <v>45</v>
      </c>
      <c r="C7" s="10"/>
      <c r="D7" s="10"/>
    </row>
    <row r="8" spans="1:6" ht="15.75" customHeight="1" x14ac:dyDescent="0.25">
      <c r="A8" s="27" t="s">
        <v>34</v>
      </c>
      <c r="B8" s="10" t="s">
        <v>35</v>
      </c>
      <c r="C8" s="10"/>
      <c r="D8" s="10"/>
    </row>
    <row r="9" spans="1:6" ht="15.75" customHeight="1" x14ac:dyDescent="0.25">
      <c r="A9" s="27" t="s">
        <v>46</v>
      </c>
      <c r="B9" s="10" t="s">
        <v>47</v>
      </c>
      <c r="C9" s="10"/>
      <c r="D9" s="10"/>
    </row>
    <row r="10" spans="1:6" ht="15.75" customHeight="1" x14ac:dyDescent="0.25">
      <c r="A10" s="27" t="s">
        <v>30</v>
      </c>
      <c r="B10" s="10" t="s">
        <v>31</v>
      </c>
      <c r="C10" s="10"/>
      <c r="D10" s="10"/>
    </row>
    <row r="11" spans="1:6" ht="30" customHeight="1" x14ac:dyDescent="0.25">
      <c r="A11" s="9" t="s">
        <v>48</v>
      </c>
      <c r="B11" s="10" t="s">
        <v>49</v>
      </c>
      <c r="C11" s="10"/>
      <c r="D11" s="10"/>
    </row>
    <row r="12" spans="1:6" ht="30" customHeight="1" x14ac:dyDescent="0.25">
      <c r="A12" s="9"/>
      <c r="B12" s="10" t="s">
        <v>50</v>
      </c>
      <c r="C12" s="10"/>
      <c r="D12" s="10"/>
    </row>
    <row r="13" spans="1:6" ht="30" customHeight="1" x14ac:dyDescent="0.25">
      <c r="A13" s="9"/>
      <c r="B13" s="10" t="s">
        <v>51</v>
      </c>
      <c r="C13" s="10"/>
      <c r="D13" s="10"/>
    </row>
    <row r="14" spans="1:6" ht="30" customHeight="1" x14ac:dyDescent="0.25">
      <c r="A14" s="9"/>
      <c r="B14" s="10" t="s">
        <v>52</v>
      </c>
      <c r="C14" s="10"/>
      <c r="D14" s="10"/>
    </row>
    <row r="15" spans="1:6" ht="15.75" customHeight="1" x14ac:dyDescent="0.25">
      <c r="A15" s="27" t="s">
        <v>32</v>
      </c>
      <c r="B15" s="10" t="s">
        <v>33</v>
      </c>
      <c r="C15" s="10"/>
      <c r="D15" s="10"/>
    </row>
    <row r="17" spans="1:4" ht="15.75" x14ac:dyDescent="0.25">
      <c r="A17" s="8" t="s">
        <v>53</v>
      </c>
      <c r="B17" s="8"/>
      <c r="C17" s="8"/>
      <c r="D17" s="8"/>
    </row>
    <row r="18" spans="1:4" ht="22.35" customHeight="1" x14ac:dyDescent="0.25">
      <c r="A18" s="7" t="s">
        <v>54</v>
      </c>
      <c r="B18" s="7"/>
      <c r="C18" s="7"/>
      <c r="D18" s="7"/>
    </row>
    <row r="19" spans="1:4" ht="22.35" customHeight="1" x14ac:dyDescent="0.25">
      <c r="A19" s="7" t="s">
        <v>55</v>
      </c>
      <c r="B19" s="7"/>
      <c r="C19" s="7"/>
      <c r="D19" s="7"/>
    </row>
    <row r="20" spans="1:4" ht="22.35" customHeight="1" x14ac:dyDescent="0.25">
      <c r="A20" s="7" t="s">
        <v>56</v>
      </c>
      <c r="B20" s="7"/>
      <c r="C20" s="7"/>
      <c r="D20" s="7"/>
    </row>
    <row r="22" spans="1:4" ht="15.75" x14ac:dyDescent="0.25">
      <c r="A22" s="13" t="s">
        <v>57</v>
      </c>
      <c r="B22" s="13"/>
      <c r="C22" s="13"/>
      <c r="D22" s="13"/>
    </row>
    <row r="23" spans="1:4" ht="60" customHeight="1" x14ac:dyDescent="0.25">
      <c r="A23" s="7" t="s">
        <v>45</v>
      </c>
      <c r="B23" s="7"/>
      <c r="C23" s="7"/>
      <c r="D23" s="7"/>
    </row>
  </sheetData>
  <mergeCells count="18">
    <mergeCell ref="A22:D22"/>
    <mergeCell ref="A23:D23"/>
    <mergeCell ref="B15:D15"/>
    <mergeCell ref="A17:D17"/>
    <mergeCell ref="A18:D18"/>
    <mergeCell ref="A19:D19"/>
    <mergeCell ref="A20:D20"/>
    <mergeCell ref="B10:D10"/>
    <mergeCell ref="A11:A14"/>
    <mergeCell ref="B11:D11"/>
    <mergeCell ref="B12:D12"/>
    <mergeCell ref="B13:D13"/>
    <mergeCell ref="B14:D14"/>
    <mergeCell ref="A1:C1"/>
    <mergeCell ref="A2:F2"/>
    <mergeCell ref="B7:D7"/>
    <mergeCell ref="B8:D8"/>
    <mergeCell ref="B9:D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7"/>
  <sheetViews>
    <sheetView showGridLines="0" tabSelected="1" topLeftCell="A9" zoomScaleNormal="100" workbookViewId="0">
      <selection activeCell="D27" sqref="D20:H27"/>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4" t="s">
        <v>114</v>
      </c>
      <c r="B2" s="14"/>
      <c r="C2" s="14"/>
      <c r="D2" s="14"/>
      <c r="E2" s="14"/>
      <c r="F2" s="14"/>
      <c r="G2" s="14"/>
      <c r="H2" s="14"/>
      <c r="I2" s="14"/>
      <c r="J2" s="14"/>
      <c r="K2" s="14"/>
      <c r="L2" s="14"/>
      <c r="M2" s="14"/>
      <c r="N2" s="14"/>
    </row>
    <row r="4" spans="1:14" ht="24" customHeight="1" x14ac:dyDescent="0.25">
      <c r="A4" s="16" t="s">
        <v>115</v>
      </c>
      <c r="B4" s="16" t="s">
        <v>116</v>
      </c>
      <c r="C4" s="16" t="s">
        <v>117</v>
      </c>
      <c r="D4" s="16" t="s">
        <v>118</v>
      </c>
      <c r="E4" s="16" t="s">
        <v>60</v>
      </c>
      <c r="F4" s="16" t="s">
        <v>61</v>
      </c>
      <c r="G4" s="16" t="s">
        <v>119</v>
      </c>
      <c r="H4" s="16" t="s">
        <v>8</v>
      </c>
      <c r="I4" s="16" t="s">
        <v>120</v>
      </c>
      <c r="J4" s="16" t="s">
        <v>121</v>
      </c>
      <c r="K4" s="16" t="s">
        <v>122</v>
      </c>
      <c r="L4" s="16" t="s">
        <v>123</v>
      </c>
      <c r="M4" s="16" t="s">
        <v>8</v>
      </c>
      <c r="N4" s="16" t="s">
        <v>124</v>
      </c>
    </row>
    <row r="5" spans="1:14" ht="93.75" customHeight="1" x14ac:dyDescent="0.25">
      <c r="A5" s="19" t="s">
        <v>125</v>
      </c>
      <c r="B5" s="25" t="s">
        <v>126</v>
      </c>
      <c r="C5" s="28" t="s">
        <v>127</v>
      </c>
      <c r="D5" s="31" t="s">
        <v>128</v>
      </c>
      <c r="E5" s="19">
        <v>3</v>
      </c>
      <c r="F5" s="19">
        <v>3</v>
      </c>
      <c r="G5" s="19">
        <f t="shared" ref="G5:G16" si="0">E5*F5</f>
        <v>9</v>
      </c>
      <c r="H5" s="19" t="str">
        <f t="shared" ref="H5:H16" si="1">IF(G5&lt;=4,"Low",IF(G5&lt;=9,"Medium",IF(G5&lt;=15,"High","Critical")))</f>
        <v>Medium</v>
      </c>
      <c r="I5" s="28" t="s">
        <v>129</v>
      </c>
      <c r="J5" s="19">
        <v>1</v>
      </c>
      <c r="K5" s="19">
        <v>3</v>
      </c>
      <c r="L5" s="19">
        <f t="shared" ref="L5:L16" si="2">J5*K5</f>
        <v>3</v>
      </c>
      <c r="M5" s="19" t="str">
        <f t="shared" ref="M5:M16" si="3">IF(L5="","",IF(L5&lt;=4,"Low",IF(L5&lt;=9,"Medium",IF(L5&lt;=15,"High","Critical"))))</f>
        <v>Low</v>
      </c>
      <c r="N5" s="31" t="s">
        <v>130</v>
      </c>
    </row>
    <row r="6" spans="1:14" ht="81" customHeight="1" x14ac:dyDescent="0.25">
      <c r="A6" s="19" t="s">
        <v>131</v>
      </c>
      <c r="B6" s="25" t="s">
        <v>132</v>
      </c>
      <c r="C6" s="28" t="s">
        <v>133</v>
      </c>
      <c r="D6" s="31" t="s">
        <v>128</v>
      </c>
      <c r="E6" s="19">
        <v>3</v>
      </c>
      <c r="F6" s="19">
        <v>3</v>
      </c>
      <c r="G6" s="19">
        <f t="shared" si="0"/>
        <v>9</v>
      </c>
      <c r="H6" s="19" t="str">
        <f t="shared" si="1"/>
        <v>Medium</v>
      </c>
      <c r="I6" s="28" t="s">
        <v>134</v>
      </c>
      <c r="J6" s="19">
        <v>1</v>
      </c>
      <c r="K6" s="19">
        <v>3</v>
      </c>
      <c r="L6" s="19">
        <f t="shared" si="2"/>
        <v>3</v>
      </c>
      <c r="M6" s="19" t="str">
        <f t="shared" si="3"/>
        <v>Low</v>
      </c>
      <c r="N6" s="31" t="s">
        <v>130</v>
      </c>
    </row>
    <row r="7" spans="1:14" ht="81" customHeight="1" x14ac:dyDescent="0.25">
      <c r="A7" s="19" t="s">
        <v>135</v>
      </c>
      <c r="B7" s="25" t="s">
        <v>136</v>
      </c>
      <c r="C7" s="28" t="s">
        <v>137</v>
      </c>
      <c r="D7" s="31" t="s">
        <v>128</v>
      </c>
      <c r="E7" s="19">
        <v>1</v>
      </c>
      <c r="F7" s="19">
        <v>4</v>
      </c>
      <c r="G7" s="19">
        <f t="shared" si="0"/>
        <v>4</v>
      </c>
      <c r="H7" s="19" t="str">
        <f t="shared" si="1"/>
        <v>Low</v>
      </c>
      <c r="I7" s="28" t="s">
        <v>138</v>
      </c>
      <c r="J7" s="19">
        <v>1</v>
      </c>
      <c r="K7" s="19">
        <v>4</v>
      </c>
      <c r="L7" s="19">
        <f t="shared" si="2"/>
        <v>4</v>
      </c>
      <c r="M7" s="19" t="str">
        <f t="shared" si="3"/>
        <v>Low</v>
      </c>
      <c r="N7" s="31" t="s">
        <v>130</v>
      </c>
    </row>
    <row r="8" spans="1:14" ht="81" customHeight="1" x14ac:dyDescent="0.25">
      <c r="A8" s="19" t="s">
        <v>139</v>
      </c>
      <c r="B8" s="25" t="s">
        <v>140</v>
      </c>
      <c r="C8" s="28" t="s">
        <v>141</v>
      </c>
      <c r="D8" s="31" t="s">
        <v>128</v>
      </c>
      <c r="E8" s="19">
        <v>1</v>
      </c>
      <c r="F8" s="19">
        <v>5</v>
      </c>
      <c r="G8" s="19">
        <f t="shared" si="0"/>
        <v>5</v>
      </c>
      <c r="H8" s="19" t="str">
        <f t="shared" si="1"/>
        <v>Medium</v>
      </c>
      <c r="I8" s="28" t="s">
        <v>142</v>
      </c>
      <c r="J8" s="19">
        <v>1</v>
      </c>
      <c r="K8" s="19">
        <v>5</v>
      </c>
      <c r="L8" s="19">
        <f t="shared" si="2"/>
        <v>5</v>
      </c>
      <c r="M8" s="19" t="str">
        <f t="shared" si="3"/>
        <v>Medium</v>
      </c>
      <c r="N8" s="31" t="s">
        <v>130</v>
      </c>
    </row>
    <row r="9" spans="1:14" ht="81" customHeight="1" x14ac:dyDescent="0.25">
      <c r="A9" s="19" t="s">
        <v>143</v>
      </c>
      <c r="B9" s="25" t="s">
        <v>144</v>
      </c>
      <c r="C9" s="28" t="s">
        <v>145</v>
      </c>
      <c r="D9" s="31" t="s">
        <v>128</v>
      </c>
      <c r="E9" s="19">
        <v>2</v>
      </c>
      <c r="F9" s="19">
        <v>3</v>
      </c>
      <c r="G9" s="19">
        <f t="shared" si="0"/>
        <v>6</v>
      </c>
      <c r="H9" s="19" t="str">
        <f t="shared" si="1"/>
        <v>Medium</v>
      </c>
      <c r="I9" s="28" t="s">
        <v>146</v>
      </c>
      <c r="J9" s="19">
        <v>1</v>
      </c>
      <c r="K9" s="19">
        <v>3</v>
      </c>
      <c r="L9" s="19">
        <f t="shared" si="2"/>
        <v>3</v>
      </c>
      <c r="M9" s="19" t="str">
        <f t="shared" si="3"/>
        <v>Low</v>
      </c>
      <c r="N9" s="31" t="s">
        <v>130</v>
      </c>
    </row>
    <row r="10" spans="1:14" ht="81" customHeight="1" x14ac:dyDescent="0.25">
      <c r="A10" s="19" t="s">
        <v>147</v>
      </c>
      <c r="B10" s="25" t="s">
        <v>148</v>
      </c>
      <c r="C10" s="28" t="s">
        <v>149</v>
      </c>
      <c r="D10" s="31" t="s">
        <v>128</v>
      </c>
      <c r="E10" s="19">
        <v>2</v>
      </c>
      <c r="F10" s="19">
        <v>4</v>
      </c>
      <c r="G10" s="19">
        <f t="shared" si="0"/>
        <v>8</v>
      </c>
      <c r="H10" s="19" t="str">
        <f t="shared" si="1"/>
        <v>Medium</v>
      </c>
      <c r="I10" s="28" t="s">
        <v>150</v>
      </c>
      <c r="J10" s="19">
        <v>1</v>
      </c>
      <c r="K10" s="19">
        <v>4</v>
      </c>
      <c r="L10" s="19">
        <f t="shared" si="2"/>
        <v>4</v>
      </c>
      <c r="M10" s="19" t="str">
        <f t="shared" si="3"/>
        <v>Low</v>
      </c>
      <c r="N10" s="31" t="s">
        <v>130</v>
      </c>
    </row>
    <row r="11" spans="1:14" ht="93.75" customHeight="1" x14ac:dyDescent="0.25">
      <c r="A11" s="19" t="s">
        <v>151</v>
      </c>
      <c r="B11" s="25" t="s">
        <v>152</v>
      </c>
      <c r="C11" s="28" t="s">
        <v>153</v>
      </c>
      <c r="D11" s="31" t="s">
        <v>128</v>
      </c>
      <c r="E11" s="19">
        <v>3</v>
      </c>
      <c r="F11" s="19">
        <v>3</v>
      </c>
      <c r="G11" s="19">
        <f t="shared" si="0"/>
        <v>9</v>
      </c>
      <c r="H11" s="19" t="str">
        <f t="shared" si="1"/>
        <v>Medium</v>
      </c>
      <c r="I11" s="28" t="s">
        <v>154</v>
      </c>
      <c r="J11" s="19">
        <v>1</v>
      </c>
      <c r="K11" s="19">
        <v>3</v>
      </c>
      <c r="L11" s="19">
        <f t="shared" si="2"/>
        <v>3</v>
      </c>
      <c r="M11" s="19" t="str">
        <f t="shared" si="3"/>
        <v>Low</v>
      </c>
      <c r="N11" s="31" t="s">
        <v>130</v>
      </c>
    </row>
    <row r="12" spans="1:14" ht="93.75" customHeight="1" x14ac:dyDescent="0.25">
      <c r="A12" s="19" t="s">
        <v>155</v>
      </c>
      <c r="B12" s="25" t="s">
        <v>156</v>
      </c>
      <c r="C12" s="28" t="s">
        <v>157</v>
      </c>
      <c r="D12" s="31" t="s">
        <v>158</v>
      </c>
      <c r="E12" s="19">
        <v>2</v>
      </c>
      <c r="F12" s="19">
        <v>4</v>
      </c>
      <c r="G12" s="19">
        <f t="shared" si="0"/>
        <v>8</v>
      </c>
      <c r="H12" s="19" t="str">
        <f t="shared" si="1"/>
        <v>Medium</v>
      </c>
      <c r="I12" s="28" t="s">
        <v>159</v>
      </c>
      <c r="J12" s="19">
        <v>1</v>
      </c>
      <c r="K12" s="19">
        <v>4</v>
      </c>
      <c r="L12" s="19">
        <f t="shared" si="2"/>
        <v>4</v>
      </c>
      <c r="M12" s="19" t="str">
        <f t="shared" si="3"/>
        <v>Low</v>
      </c>
      <c r="N12" s="31" t="s">
        <v>130</v>
      </c>
    </row>
    <row r="13" spans="1:14" ht="67.5" customHeight="1" x14ac:dyDescent="0.25">
      <c r="A13" s="19" t="s">
        <v>160</v>
      </c>
      <c r="B13" s="25" t="s">
        <v>161</v>
      </c>
      <c r="C13" s="28" t="s">
        <v>162</v>
      </c>
      <c r="D13" s="31" t="s">
        <v>128</v>
      </c>
      <c r="E13" s="19">
        <v>2</v>
      </c>
      <c r="F13" s="19">
        <v>2</v>
      </c>
      <c r="G13" s="19">
        <f t="shared" si="0"/>
        <v>4</v>
      </c>
      <c r="H13" s="19" t="str">
        <f t="shared" si="1"/>
        <v>Low</v>
      </c>
      <c r="I13" s="28" t="s">
        <v>163</v>
      </c>
      <c r="J13" s="19">
        <v>1</v>
      </c>
      <c r="K13" s="19">
        <v>2</v>
      </c>
      <c r="L13" s="19">
        <f t="shared" si="2"/>
        <v>2</v>
      </c>
      <c r="M13" s="19" t="str">
        <f t="shared" si="3"/>
        <v>Low</v>
      </c>
      <c r="N13" s="31" t="s">
        <v>130</v>
      </c>
    </row>
    <row r="14" spans="1:14" ht="67.5" customHeight="1" x14ac:dyDescent="0.25">
      <c r="A14" s="19" t="s">
        <v>164</v>
      </c>
      <c r="B14" s="25" t="s">
        <v>165</v>
      </c>
      <c r="C14" s="28" t="s">
        <v>166</v>
      </c>
      <c r="D14" s="31" t="s">
        <v>128</v>
      </c>
      <c r="E14" s="19">
        <v>2</v>
      </c>
      <c r="F14" s="19">
        <v>2</v>
      </c>
      <c r="G14" s="19">
        <f t="shared" si="0"/>
        <v>4</v>
      </c>
      <c r="H14" s="19" t="str">
        <f t="shared" si="1"/>
        <v>Low</v>
      </c>
      <c r="I14" s="28" t="s">
        <v>167</v>
      </c>
      <c r="J14" s="19">
        <v>1</v>
      </c>
      <c r="K14" s="19">
        <v>2</v>
      </c>
      <c r="L14" s="19">
        <f t="shared" si="2"/>
        <v>2</v>
      </c>
      <c r="M14" s="19" t="str">
        <f t="shared" si="3"/>
        <v>Low</v>
      </c>
      <c r="N14" s="31" t="s">
        <v>130</v>
      </c>
    </row>
    <row r="15" spans="1:14" ht="81" customHeight="1" x14ac:dyDescent="0.25">
      <c r="A15" s="19" t="s">
        <v>168</v>
      </c>
      <c r="B15" s="25" t="s">
        <v>169</v>
      </c>
      <c r="C15" s="28" t="s">
        <v>170</v>
      </c>
      <c r="D15" s="31" t="s">
        <v>128</v>
      </c>
      <c r="E15" s="19">
        <v>3</v>
      </c>
      <c r="F15" s="19">
        <v>3</v>
      </c>
      <c r="G15" s="19">
        <f t="shared" si="0"/>
        <v>9</v>
      </c>
      <c r="H15" s="19" t="str">
        <f t="shared" si="1"/>
        <v>Medium</v>
      </c>
      <c r="I15" s="28" t="s">
        <v>171</v>
      </c>
      <c r="J15" s="19">
        <v>1</v>
      </c>
      <c r="K15" s="19">
        <v>3</v>
      </c>
      <c r="L15" s="19">
        <f t="shared" si="2"/>
        <v>3</v>
      </c>
      <c r="M15" s="19" t="str">
        <f t="shared" si="3"/>
        <v>Low</v>
      </c>
      <c r="N15" s="31" t="s">
        <v>130</v>
      </c>
    </row>
    <row r="16" spans="1:14" ht="81" customHeight="1" x14ac:dyDescent="0.25">
      <c r="A16" s="19" t="s">
        <v>172</v>
      </c>
      <c r="B16" s="25" t="s">
        <v>173</v>
      </c>
      <c r="C16" s="28" t="s">
        <v>174</v>
      </c>
      <c r="D16" s="31" t="s">
        <v>175</v>
      </c>
      <c r="E16" s="19">
        <v>2</v>
      </c>
      <c r="F16" s="19">
        <v>3</v>
      </c>
      <c r="G16" s="19">
        <f t="shared" si="0"/>
        <v>6</v>
      </c>
      <c r="H16" s="19" t="str">
        <f t="shared" si="1"/>
        <v>Medium</v>
      </c>
      <c r="I16" s="28" t="s">
        <v>176</v>
      </c>
      <c r="J16" s="19">
        <v>1</v>
      </c>
      <c r="K16" s="19">
        <v>3</v>
      </c>
      <c r="L16" s="19">
        <f t="shared" si="2"/>
        <v>3</v>
      </c>
      <c r="M16" s="19" t="str">
        <f t="shared" si="3"/>
        <v>Low</v>
      </c>
      <c r="N16" s="31" t="s">
        <v>130</v>
      </c>
    </row>
    <row r="19" spans="1:14" ht="15" customHeight="1" x14ac:dyDescent="0.25">
      <c r="A19" s="2" t="s">
        <v>177</v>
      </c>
      <c r="B19" s="2"/>
      <c r="C19" s="2"/>
      <c r="D19" s="2"/>
      <c r="E19" s="2"/>
      <c r="F19" s="2"/>
      <c r="G19" s="2"/>
      <c r="H19" s="2"/>
      <c r="I19" s="2"/>
      <c r="J19" s="2"/>
      <c r="K19" s="2"/>
      <c r="L19" s="2"/>
      <c r="M19" s="2"/>
      <c r="N19" s="2"/>
    </row>
    <row r="20" spans="1:14" x14ac:dyDescent="0.25">
      <c r="D20" s="34"/>
      <c r="E20" s="34"/>
      <c r="F20" s="34"/>
      <c r="G20" s="34"/>
      <c r="H20" s="35"/>
    </row>
    <row r="21" spans="1:14" x14ac:dyDescent="0.25">
      <c r="A21" s="1" t="s">
        <v>178</v>
      </c>
      <c r="B21" s="1"/>
      <c r="C21" s="1"/>
      <c r="D21" s="33"/>
      <c r="E21" s="33"/>
      <c r="F21" s="33"/>
      <c r="G21" s="33"/>
      <c r="H21" s="36"/>
    </row>
    <row r="22" spans="1:14" x14ac:dyDescent="0.25">
      <c r="A22" s="1" t="s">
        <v>179</v>
      </c>
      <c r="B22" s="1"/>
      <c r="C22" s="1"/>
      <c r="D22" s="33"/>
      <c r="E22" s="33"/>
      <c r="F22" s="33"/>
      <c r="G22" s="33"/>
      <c r="H22" s="36"/>
    </row>
    <row r="23" spans="1:14" x14ac:dyDescent="0.25">
      <c r="A23" s="1" t="s">
        <v>180</v>
      </c>
      <c r="B23" s="1"/>
      <c r="C23" s="1"/>
      <c r="D23" s="33"/>
      <c r="E23" s="33"/>
      <c r="F23" s="33"/>
      <c r="G23" s="33"/>
      <c r="H23" s="36"/>
    </row>
    <row r="24" spans="1:14" x14ac:dyDescent="0.25">
      <c r="A24" s="1" t="s">
        <v>181</v>
      </c>
      <c r="B24" s="1"/>
      <c r="C24" s="1"/>
      <c r="D24" s="33"/>
      <c r="E24" s="33"/>
      <c r="F24" s="33"/>
      <c r="G24" s="33"/>
      <c r="H24" s="36"/>
    </row>
    <row r="25" spans="1:14" x14ac:dyDescent="0.25">
      <c r="A25" s="1" t="s">
        <v>179</v>
      </c>
      <c r="B25" s="1"/>
      <c r="C25" s="1"/>
      <c r="D25" s="33"/>
      <c r="E25" s="33"/>
      <c r="F25" s="33"/>
      <c r="G25" s="33"/>
      <c r="H25" s="36"/>
    </row>
    <row r="26" spans="1:14" x14ac:dyDescent="0.25">
      <c r="A26" s="1" t="s">
        <v>180</v>
      </c>
      <c r="B26" s="1"/>
      <c r="C26" s="1"/>
      <c r="D26" s="33"/>
      <c r="E26" s="33"/>
      <c r="F26" s="33"/>
      <c r="G26" s="33"/>
      <c r="H26" s="36"/>
    </row>
    <row r="27" spans="1:14" x14ac:dyDescent="0.25">
      <c r="A27" s="1" t="s">
        <v>182</v>
      </c>
      <c r="B27" s="1"/>
      <c r="C27" s="1"/>
      <c r="D27" s="33"/>
      <c r="E27" s="33"/>
      <c r="F27" s="33"/>
      <c r="G27" s="33"/>
      <c r="H27" s="36"/>
    </row>
  </sheetData>
  <mergeCells count="16">
    <mergeCell ref="A26:C26"/>
    <mergeCell ref="D26:H26"/>
    <mergeCell ref="A27:C27"/>
    <mergeCell ref="D27:H27"/>
    <mergeCell ref="A23:C23"/>
    <mergeCell ref="D23:H23"/>
    <mergeCell ref="A24:C24"/>
    <mergeCell ref="D24:H24"/>
    <mergeCell ref="A25:C25"/>
    <mergeCell ref="D25:H25"/>
    <mergeCell ref="A2:N2"/>
    <mergeCell ref="A19:N19"/>
    <mergeCell ref="A21:C21"/>
    <mergeCell ref="D21:H21"/>
    <mergeCell ref="A22:C22"/>
    <mergeCell ref="D22:H22"/>
  </mergeCells>
  <conditionalFormatting sqref="E5:F16">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16">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16">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16">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16">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16">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16 J5:K16" xr:uid="{00000000-0002-0000-0300-000000000000}">
      <formula1>"1,2,3,4,5"</formula1>
      <formula2>0</formula2>
    </dataValidation>
    <dataValidation type="list" allowBlank="1" errorTitle="Invalid Status" error="Please select Open, Closed, or In Progress" sqref="N5:N16"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4" t="s">
        <v>0</v>
      </c>
      <c r="B2" s="14"/>
      <c r="C2" s="14"/>
      <c r="D2" s="14"/>
      <c r="E2" s="14"/>
      <c r="F2" s="14"/>
      <c r="G2" s="14"/>
    </row>
    <row r="4" spans="1:7" ht="15.75" x14ac:dyDescent="0.25">
      <c r="B4" s="15" t="s">
        <v>1</v>
      </c>
    </row>
    <row r="5" spans="1:7" ht="24" x14ac:dyDescent="0.25">
      <c r="C5" s="16" t="s">
        <v>2</v>
      </c>
      <c r="D5" s="16" t="s">
        <v>3</v>
      </c>
      <c r="E5" s="16" t="s">
        <v>4</v>
      </c>
      <c r="F5" s="16" t="s">
        <v>5</v>
      </c>
      <c r="G5" s="16" t="s">
        <v>6</v>
      </c>
    </row>
    <row r="6" spans="1:7" ht="36" customHeight="1" x14ac:dyDescent="0.25">
      <c r="C6" s="17">
        <f>COUNTA('Risk Assessment'!A5:A16)</f>
        <v>12</v>
      </c>
      <c r="D6" s="17">
        <f>COUNTIF('Risk Assessment'!H5:H16,"Critical")</f>
        <v>0</v>
      </c>
      <c r="E6" s="17">
        <f>COUNTIF('Risk Assessment'!H5:H16,"High")</f>
        <v>0</v>
      </c>
      <c r="F6" s="17">
        <f>COUNTIF('Risk Assessment'!H5:H16,"Medium")</f>
        <v>9</v>
      </c>
      <c r="G6" s="17">
        <f>COUNTIF('Risk Assessment'!H5:H16,"Low")</f>
        <v>3</v>
      </c>
    </row>
    <row r="8" spans="1:7" ht="15.75" x14ac:dyDescent="0.25">
      <c r="B8" s="13" t="s">
        <v>7</v>
      </c>
      <c r="C8" s="13"/>
      <c r="D8" s="13"/>
      <c r="E8" s="13"/>
      <c r="F8" s="13"/>
      <c r="G8" s="13"/>
    </row>
    <row r="9" spans="1:7" x14ac:dyDescent="0.25">
      <c r="C9" s="16" t="s">
        <v>8</v>
      </c>
      <c r="D9" s="16" t="s">
        <v>9</v>
      </c>
      <c r="E9" s="16" t="s">
        <v>10</v>
      </c>
    </row>
    <row r="10" spans="1:7" x14ac:dyDescent="0.25">
      <c r="C10" s="18" t="s">
        <v>11</v>
      </c>
      <c r="D10" s="19">
        <f>COUNTIF('Risk Assessment'!H5:H16,"Critical")</f>
        <v>0</v>
      </c>
      <c r="E10" s="19" t="str">
        <f>IF(D10=0,"0%",TEXT(D10/C6,"0%"))</f>
        <v>0%</v>
      </c>
    </row>
    <row r="11" spans="1:7" x14ac:dyDescent="0.25">
      <c r="C11" s="20" t="s">
        <v>12</v>
      </c>
      <c r="D11" s="19">
        <f>COUNTIF('Risk Assessment'!H5:H16,"High")</f>
        <v>0</v>
      </c>
      <c r="E11" s="19" t="str">
        <f>IF(D11=0,"0%",TEXT(D11/C6,"0%"))</f>
        <v>0%</v>
      </c>
    </row>
    <row r="12" spans="1:7" x14ac:dyDescent="0.25">
      <c r="C12" s="21" t="s">
        <v>13</v>
      </c>
      <c r="D12" s="19">
        <f>COUNTIF('Risk Assessment'!H5:H16,"Medium")</f>
        <v>9</v>
      </c>
      <c r="E12" s="19" t="str">
        <f>IF(D12=0,"0%",TEXT(D12/C6,"0%"))</f>
        <v>75%</v>
      </c>
    </row>
    <row r="13" spans="1:7" x14ac:dyDescent="0.25">
      <c r="C13" s="22" t="s">
        <v>14</v>
      </c>
      <c r="D13" s="19">
        <f>COUNTIF('Risk Assessment'!H5:H16,"Low")</f>
        <v>3</v>
      </c>
      <c r="E13" s="19" t="str">
        <f>IF(D13=0,"0%",TEXT(D13/C6,"0%"))</f>
        <v>25%</v>
      </c>
    </row>
    <row r="15" spans="1:7" ht="15.75" x14ac:dyDescent="0.25">
      <c r="B15" s="13" t="s">
        <v>15</v>
      </c>
      <c r="C15" s="13"/>
      <c r="D15" s="13"/>
      <c r="E15" s="13"/>
      <c r="F15" s="13"/>
      <c r="G15" s="13"/>
    </row>
    <row r="16" spans="1:7" x14ac:dyDescent="0.25">
      <c r="C16" s="16" t="s">
        <v>8</v>
      </c>
      <c r="D16" s="16" t="s">
        <v>9</v>
      </c>
      <c r="E16" s="16" t="s">
        <v>10</v>
      </c>
    </row>
    <row r="17" spans="2:7" x14ac:dyDescent="0.25">
      <c r="C17" s="18" t="s">
        <v>11</v>
      </c>
      <c r="D17" s="19">
        <f>COUNTIF('Risk Assessment'!M5:M16,"Critical")</f>
        <v>0</v>
      </c>
      <c r="E17" s="19" t="str">
        <f>IF(D17=0,"0%",TEXT(D17/C6,"0%"))</f>
        <v>0%</v>
      </c>
    </row>
    <row r="18" spans="2:7" x14ac:dyDescent="0.25">
      <c r="C18" s="20" t="s">
        <v>12</v>
      </c>
      <c r="D18" s="19">
        <f>COUNTIF('Risk Assessment'!M5:M16,"High")</f>
        <v>0</v>
      </c>
      <c r="E18" s="19" t="str">
        <f>IF(D18=0,"0%",TEXT(D18/C6,"0%"))</f>
        <v>0%</v>
      </c>
    </row>
    <row r="19" spans="2:7" x14ac:dyDescent="0.25">
      <c r="C19" s="21" t="s">
        <v>13</v>
      </c>
      <c r="D19" s="19">
        <f>COUNTIF('Risk Assessment'!M5:M16,"Medium")</f>
        <v>1</v>
      </c>
      <c r="E19" s="19" t="str">
        <f>IF(D19=0,"0%",TEXT(D19/C6,"0%"))</f>
        <v>8%</v>
      </c>
    </row>
    <row r="20" spans="2:7" x14ac:dyDescent="0.25">
      <c r="C20" s="22" t="s">
        <v>14</v>
      </c>
      <c r="D20" s="19">
        <f>COUNTIF('Risk Assessment'!M5:M16,"Low")</f>
        <v>11</v>
      </c>
      <c r="E20" s="19" t="str">
        <f>IF(D20=0,"0%",TEXT(D20/C6,"0%"))</f>
        <v>92%</v>
      </c>
    </row>
    <row r="22" spans="2:7" ht="15.75" x14ac:dyDescent="0.25">
      <c r="B22" s="13" t="s">
        <v>16</v>
      </c>
      <c r="C22" s="13"/>
      <c r="D22" s="13"/>
      <c r="E22" s="13"/>
      <c r="F22" s="13"/>
      <c r="G22" s="13"/>
    </row>
    <row r="23" spans="2:7" x14ac:dyDescent="0.25">
      <c r="C23" s="16" t="s">
        <v>17</v>
      </c>
      <c r="D23" s="16" t="s">
        <v>18</v>
      </c>
    </row>
    <row r="24" spans="2:7" ht="21.75" customHeight="1" x14ac:dyDescent="0.25">
      <c r="C24" s="23" t="s">
        <v>19</v>
      </c>
      <c r="D24" s="24">
        <f>ROUND(AVERAGE('Risk Assessment'!G5:G16),1)</f>
        <v>6.8</v>
      </c>
    </row>
    <row r="25" spans="2:7" ht="21.75" customHeight="1" x14ac:dyDescent="0.25">
      <c r="C25" s="25" t="s">
        <v>20</v>
      </c>
      <c r="D25" s="26">
        <f>ROUND(AVERAGE('Risk Assessment'!L5:L16),1)</f>
        <v>3.3</v>
      </c>
    </row>
    <row r="26" spans="2:7" ht="21.75" customHeight="1" x14ac:dyDescent="0.25">
      <c r="C26" s="23" t="s">
        <v>21</v>
      </c>
      <c r="D26" s="24" t="str">
        <f>TEXT(1-(AVERAGE('Risk Assessment'!L5:L16)/AVERAGE('Risk Assessment'!G5:G16)),"0%")</f>
        <v>52%</v>
      </c>
    </row>
    <row r="27" spans="2:7" ht="21.75" customHeight="1" x14ac:dyDescent="0.25">
      <c r="C27" s="25" t="s">
        <v>22</v>
      </c>
      <c r="D27" s="26">
        <f>COUNTIF('Risk Assessment'!M5:M16,"Critical")</f>
        <v>0</v>
      </c>
    </row>
    <row r="28" spans="2:7" ht="21.75" customHeight="1" x14ac:dyDescent="0.25">
      <c r="C28" s="23" t="s">
        <v>23</v>
      </c>
      <c r="D28" s="24">
        <f>COUNTIF('Risk Assessment'!M5:M16,"High")</f>
        <v>0</v>
      </c>
    </row>
    <row r="29" spans="2:7" ht="21.75" customHeight="1" x14ac:dyDescent="0.25">
      <c r="C29" s="25" t="s">
        <v>24</v>
      </c>
      <c r="D29" s="26">
        <f>COUNTIF('Risk Assessment'!N5:N16,"Open")</f>
        <v>12</v>
      </c>
    </row>
    <row r="31" spans="2:7" ht="15.75" x14ac:dyDescent="0.25">
      <c r="B31" s="15" t="s">
        <v>25</v>
      </c>
    </row>
    <row r="32" spans="2:7" ht="24" x14ac:dyDescent="0.25">
      <c r="C32" s="27" t="s">
        <v>26</v>
      </c>
      <c r="D32" s="28" t="s">
        <v>27</v>
      </c>
    </row>
    <row r="33" spans="3:4" x14ac:dyDescent="0.25">
      <c r="C33" s="27" t="s">
        <v>28</v>
      </c>
      <c r="D33" s="28" t="s">
        <v>29</v>
      </c>
    </row>
    <row r="34" spans="3:4" x14ac:dyDescent="0.25">
      <c r="C34" s="27" t="s">
        <v>30</v>
      </c>
      <c r="D34" s="28" t="s">
        <v>31</v>
      </c>
    </row>
    <row r="35" spans="3:4" x14ac:dyDescent="0.25">
      <c r="C35" s="27" t="s">
        <v>32</v>
      </c>
      <c r="D35" s="28" t="s">
        <v>33</v>
      </c>
    </row>
    <row r="36" spans="3:4" ht="24" x14ac:dyDescent="0.25">
      <c r="C36" s="27" t="s">
        <v>34</v>
      </c>
      <c r="D36" s="28" t="s">
        <v>35</v>
      </c>
    </row>
    <row r="37" spans="3:4" x14ac:dyDescent="0.25">
      <c r="C37" s="27" t="s">
        <v>36</v>
      </c>
      <c r="D37" s="28"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D33" sqref="D33:F38"/>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12"/>
      <c r="B1" s="12"/>
      <c r="C1" s="12"/>
    </row>
    <row r="2" spans="1:8" ht="26.25" customHeight="1" x14ac:dyDescent="0.4">
      <c r="A2" s="14" t="s">
        <v>58</v>
      </c>
      <c r="B2" s="14"/>
      <c r="C2" s="14"/>
      <c r="D2" s="14"/>
      <c r="E2" s="14"/>
      <c r="F2" s="14"/>
    </row>
    <row r="4" spans="1:8" x14ac:dyDescent="0.25">
      <c r="B4" s="6" t="s">
        <v>59</v>
      </c>
      <c r="C4" s="6"/>
      <c r="D4" s="6"/>
      <c r="E4" s="6"/>
      <c r="F4" s="6"/>
    </row>
    <row r="6" spans="1:8" x14ac:dyDescent="0.25">
      <c r="B6" s="6" t="s">
        <v>60</v>
      </c>
      <c r="C6" s="6"/>
      <c r="E6" s="6" t="s">
        <v>61</v>
      </c>
      <c r="F6" s="6"/>
    </row>
    <row r="7" spans="1:8" x14ac:dyDescent="0.25">
      <c r="B7" s="31">
        <v>1</v>
      </c>
      <c r="C7" s="28" t="s">
        <v>62</v>
      </c>
      <c r="E7" s="31">
        <v>1</v>
      </c>
      <c r="F7" s="28" t="s">
        <v>63</v>
      </c>
    </row>
    <row r="8" spans="1:8" ht="24" x14ac:dyDescent="0.25">
      <c r="B8" s="31">
        <v>2</v>
      </c>
      <c r="C8" s="28" t="s">
        <v>64</v>
      </c>
      <c r="E8" s="31">
        <v>2</v>
      </c>
      <c r="F8" s="28" t="s">
        <v>65</v>
      </c>
    </row>
    <row r="9" spans="1:8" ht="24" x14ac:dyDescent="0.25">
      <c r="B9" s="31">
        <v>3</v>
      </c>
      <c r="C9" s="28" t="s">
        <v>66</v>
      </c>
      <c r="E9" s="31">
        <v>3</v>
      </c>
      <c r="F9" s="28" t="s">
        <v>67</v>
      </c>
    </row>
    <row r="10" spans="1:8" x14ac:dyDescent="0.25">
      <c r="B10" s="31">
        <v>4</v>
      </c>
      <c r="C10" s="28" t="s">
        <v>68</v>
      </c>
      <c r="E10" s="31">
        <v>4</v>
      </c>
      <c r="F10" s="28" t="s">
        <v>69</v>
      </c>
    </row>
    <row r="11" spans="1:8" x14ac:dyDescent="0.25">
      <c r="B11" s="31">
        <v>5</v>
      </c>
      <c r="C11" s="28" t="s">
        <v>70</v>
      </c>
      <c r="E11" s="31">
        <v>5</v>
      </c>
      <c r="F11" s="28" t="s">
        <v>71</v>
      </c>
    </row>
    <row r="14" spans="1:8" ht="15.75" x14ac:dyDescent="0.25">
      <c r="A14" s="15" t="s">
        <v>72</v>
      </c>
    </row>
    <row r="16" spans="1:8" ht="15" customHeight="1" x14ac:dyDescent="0.25">
      <c r="B16" s="5" t="s">
        <v>73</v>
      </c>
      <c r="C16" s="5"/>
      <c r="D16" s="32" t="s">
        <v>74</v>
      </c>
      <c r="E16" s="32" t="s">
        <v>75</v>
      </c>
      <c r="F16" s="32" t="s">
        <v>76</v>
      </c>
      <c r="G16" s="32" t="s">
        <v>77</v>
      </c>
      <c r="H16" s="32" t="s">
        <v>78</v>
      </c>
    </row>
    <row r="17" spans="1:8" ht="15" customHeight="1" x14ac:dyDescent="0.25">
      <c r="B17" s="5" t="s">
        <v>79</v>
      </c>
      <c r="C17" s="5"/>
      <c r="D17" s="21">
        <v>5</v>
      </c>
      <c r="E17" s="20">
        <v>10</v>
      </c>
      <c r="F17" s="20">
        <v>15</v>
      </c>
      <c r="G17" s="18">
        <v>20</v>
      </c>
      <c r="H17" s="18">
        <v>25</v>
      </c>
    </row>
    <row r="18" spans="1:8" ht="15" customHeight="1" x14ac:dyDescent="0.25">
      <c r="B18" s="5" t="s">
        <v>80</v>
      </c>
      <c r="C18" s="5"/>
      <c r="D18" s="22">
        <v>4</v>
      </c>
      <c r="E18" s="21">
        <v>8</v>
      </c>
      <c r="F18" s="20">
        <v>12</v>
      </c>
      <c r="G18" s="18">
        <v>16</v>
      </c>
      <c r="H18" s="18">
        <v>20</v>
      </c>
    </row>
    <row r="19" spans="1:8" ht="15" customHeight="1" x14ac:dyDescent="0.25">
      <c r="B19" s="5" t="s">
        <v>81</v>
      </c>
      <c r="C19" s="5"/>
      <c r="D19" s="22">
        <v>3</v>
      </c>
      <c r="E19" s="21">
        <v>6</v>
      </c>
      <c r="F19" s="21">
        <v>9</v>
      </c>
      <c r="G19" s="20">
        <v>12</v>
      </c>
      <c r="H19" s="20">
        <v>15</v>
      </c>
    </row>
    <row r="20" spans="1:8" ht="15" customHeight="1" x14ac:dyDescent="0.25">
      <c r="B20" s="5" t="s">
        <v>82</v>
      </c>
      <c r="C20" s="5"/>
      <c r="D20" s="22">
        <v>2</v>
      </c>
      <c r="E20" s="22">
        <v>4</v>
      </c>
      <c r="F20" s="21">
        <v>6</v>
      </c>
      <c r="G20" s="21">
        <v>8</v>
      </c>
      <c r="H20" s="20">
        <v>10</v>
      </c>
    </row>
    <row r="21" spans="1:8" ht="15" customHeight="1" x14ac:dyDescent="0.25">
      <c r="B21" s="5" t="s">
        <v>83</v>
      </c>
      <c r="C21" s="5"/>
      <c r="D21" s="22">
        <v>1</v>
      </c>
      <c r="E21" s="22">
        <v>2</v>
      </c>
      <c r="F21" s="22">
        <v>3</v>
      </c>
      <c r="G21" s="22">
        <v>4</v>
      </c>
      <c r="H21" s="21">
        <v>5</v>
      </c>
    </row>
    <row r="23" spans="1:8" x14ac:dyDescent="0.25">
      <c r="B23" s="6" t="s">
        <v>84</v>
      </c>
      <c r="C23" s="6"/>
      <c r="D23" s="6"/>
      <c r="E23" s="6"/>
      <c r="F23" s="6"/>
    </row>
    <row r="24" spans="1:8" x14ac:dyDescent="0.25">
      <c r="B24" s="6" t="s">
        <v>85</v>
      </c>
      <c r="C24" s="6"/>
      <c r="D24" s="6"/>
      <c r="E24" s="6"/>
      <c r="F24" s="6"/>
    </row>
    <row r="26" spans="1:8" ht="15.75" x14ac:dyDescent="0.25">
      <c r="A26" s="13" t="s">
        <v>86</v>
      </c>
      <c r="B26" s="13"/>
      <c r="C26" s="13"/>
      <c r="D26" s="13"/>
      <c r="E26" s="13"/>
      <c r="F26" s="13"/>
    </row>
    <row r="27" spans="1:8" ht="15" customHeight="1" x14ac:dyDescent="0.25">
      <c r="B27" s="19" t="s">
        <v>87</v>
      </c>
      <c r="C27" s="22" t="s">
        <v>14</v>
      </c>
      <c r="D27" s="4" t="s">
        <v>88</v>
      </c>
      <c r="E27" s="4"/>
      <c r="F27" s="10"/>
    </row>
    <row r="28" spans="1:8" ht="15" customHeight="1" x14ac:dyDescent="0.25">
      <c r="B28" s="19" t="s">
        <v>89</v>
      </c>
      <c r="C28" s="21" t="s">
        <v>13</v>
      </c>
      <c r="D28" s="4" t="s">
        <v>90</v>
      </c>
      <c r="E28" s="4"/>
      <c r="F28" s="10"/>
    </row>
    <row r="29" spans="1:8" ht="22.35" customHeight="1" x14ac:dyDescent="0.25">
      <c r="B29" s="19" t="s">
        <v>91</v>
      </c>
      <c r="C29" s="20" t="s">
        <v>12</v>
      </c>
      <c r="D29" s="4" t="s">
        <v>92</v>
      </c>
      <c r="E29" s="4"/>
      <c r="F29" s="10"/>
    </row>
    <row r="30" spans="1:8" ht="32.85" customHeight="1" x14ac:dyDescent="0.25">
      <c r="B30" s="19" t="s">
        <v>93</v>
      </c>
      <c r="C30" s="18" t="s">
        <v>11</v>
      </c>
      <c r="D30" s="4" t="s">
        <v>94</v>
      </c>
      <c r="E30" s="4"/>
      <c r="F30" s="10"/>
    </row>
    <row r="32" spans="1:8" ht="15.75" x14ac:dyDescent="0.25">
      <c r="A32" s="15" t="s">
        <v>95</v>
      </c>
    </row>
    <row r="33" spans="2:6" ht="15" customHeight="1" x14ac:dyDescent="0.25">
      <c r="B33" s="16" t="s">
        <v>96</v>
      </c>
      <c r="C33" s="16" t="s">
        <v>97</v>
      </c>
      <c r="D33" s="3" t="s">
        <v>98</v>
      </c>
      <c r="E33" s="3"/>
      <c r="F33" s="5"/>
    </row>
    <row r="34" spans="2:6" ht="22.35" customHeight="1" x14ac:dyDescent="0.25">
      <c r="B34" s="31" t="s">
        <v>99</v>
      </c>
      <c r="C34" s="25" t="s">
        <v>100</v>
      </c>
      <c r="D34" s="4" t="s">
        <v>101</v>
      </c>
      <c r="E34" s="4"/>
      <c r="F34" s="10"/>
    </row>
    <row r="35" spans="2:6" ht="22.35" customHeight="1" x14ac:dyDescent="0.25">
      <c r="B35" s="31" t="s">
        <v>102</v>
      </c>
      <c r="C35" s="25" t="s">
        <v>103</v>
      </c>
      <c r="D35" s="4" t="s">
        <v>104</v>
      </c>
      <c r="E35" s="4"/>
      <c r="F35" s="10"/>
    </row>
    <row r="36" spans="2:6" ht="22.35" customHeight="1" x14ac:dyDescent="0.25">
      <c r="B36" s="31" t="s">
        <v>105</v>
      </c>
      <c r="C36" s="25" t="s">
        <v>106</v>
      </c>
      <c r="D36" s="4" t="s">
        <v>107</v>
      </c>
      <c r="E36" s="4"/>
      <c r="F36" s="10"/>
    </row>
    <row r="37" spans="2:6" ht="22.35" customHeight="1" x14ac:dyDescent="0.25">
      <c r="B37" s="31" t="s">
        <v>108</v>
      </c>
      <c r="C37" s="25" t="s">
        <v>109</v>
      </c>
      <c r="D37" s="4" t="s">
        <v>110</v>
      </c>
      <c r="E37" s="4"/>
      <c r="F37" s="10"/>
    </row>
    <row r="38" spans="2:6" ht="22.35" customHeight="1" x14ac:dyDescent="0.25">
      <c r="B38" s="31" t="s">
        <v>111</v>
      </c>
      <c r="C38" s="25" t="s">
        <v>112</v>
      </c>
      <c r="D38" s="4" t="s">
        <v>113</v>
      </c>
      <c r="E38" s="4"/>
      <c r="F38" s="10"/>
    </row>
  </sheetData>
  <mergeCells count="24">
    <mergeCell ref="D35:F35"/>
    <mergeCell ref="D36:F36"/>
    <mergeCell ref="D37:F37"/>
    <mergeCell ref="D38:F38"/>
    <mergeCell ref="D28:F28"/>
    <mergeCell ref="D29:F29"/>
    <mergeCell ref="D30:F30"/>
    <mergeCell ref="D33:F33"/>
    <mergeCell ref="D34:F34"/>
    <mergeCell ref="B21:C21"/>
    <mergeCell ref="B23:F23"/>
    <mergeCell ref="B24:F24"/>
    <mergeCell ref="A26:F26"/>
    <mergeCell ref="D27:F27"/>
    <mergeCell ref="B16:C16"/>
    <mergeCell ref="B17:C17"/>
    <mergeCell ref="B18:C18"/>
    <mergeCell ref="B19:C19"/>
    <mergeCell ref="B20:C20"/>
    <mergeCell ref="A1:C1"/>
    <mergeCell ref="A2:F2"/>
    <mergeCell ref="B4:F4"/>
    <mergeCell ref="B6:C6"/>
    <mergeCell ref="E6:F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2026-03-31T09:32:30Z</dcterms:created>
  <dcterms:modified xsi:type="dcterms:W3CDTF">2026-03-31T13:55:00Z</dcterms:modified>
  <dc:language>en-US</dc:language>
</cp:coreProperties>
</file>