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Procedures &amp; SOPs" sheetId="3" state="visible" r:id="rId3"/>
    <sheet xmlns:r="http://schemas.openxmlformats.org/officeDocument/2006/relationships" name="Risk Assessments" sheetId="4" state="visible" r:id="rId4"/>
    <sheet xmlns:r="http://schemas.openxmlformats.org/officeDocument/2006/relationships" name="Registers &amp; Trackers" sheetId="5" state="visible" r:id="rId5"/>
    <sheet xmlns:r="http://schemas.openxmlformats.org/officeDocument/2006/relationships" name="Reports &amp; Position Papers" sheetId="6" state="visible" r:id="rId6"/>
    <sheet xmlns:r="http://schemas.openxmlformats.org/officeDocument/2006/relationships" name="Forms &amp; Templates" sheetId="7" state="visible" r:id="rId7"/>
    <sheet xmlns:r="http://schemas.openxmlformats.org/officeDocument/2006/relationships" name="HR Documents" sheetId="8" state="visible" r:id="rId8"/>
    <sheet xmlns:r="http://schemas.openxmlformats.org/officeDocument/2006/relationships" name="General Documents" sheetId="9" state="visible" r:id="rId9"/>
    <sheet xmlns:r="http://schemas.openxmlformats.org/officeDocument/2006/relationships" name="Legacy Mapping" sheetId="10" state="visible" r:id="rId10"/>
    <sheet xmlns:r="http://schemas.openxmlformats.org/officeDocument/2006/relationships" name="Archived" sheetId="11" state="visible" r:id="rId11"/>
    <sheet xmlns:r="http://schemas.openxmlformats.org/officeDocument/2006/relationships" name="Sequence Tracker" sheetId="12" state="visible" r:id="rId12"/>
  </sheets>
  <definedNames>
    <definedName name="_xlnm.Print_Titles" localSheetId="1">'Policies'!$4:$4</definedName>
    <definedName name="_xlnm.Print_Titles" localSheetId="2">'Procedures &amp; SOPs'!$4:$4</definedName>
    <definedName name="_xlnm.Print_Titles" localSheetId="3">'Risk Assessments'!$4:$4</definedName>
    <definedName name="_xlnm.Print_Titles" localSheetId="4">'Registers &amp; Trackers'!$4:$4</definedName>
    <definedName name="_xlnm.Print_Titles" localSheetId="5">'Reports &amp; Position Papers'!$4:$4</definedName>
    <definedName name="_xlnm.Print_Titles" localSheetId="6">'Forms &amp; Templates'!$4:$4</definedName>
    <definedName name="_xlnm.Print_Titles" localSheetId="7">'HR Documents'!$4:$4</definedName>
    <definedName name="_xlnm.Print_Titles" localSheetId="8">'General Documents'!$4:$4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venir Next LT Pro"/>
      <charset val="1"/>
      <family val="0"/>
      <b val="1"/>
      <color rgb="FF003C72"/>
      <sz val="14"/>
    </font>
    <font>
      <name val="Avenir Next LT Pro"/>
      <charset val="1"/>
      <family val="0"/>
      <color rgb="FF42515A"/>
      <sz val="9"/>
    </font>
    <font>
      <name val="Avenir Next LT Pro"/>
      <charset val="1"/>
      <family val="0"/>
      <b val="1"/>
      <color rgb="FFFFFFFF"/>
      <sz val="11"/>
    </font>
    <font>
      <name val="Aptos"/>
      <charset val="1"/>
      <family val="0"/>
      <b val="1"/>
      <sz val="9"/>
    </font>
    <font>
      <name val="Aptos"/>
      <charset val="1"/>
      <family val="0"/>
      <b val="1"/>
      <color rgb="FF003C72"/>
      <sz val="9"/>
    </font>
    <font>
      <name val="Aptos"/>
      <charset val="1"/>
      <family val="0"/>
      <b val="1"/>
      <color rgb="FFFFFFFF"/>
      <sz val="9"/>
    </font>
    <font>
      <name val="Aptos"/>
      <charset val="1"/>
      <family val="0"/>
      <sz val="9"/>
    </font>
    <font>
      <name val="Aptos"/>
      <sz val="9"/>
    </font>
  </fonts>
  <fills count="6">
    <fill>
      <patternFill/>
    </fill>
    <fill>
      <patternFill patternType="gray125"/>
    </fill>
    <fill>
      <patternFill patternType="solid">
        <fgColor rgb="FF003C72"/>
        <bgColor rgb="FF333399"/>
      </patternFill>
    </fill>
    <fill>
      <patternFill patternType="solid">
        <fgColor rgb="FFFFFFFF"/>
        <bgColor rgb="FFFFF2CC"/>
      </patternFill>
    </fill>
    <fill>
      <patternFill patternType="solid">
        <fgColor rgb="FFE6EDF5"/>
        <bgColor rgb="FFFFF2CC"/>
      </patternFill>
    </fill>
    <fill>
      <patternFill patternType="solid">
        <fgColor rgb="FFFFF2CC"/>
        <bgColor rgb="FFFFFFFF"/>
      </patternFill>
    </fill>
  </fills>
  <borders count="7">
    <border>
      <left/>
      <right/>
      <top/>
      <bottom/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003C72"/>
      </top>
      <bottom/>
      <diagonal/>
    </border>
    <border>
      <left/>
      <right style="thin">
        <color rgb="FF003C72"/>
      </right>
      <top style="thin">
        <color rgb="FF003C72"/>
      </top>
      <bottom/>
      <diagonal/>
    </border>
    <border>
      <left/>
      <right style="thin">
        <color rgb="FF003C72"/>
      </right>
      <top style="thin">
        <color rgb="FF003C72"/>
      </top>
      <bottom style="thin">
        <color rgb="FF003C72"/>
      </bottom>
      <diagonal/>
    </border>
    <border>
      <left style="thin">
        <color rgb="00003C72"/>
      </left>
      <right style="thin">
        <color rgb="00003C72"/>
      </right>
      <top style="thin">
        <color rgb="00003C72"/>
      </top>
      <bottom style="thin">
        <color rgb="00003C72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2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C72"/>
      <rgbColor rgb="FF339966"/>
      <rgbColor rgb="FF003300"/>
      <rgbColor rgb="FF333300"/>
      <rgbColor rgb="FF993300"/>
      <rgbColor rgb="FF993366"/>
      <rgbColor rgb="FF333399"/>
      <rgbColor rgb="FF4251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1474200</colOff>
      <row>3</row>
      <rowOff>84240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5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6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7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8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275760</colOff>
      <row>3</row>
      <rowOff>84240</rowOff>
    </to>
    <pic>
      <nvPicPr>
        <cNvPr id="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855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9" min="1" max="1"/>
    <col width="28" customWidth="1" style="29" min="2" max="2"/>
    <col width="14" customWidth="1" style="29" min="3" max="8"/>
  </cols>
  <sheetData>
    <row r="1" ht="17.35" customHeight="1" s="30">
      <c r="C1" s="31" t="inlineStr">
        <is>
          <t>Seagull Maritime — Document Register Dashboard</t>
        </is>
      </c>
    </row>
    <row r="2" ht="15" customHeight="1" s="30">
      <c r="C2" s="32" t="inlineStr">
        <is>
          <t>SM/INT/REG/001  |  Version 2.0  |  23 March 2026</t>
        </is>
      </c>
    </row>
    <row r="3" ht="6" customHeight="1" s="30"/>
    <row r="4" ht="15" customHeight="1" s="30">
      <c r="B4" s="33" t="inlineStr">
        <is>
          <t>DOCUMENT SUMMARY</t>
        </is>
      </c>
      <c r="C4" s="34" t="n"/>
      <c r="D4" s="35" t="n"/>
      <c r="E4" s="35" t="n"/>
      <c r="F4" s="34" t="n"/>
      <c r="G4" s="35" t="n"/>
      <c r="H4" s="35" t="n"/>
    </row>
    <row r="5" ht="15" customHeight="1" s="30">
      <c r="B5" s="36" t="inlineStr">
        <is>
          <t>Total Documents</t>
        </is>
      </c>
      <c r="C5" s="37">
        <f>C6+C7+C8+C9+C10+C11+C12+C13</f>
        <v/>
      </c>
      <c r="E5" s="33" t="inlineStr">
        <is>
          <t>BY SYSTEM</t>
        </is>
      </c>
      <c r="F5" s="34" t="n"/>
    </row>
    <row r="6" ht="15" customHeight="1" s="30">
      <c r="B6" s="38" t="inlineStr">
        <is>
          <t>Policies</t>
        </is>
      </c>
      <c r="C6" s="39">
        <f>COUNTA(Policies!A5:A500)</f>
        <v/>
      </c>
      <c r="E6" s="40" t="inlineStr">
        <is>
          <t>SEC — Security</t>
        </is>
      </c>
      <c r="F6" s="39">
        <f>COUNTIF(Policies!C5:C500,"SEC")+COUNTIF('Procedures &amp; SOPs'!C5:C500,"SEC")+COUNTIF('Risk Assessments'!C5:C500,"SEC")+COUNTIF('Registers &amp; Trackers'!C5:C500,"SEC")+COUNTIF('Reports &amp; Position Papers'!C5:C500,"SEC")+COUNTIF('Forms &amp; Templates'!C5:C500,"SEC")+COUNTIF('HR Documents'!C5:C500,"SEC")+COUNTIF('General Documents'!C5:C500,"SEC")</f>
        <v/>
      </c>
    </row>
    <row r="7" ht="15" customHeight="1" s="30">
      <c r="B7" s="36" t="inlineStr">
        <is>
          <t>Procedures &amp; SOPs</t>
        </is>
      </c>
      <c r="C7" s="37">
        <f>COUNTA('Procedures &amp; SOPs'!A5:A500)</f>
        <v/>
      </c>
      <c r="E7" s="41" t="inlineStr">
        <is>
          <t>QMS — Quality</t>
        </is>
      </c>
      <c r="F7" s="37">
        <f>COUNTIF(Policies!C5:C500,"QMS")+COUNTIF('Procedures &amp; SOPs'!C5:C500,"QMS")+COUNTIF('Risk Assessments'!C5:C500,"QMS")+COUNTIF('Registers &amp; Trackers'!C5:C500,"QMS")+COUNTIF('Reports &amp; Position Papers'!C5:C500,"QMS")+COUNTIF('Forms &amp; Templates'!C5:C500,"QMS")+COUNTIF('HR Documents'!C5:C500,"QMS")+COUNTIF('General Documents'!C5:C500,"QMS")</f>
        <v/>
      </c>
    </row>
    <row r="8" ht="15" customHeight="1" s="30">
      <c r="B8" s="38" t="inlineStr">
        <is>
          <t>Risk Assessments</t>
        </is>
      </c>
      <c r="C8" s="39">
        <f>COUNTA('Risk Assessments'!A5:A500)</f>
        <v/>
      </c>
      <c r="E8" s="40" t="inlineStr">
        <is>
          <t>HSE — Health &amp; Safety</t>
        </is>
      </c>
      <c r="F8" s="39">
        <f>COUNTIF(Policies!C5:C500,"HSE")+COUNTIF('Procedures &amp; SOPs'!C5:C500,"HSE")+COUNTIF('Risk Assessments'!C5:C500,"HSE")+COUNTIF('Registers &amp; Trackers'!C5:C500,"HSE")+COUNTIF('Reports &amp; Position Papers'!C5:C500,"HSE")+COUNTIF('Forms &amp; Templates'!C5:C500,"HSE")+COUNTIF('HR Documents'!C5:C500,"HSE")+COUNTIF('General Documents'!C5:C500,"HSE")</f>
        <v/>
      </c>
    </row>
    <row r="9" ht="15" customHeight="1" s="30">
      <c r="B9" s="36" t="inlineStr">
        <is>
          <t>Registers &amp; Trackers</t>
        </is>
      </c>
      <c r="C9" s="37">
        <f>COUNTA('Registers &amp; Trackers'!A5:A500)</f>
        <v/>
      </c>
      <c r="E9" s="41" t="inlineStr">
        <is>
          <t>INT — Integrated</t>
        </is>
      </c>
      <c r="F9" s="37">
        <f>COUNTIF(Policies!C5:C500,"INT")+COUNTIF('Procedures &amp; SOPs'!C5:C500,"INT")+COUNTIF('Risk Assessments'!C5:C500,"INT")+COUNTIF('Registers &amp; Trackers'!C5:C500,"INT")+COUNTIF('Reports &amp; Position Papers'!C5:C500,"INT")+COUNTIF('Forms &amp; Templates'!C5:C500,"INT")+COUNTIF('HR Documents'!C5:C500,"INT")+COUNTIF('General Documents'!C5:C500,"INT")</f>
        <v/>
      </c>
    </row>
    <row r="10" ht="15" customHeight="1" s="30">
      <c r="B10" s="38" t="inlineStr">
        <is>
          <t>Reports &amp; Position Papers</t>
        </is>
      </c>
      <c r="C10" s="39">
        <f>COUNTA('Reports &amp; Position Papers'!A5:A500)</f>
        <v/>
      </c>
      <c r="E10" s="40" t="inlineStr">
        <is>
          <t>OPS — Operational</t>
        </is>
      </c>
      <c r="F10" s="39">
        <f>COUNTIF(Policies!C5:C500,"OPS")+COUNTIF('Procedures &amp; SOPs'!C5:C500,"OPS")+COUNTIF('Risk Assessments'!C5:C500,"OPS")+COUNTIF('Registers &amp; Trackers'!C5:C500,"OPS")+COUNTIF('Reports &amp; Position Papers'!C5:C500,"OPS")+COUNTIF('Forms &amp; Templates'!C5:C500,"OPS")+COUNTIF('HR Documents'!C5:C500,"OPS")+COUNTIF('General Documents'!C5:C500,"OPS")</f>
        <v/>
      </c>
    </row>
    <row r="11" ht="15" customHeight="1" s="30">
      <c r="B11" s="36" t="inlineStr">
        <is>
          <t>Forms &amp; Templates</t>
        </is>
      </c>
      <c r="C11" s="37">
        <f>COUNTA('Forms &amp; Templates'!A5:A500)</f>
        <v/>
      </c>
      <c r="E11" s="41" t="inlineStr">
        <is>
          <t>OFF — Offshore</t>
        </is>
      </c>
      <c r="F11" s="37">
        <f>COUNTIF(Policies!C5:C500,"OFF")+COUNTIF('Procedures &amp; SOPs'!C5:C500,"OFF")+COUNTIF('Risk Assessments'!C5:C500,"OFF")+COUNTIF('Registers &amp; Trackers'!C5:C500,"OFF")+COUNTIF('Reports &amp; Position Papers'!C5:C500,"OFF")+COUNTIF('Forms &amp; Templates'!C5:C500,"OFF")+COUNTIF('HR Documents'!C5:C500,"OFF")+COUNTIF('General Documents'!C5:C500,"OFF")</f>
        <v/>
      </c>
    </row>
    <row r="12" ht="15" customHeight="1" s="30">
      <c r="B12" s="38" t="inlineStr">
        <is>
          <t>HR Documents</t>
        </is>
      </c>
      <c r="C12" s="39">
        <f>COUNTA('HR Documents'!A5:A500)</f>
        <v/>
      </c>
      <c r="E12" s="40" t="inlineStr">
        <is>
          <t>SMS — Safety Mgmt</t>
        </is>
      </c>
      <c r="F12" s="39">
        <f>COUNTIF(Policies!C5:C500,"SMS")+COUNTIF('Procedures &amp; SOPs'!C5:C500,"SMS")+COUNTIF('Risk Assessments'!C5:C500,"SMS")+COUNTIF('Registers &amp; Trackers'!C5:C500,"SMS")+COUNTIF('Reports &amp; Position Papers'!C5:C500,"SMS")+COUNTIF('Forms &amp; Templates'!C5:C500,"SMS")+COUNTIF('HR Documents'!C5:C500,"SMS")+COUNTIF('General Documents'!C5:C500,"SMS")</f>
        <v/>
      </c>
    </row>
    <row r="13" ht="15" customHeight="1" s="30">
      <c r="B13" s="36" t="inlineStr">
        <is>
          <t>General Documents</t>
        </is>
      </c>
      <c r="C13" s="37">
        <f>COUNTA('General Documents'!A5:A500)</f>
        <v/>
      </c>
    </row>
    <row r="15" ht="15" customHeight="1" s="30">
      <c r="B15" s="33" t="inlineStr">
        <is>
          <t>STATUS BREAKDOWN</t>
        </is>
      </c>
      <c r="C15" s="34" t="n"/>
    </row>
    <row r="16" ht="15" customHeight="1" s="30">
      <c r="B16" s="40" t="inlineStr">
        <is>
          <t>Approved</t>
        </is>
      </c>
      <c r="C16" s="39">
        <f>COUNTIF(Policies!E5:E500,"Approved")+COUNTIF('Procedures &amp; SOPs'!E5:E500,"Approved")+COUNTIF('Risk Assessments'!E5:E500,"Approved")+COUNTIF('Registers &amp; Trackers'!E5:E500,"Approved")+COUNTIF('Reports &amp; Position Papers'!E5:E500,"Approved")+COUNTIF('Forms &amp; Templates'!E5:E500,"Approved")+COUNTIF('HR Documents'!E5:E500,"Approved")+COUNTIF('General Documents'!E5:E500,"Approved")</f>
        <v/>
      </c>
    </row>
    <row r="17" ht="15" customHeight="1" s="30">
      <c r="B17" s="41" t="inlineStr">
        <is>
          <t>Draft</t>
        </is>
      </c>
      <c r="C17" s="37">
        <f>COUNTIF(Policies!E5:E500,"Draft")+COUNTIF('Procedures &amp; SOPs'!E5:E500,"Draft")+COUNTIF('Risk Assessments'!E5:E500,"Draft")+COUNTIF('Registers &amp; Trackers'!E5:E500,"Draft")+COUNTIF('Reports &amp; Position Papers'!E5:E500,"Draft")+COUNTIF('Forms &amp; Templates'!E5:E500,"Draft")+COUNTIF('HR Documents'!E5:E500,"Draft")+COUNTIF('General Documents'!E5:E500,"Draft")</f>
        <v/>
      </c>
    </row>
    <row r="18" ht="15" customHeight="1" s="30">
      <c r="B18" s="40" t="inlineStr">
        <is>
          <t>Under Review</t>
        </is>
      </c>
      <c r="C18" s="39">
        <f>COUNTIF(Policies!E5:E500,"Under Review")+COUNTIF('Procedures &amp; SOPs'!E5:E500,"Under Review")+COUNTIF('Risk Assessments'!E5:E500,"Under Review")+COUNTIF('Registers &amp; Trackers'!E5:E500,"Under Review")+COUNTIF('Reports &amp; Position Papers'!E5:E500,"Under Review")+COUNTIF('Forms &amp; Templates'!E5:E500,"Under Review")+COUNTIF('HR Documents'!E5:E500,"Under Review")+COUNTIF('General Documents'!E5:E500,"Under Review")</f>
        <v/>
      </c>
    </row>
    <row r="19" ht="15" customHeight="1" s="30">
      <c r="B19" s="41" t="inlineStr">
        <is>
          <t>Superseded</t>
        </is>
      </c>
      <c r="C19" s="37">
        <f>COUNTIF(Policies!E5:E500,"Superseded")+COUNTIF('Procedures &amp; SOPs'!E5:E500,"Superseded")+COUNTIF('Risk Assessments'!E5:E500,"Superseded")+COUNTIF('Registers &amp; Trackers'!E5:E500,"Superseded")+COUNTIF('Reports &amp; Position Papers'!E5:E500,"Superseded")+COUNTIF('Forms &amp; Templates'!E5:E500,"Superseded")+COUNTIF('HR Documents'!E5:E500,"Superseded")+COUNTIF('General Documents'!E5:E500,"Superseded")</f>
        <v/>
      </c>
    </row>
    <row r="20" ht="15" customHeight="1" s="30">
      <c r="B20" s="40" t="inlineStr">
        <is>
          <t>Retired</t>
        </is>
      </c>
      <c r="C20" s="39">
        <f>COUNTIF(Policies!E5:E500,"Retired")+COUNTIF('Procedures &amp; SOPs'!E5:E500,"Retired")+COUNTIF('Risk Assessments'!E5:E500,"Retired")+COUNTIF('Registers &amp; Trackers'!E5:E500,"Retired")+COUNTIF('Reports &amp; Position Papers'!E5:E500,"Retired")+COUNTIF('Forms &amp; Templates'!E5:E500,"Retired")+COUNTIF('HR Documents'!E5:E500,"Retired")+COUNTIF('General Documents'!E5:E500,"Retired")</f>
        <v/>
      </c>
    </row>
    <row r="21">
      <c r="A21" s="29" t="inlineStr">
        <is>
          <t>SM/SEC/DOC/002</t>
        </is>
      </c>
      <c r="B21" s="29" t="inlineStr">
        <is>
          <t>WAF OCIMF Due Diligence Questionnaire</t>
        </is>
      </c>
      <c r="C21" s="29" t="inlineStr">
        <is>
          <t>1.0</t>
        </is>
      </c>
      <c r="D21" s="29" t="inlineStr">
        <is>
          <t>April 2026</t>
        </is>
      </c>
      <c r="E21" s="29" t="inlineStr">
        <is>
          <t>03/04/2026</t>
        </is>
      </c>
      <c r="F21" s="29" t="inlineStr">
        <is>
          <t>Darren Watts</t>
        </is>
      </c>
      <c r="G21" s="29" t="inlineStr">
        <is>
          <t>Active</t>
        </is>
      </c>
      <c r="H21" s="29" t="inlineStr">
        <is>
          <t>W-DOC-002</t>
        </is>
      </c>
      <c r="I21" s="29" t="inlineStr">
        <is>
          <t>Due Diligence Assessment Questionnaire for West Africa operations — OCIMF PMSC Guidance 2022 aligned. 52 assessment questions across 8 compliance areas. Pre-engagement PMSC assessment tool.</t>
        </is>
      </c>
    </row>
  </sheetData>
  <mergeCells count="6">
    <mergeCell ref="E4:F4"/>
    <mergeCell ref="C2:H2"/>
    <mergeCell ref="B15:C15"/>
    <mergeCell ref="E5:F5"/>
    <mergeCell ref="B4:C4"/>
    <mergeCell ref="C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Policies</t>
        </is>
      </c>
    </row>
    <row r="2" ht="15" customHeight="1" s="30">
      <c r="C2" s="32" t="inlineStr">
        <is>
          <t>SM/INT/REG/001  |  POL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32.8" customHeight="1" s="30">
      <c r="A5" s="43" t="inlineStr">
        <is>
          <t>SM/HSE/DOC/001</t>
        </is>
      </c>
      <c r="B5" s="44" t="inlineStr">
        <is>
          <t>OH&amp;S Management System Scope Statement</t>
        </is>
      </c>
      <c r="C5" s="45" t="inlineStr">
        <is>
          <t>HSE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01 - Policies/HSE Policies (45001)</t>
        </is>
      </c>
      <c r="G5" s="44" t="inlineStr">
        <is>
          <t>ISO 45001 (4.3)</t>
        </is>
      </c>
      <c r="H5" s="45" t="inlineStr">
        <is>
          <t>Group Compliance Director</t>
        </is>
      </c>
      <c r="I5" s="45" t="inlineStr">
        <is>
          <t>03/02/2026</t>
        </is>
      </c>
      <c r="J5" s="45" t="inlineStr">
        <is>
          <t>03/02/2027</t>
        </is>
      </c>
      <c r="K5" s="44" t="n"/>
      <c r="L5" s="44" t="inlineStr">
        <is>
          <t>Defines scope and boundaries of OH&amp;S management system</t>
        </is>
      </c>
    </row>
    <row r="6" ht="32.8" customHeight="1" s="30">
      <c r="A6" s="43" t="inlineStr">
        <is>
          <t>SM/HSE/POL/001</t>
        </is>
      </c>
      <c r="B6" s="44" t="inlineStr">
        <is>
          <t>Occupational Health &amp; Safety Policy</t>
        </is>
      </c>
      <c r="C6" s="45" t="inlineStr">
        <is>
          <t>HSE</t>
        </is>
      </c>
      <c r="D6" s="45" t="inlineStr">
        <is>
          <t>1.0</t>
        </is>
      </c>
      <c r="E6" s="45" t="inlineStr">
        <is>
          <t>Approved</t>
        </is>
      </c>
      <c r="F6" s="44" t="inlineStr">
        <is>
          <t>01 - Policies/HSE Policies (45001)</t>
        </is>
      </c>
      <c r="G6" s="44" t="inlineStr">
        <is>
          <t>ISO 45001 (5.2)</t>
        </is>
      </c>
      <c r="H6" s="45" t="inlineStr">
        <is>
          <t>Group Compliance Director</t>
        </is>
      </c>
      <c r="I6" s="45" t="inlineStr">
        <is>
          <t>03/02/2026</t>
        </is>
      </c>
      <c r="J6" s="45" t="inlineStr">
        <is>
          <t>03/02/2027</t>
        </is>
      </c>
      <c r="K6" s="44" t="n"/>
      <c r="L6" s="44" t="inlineStr">
        <is>
          <t>CEO and GCD endorsement. Includes VPSHR and conflict zone commitments</t>
        </is>
      </c>
    </row>
    <row r="7">
      <c r="A7" s="43" t="inlineStr">
        <is>
          <t>SM/HSE/POL/002</t>
        </is>
      </c>
      <c r="B7" s="44" t="inlineStr">
        <is>
          <t>Environmental Policy</t>
        </is>
      </c>
      <c r="C7" s="45" t="inlineStr">
        <is>
          <t>HSE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01 - Policies/HSE Policies (45001)</t>
        </is>
      </c>
      <c r="G7" s="44" t="inlineStr">
        <is>
          <t>ISO 45001</t>
        </is>
      </c>
      <c r="H7" s="45" t="inlineStr">
        <is>
          <t>Group Compliance Director</t>
        </is>
      </c>
    </row>
    <row r="8">
      <c r="A8" s="43" t="inlineStr">
        <is>
          <t>SM/INT/POL/001</t>
        </is>
      </c>
      <c r="B8" s="44" t="inlineStr">
        <is>
          <t>Anti-Bribery, Corruption and Business Ethics Policy</t>
        </is>
      </c>
      <c r="C8" s="45" t="inlineStr">
        <is>
          <t>INT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01 - Policies/Integrated Policies</t>
        </is>
      </c>
      <c r="G8" s="44" t="inlineStr">
        <is>
          <t>All</t>
        </is>
      </c>
      <c r="H8" s="45" t="inlineStr">
        <is>
          <t>Group Compliance Director</t>
        </is>
      </c>
    </row>
    <row r="9">
      <c r="A9" s="43" t="inlineStr">
        <is>
          <t>SM/INT/POL/002</t>
        </is>
      </c>
      <c r="B9" s="44" t="inlineStr">
        <is>
          <t>Code of Conduct</t>
        </is>
      </c>
      <c r="C9" s="45" t="inlineStr">
        <is>
          <t>INT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01 - Policies/Integrated Policies</t>
        </is>
      </c>
      <c r="G9" s="44" t="inlineStr">
        <is>
          <t>All</t>
        </is>
      </c>
      <c r="H9" s="45" t="inlineStr">
        <is>
          <t>Group Compliance Director</t>
        </is>
      </c>
    </row>
    <row r="10">
      <c r="A10" s="43" t="inlineStr">
        <is>
          <t>SM/INT/POL/003</t>
        </is>
      </c>
      <c r="B10" s="44" t="inlineStr">
        <is>
          <t>Equal Opportunities Policy</t>
        </is>
      </c>
      <c r="C10" s="45" t="inlineStr">
        <is>
          <t>INT</t>
        </is>
      </c>
      <c r="D10" s="45" t="inlineStr">
        <is>
          <t>1.0</t>
        </is>
      </c>
      <c r="E10" s="45" t="inlineStr">
        <is>
          <t>Approved</t>
        </is>
      </c>
      <c r="F10" s="44" t="inlineStr">
        <is>
          <t>01 - Policies/Integrated Policies</t>
        </is>
      </c>
      <c r="G10" s="44" t="inlineStr">
        <is>
          <t>All</t>
        </is>
      </c>
      <c r="H10" s="45" t="inlineStr">
        <is>
          <t>Group Compliance Director</t>
        </is>
      </c>
    </row>
    <row r="11">
      <c r="A11" s="43" t="inlineStr">
        <is>
          <t>SM/INT/POL/004</t>
        </is>
      </c>
      <c r="B11" s="44" t="inlineStr">
        <is>
          <t>Grievance and Whistleblowing Policy</t>
        </is>
      </c>
      <c r="C11" s="45" t="inlineStr">
        <is>
          <t>INT</t>
        </is>
      </c>
      <c r="D11" s="45" t="inlineStr">
        <is>
          <t>1.0</t>
        </is>
      </c>
      <c r="E11" s="45" t="inlineStr">
        <is>
          <t>Approved</t>
        </is>
      </c>
      <c r="F11" s="44" t="inlineStr">
        <is>
          <t>01 - Policies/Integrated Policies</t>
        </is>
      </c>
      <c r="G11" s="44" t="inlineStr">
        <is>
          <t>All</t>
        </is>
      </c>
      <c r="H11" s="45" t="inlineStr">
        <is>
          <t>Group Compliance Director</t>
        </is>
      </c>
    </row>
    <row r="12">
      <c r="A12" s="43" t="inlineStr">
        <is>
          <t>SM/INT/POL/005</t>
        </is>
      </c>
      <c r="B12" s="44" t="inlineStr">
        <is>
          <t>Personal Data Protection Policy</t>
        </is>
      </c>
      <c r="C12" s="45" t="inlineStr">
        <is>
          <t>INT</t>
        </is>
      </c>
      <c r="D12" s="45" t="inlineStr">
        <is>
          <t>1.0</t>
        </is>
      </c>
      <c r="E12" s="45" t="inlineStr">
        <is>
          <t>Approved</t>
        </is>
      </c>
      <c r="F12" s="44" t="inlineStr">
        <is>
          <t>01 - Policies/Integrated Policies</t>
        </is>
      </c>
      <c r="G12" s="44" t="inlineStr">
        <is>
          <t>All</t>
        </is>
      </c>
      <c r="H12" s="45" t="inlineStr">
        <is>
          <t>Group Compliance Director</t>
        </is>
      </c>
    </row>
    <row r="13">
      <c r="A13" s="43" t="inlineStr">
        <is>
          <t>SM/INT/POL/006</t>
        </is>
      </c>
      <c r="B13" s="44" t="inlineStr">
        <is>
          <t>Recruitment Policy</t>
        </is>
      </c>
      <c r="C13" s="45" t="inlineStr">
        <is>
          <t>INT</t>
        </is>
      </c>
      <c r="D13" s="45" t="inlineStr">
        <is>
          <t>1.0</t>
        </is>
      </c>
      <c r="E13" s="45" t="inlineStr">
        <is>
          <t>Approved</t>
        </is>
      </c>
      <c r="F13" s="44" t="inlineStr">
        <is>
          <t>01 - Policies/Integrated Policies</t>
        </is>
      </c>
      <c r="G13" s="44" t="inlineStr">
        <is>
          <t>All</t>
        </is>
      </c>
      <c r="H13" s="45" t="inlineStr">
        <is>
          <t>Group Compliance Director</t>
        </is>
      </c>
    </row>
    <row r="14">
      <c r="A14" s="43" t="inlineStr">
        <is>
          <t>SM/INT/POL/007</t>
        </is>
      </c>
      <c r="B14" s="44" t="inlineStr">
        <is>
          <t>Risk Management Policy</t>
        </is>
      </c>
      <c r="C14" s="45" t="inlineStr">
        <is>
          <t>INT</t>
        </is>
      </c>
      <c r="D14" s="45" t="inlineStr">
        <is>
          <t>1.0</t>
        </is>
      </c>
      <c r="E14" s="45" t="inlineStr">
        <is>
          <t>Approved</t>
        </is>
      </c>
      <c r="F14" s="44" t="inlineStr">
        <is>
          <t>01 - Policies/Integrated Policies</t>
        </is>
      </c>
      <c r="G14" s="44" t="inlineStr">
        <is>
          <t>45001 / 18788 / 28000 / 28007</t>
        </is>
      </c>
      <c r="H14" s="45" t="inlineStr">
        <is>
          <t>Group Compliance Director</t>
        </is>
      </c>
    </row>
    <row r="15">
      <c r="A15" s="43" t="inlineStr">
        <is>
          <t>SM/INT/POL/008</t>
        </is>
      </c>
      <c r="B15" s="44" t="inlineStr">
        <is>
          <t>Social Media Policy</t>
        </is>
      </c>
      <c r="C15" s="45" t="inlineStr">
        <is>
          <t>INT</t>
        </is>
      </c>
      <c r="D15" s="45" t="inlineStr">
        <is>
          <t>1.0</t>
        </is>
      </c>
      <c r="E15" s="45" t="inlineStr">
        <is>
          <t>Approved</t>
        </is>
      </c>
      <c r="F15" s="44" t="inlineStr">
        <is>
          <t>01 - Policies/Integrated Policies</t>
        </is>
      </c>
      <c r="G15" s="44" t="inlineStr">
        <is>
          <t>All</t>
        </is>
      </c>
      <c r="H15" s="45" t="inlineStr">
        <is>
          <t>Group Compliance Director</t>
        </is>
      </c>
    </row>
    <row r="16">
      <c r="A16" s="43" t="inlineStr">
        <is>
          <t>SM/INT/POL/009</t>
        </is>
      </c>
      <c r="B16" s="44" t="inlineStr">
        <is>
          <t>Training Policy</t>
        </is>
      </c>
      <c r="C16" s="45" t="inlineStr">
        <is>
          <t>INT</t>
        </is>
      </c>
      <c r="D16" s="45" t="inlineStr">
        <is>
          <t>1.0</t>
        </is>
      </c>
      <c r="E16" s="45" t="inlineStr">
        <is>
          <t>Approved</t>
        </is>
      </c>
      <c r="F16" s="44" t="inlineStr">
        <is>
          <t>01 - Policies/Integrated Policies</t>
        </is>
      </c>
      <c r="G16" s="44" t="inlineStr">
        <is>
          <t>45001 (7.2/7.3) / 18788</t>
        </is>
      </c>
      <c r="H16" s="45" t="inlineStr">
        <is>
          <t>Group Compliance Director</t>
        </is>
      </c>
    </row>
    <row r="17">
      <c r="A17" s="43" t="inlineStr">
        <is>
          <t>SM/QMS/POL/001</t>
        </is>
      </c>
      <c r="B17" s="44" t="inlineStr">
        <is>
          <t>Quality Policy</t>
        </is>
      </c>
      <c r="C17" s="45" t="inlineStr">
        <is>
          <t>QMS</t>
        </is>
      </c>
      <c r="D17" s="45" t="inlineStr">
        <is>
          <t>1.0</t>
        </is>
      </c>
      <c r="E17" s="45" t="inlineStr">
        <is>
          <t>Approved</t>
        </is>
      </c>
      <c r="F17" s="44" t="inlineStr">
        <is>
          <t>01 - Policies/Quality Policies (9001)</t>
        </is>
      </c>
      <c r="G17" s="44" t="inlineStr">
        <is>
          <t>ISO 9001</t>
        </is>
      </c>
      <c r="H17" s="45" t="inlineStr">
        <is>
          <t>Group Compliance Director</t>
        </is>
      </c>
    </row>
    <row r="18">
      <c r="A18" s="43" t="inlineStr">
        <is>
          <t>SM/QMS/POL/002</t>
        </is>
      </c>
      <c r="B18" s="44" t="inlineStr">
        <is>
          <t>Quality Policy Statement</t>
        </is>
      </c>
      <c r="C18" s="45" t="inlineStr">
        <is>
          <t>QMS</t>
        </is>
      </c>
      <c r="D18" s="45" t="inlineStr">
        <is>
          <t>1.0</t>
        </is>
      </c>
      <c r="E18" s="45" t="inlineStr">
        <is>
          <t>Approved</t>
        </is>
      </c>
      <c r="F18" s="44" t="inlineStr">
        <is>
          <t>01 - Policies/Quality Policies (9001)</t>
        </is>
      </c>
      <c r="G18" s="44" t="inlineStr">
        <is>
          <t>ISO 9001</t>
        </is>
      </c>
      <c r="H18" s="45" t="inlineStr">
        <is>
          <t>Group Compliance Director</t>
        </is>
      </c>
    </row>
    <row r="19">
      <c r="A19" s="43" t="inlineStr">
        <is>
          <t>SM/SEC/POL/001</t>
        </is>
      </c>
      <c r="B19" s="44" t="inlineStr">
        <is>
          <t>Security and Security Operations Policy</t>
        </is>
      </c>
      <c r="C19" s="45" t="inlineStr">
        <is>
          <t>SEC</t>
        </is>
      </c>
      <c r="D19" s="45" t="inlineStr">
        <is>
          <t>1.0</t>
        </is>
      </c>
      <c r="E19" s="45" t="inlineStr">
        <is>
          <t>Approved</t>
        </is>
      </c>
      <c r="F19" s="44" t="inlineStr">
        <is>
          <t>01 - Policies/Security Policies (18788 - 28007 - 28000)</t>
        </is>
      </c>
      <c r="G19" s="44" t="inlineStr">
        <is>
          <t>18788 / 28007 / 28000</t>
        </is>
      </c>
      <c r="H19" s="45" t="inlineStr">
        <is>
          <t>Group Compliance Director</t>
        </is>
      </c>
    </row>
    <row r="20">
      <c r="A20" s="43" t="inlineStr">
        <is>
          <t>SM/SEC/POL/002</t>
        </is>
      </c>
      <c r="B20" s="44" t="inlineStr">
        <is>
          <t>Human Rights Policy</t>
        </is>
      </c>
      <c r="C20" s="45" t="inlineStr">
        <is>
          <t>SEC</t>
        </is>
      </c>
      <c r="D20" s="45" t="inlineStr">
        <is>
          <t>1.0</t>
        </is>
      </c>
      <c r="E20" s="45" t="inlineStr">
        <is>
          <t>Approved</t>
        </is>
      </c>
      <c r="F20" s="44" t="inlineStr">
        <is>
          <t>01 - Policies/Security Policies (18788 - 28007 - 28000)</t>
        </is>
      </c>
      <c r="G20" s="44" t="inlineStr">
        <is>
          <t>18788 / 28007</t>
        </is>
      </c>
      <c r="H20" s="45" t="inlineStr">
        <is>
          <t>Group Compliance Director</t>
        </is>
      </c>
    </row>
    <row r="21">
      <c r="A21" s="43" t="inlineStr">
        <is>
          <t>SM/SEC/POL/003</t>
        </is>
      </c>
      <c r="B21" s="44" t="inlineStr">
        <is>
          <t>Statement of Conformance</t>
        </is>
      </c>
      <c r="C21" s="45" t="inlineStr">
        <is>
          <t>SEC</t>
        </is>
      </c>
      <c r="D21" s="45" t="inlineStr">
        <is>
          <t>1.0</t>
        </is>
      </c>
      <c r="E21" s="45" t="inlineStr">
        <is>
          <t>Approved</t>
        </is>
      </c>
      <c r="F21" s="44" t="inlineStr">
        <is>
          <t>01 - Policies/Security Policies (18788 - 28007 - 28000)</t>
        </is>
      </c>
      <c r="G21" s="44" t="inlineStr">
        <is>
          <t>18788 / 28007 / 28000</t>
        </is>
      </c>
      <c r="H21" s="45" t="inlineStr">
        <is>
          <t>Group Compliance Director</t>
        </is>
      </c>
    </row>
    <row r="22">
      <c r="A22" s="43" t="inlineStr">
        <is>
          <t>SM/SEC/POL/004</t>
        </is>
      </c>
      <c r="B22" s="44" t="inlineStr">
        <is>
          <t>Security Policy Statement</t>
        </is>
      </c>
      <c r="C22" s="45" t="inlineStr">
        <is>
          <t>SEC</t>
        </is>
      </c>
      <c r="D22" s="45" t="inlineStr">
        <is>
          <t>1.0</t>
        </is>
      </c>
      <c r="E22" s="45" t="inlineStr">
        <is>
          <t>Approved</t>
        </is>
      </c>
      <c r="F22" s="44" t="inlineStr">
        <is>
          <t>01 - Policies/Security Policies (18788 - 28007 - 28000)</t>
        </is>
      </c>
      <c r="G22" s="44" t="inlineStr">
        <is>
          <t>18788 / 28007 / 28000</t>
        </is>
      </c>
      <c r="H22" s="45" t="inlineStr">
        <is>
          <t>Group Compliance Director</t>
        </is>
      </c>
    </row>
    <row r="23">
      <c r="A23" s="43" t="inlineStr">
        <is>
          <t>SM/INT/POL/010</t>
        </is>
      </c>
      <c r="B23" s="44" t="inlineStr">
        <is>
          <t>Drugs and Alcohol Policy</t>
        </is>
      </c>
      <c r="C23" s="45" t="inlineStr">
        <is>
          <t>INT</t>
        </is>
      </c>
      <c r="D23" s="45" t="inlineStr">
        <is>
          <t>1.0</t>
        </is>
      </c>
      <c r="E23" s="45" t="inlineStr">
        <is>
          <t>Approved</t>
        </is>
      </c>
      <c r="F23" s="44" t="inlineStr">
        <is>
          <t>01 - Policies/Integrated Policies/Controlled Drafts</t>
        </is>
      </c>
      <c r="G23" s="44" t="inlineStr">
        <is>
          <t>45001 / 18788</t>
        </is>
      </c>
      <c r="H23" s="45" t="inlineStr">
        <is>
          <t>Group Compliance Director</t>
        </is>
      </c>
      <c r="I23" s="29" t="inlineStr">
        <is>
          <t>08/04/2026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Procedures &amp; SOPs</t>
        </is>
      </c>
    </row>
    <row r="2" ht="15" customHeight="1" s="30">
      <c r="C2" s="32" t="inlineStr">
        <is>
          <t>SM/INT/REG/001  |  PRO | SOP | ANN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SM/OPS/SOP/001</t>
        </is>
      </c>
      <c r="B5" s="44" t="inlineStr">
        <is>
          <t>Indian Ocean Piracy Operations SOP</t>
        </is>
      </c>
      <c r="C5" s="45" t="inlineStr">
        <is>
          <t>OPS</t>
        </is>
      </c>
      <c r="D5" s="45" t="n"/>
      <c r="E5" s="45" t="inlineStr">
        <is>
          <t>Approved</t>
        </is>
      </c>
      <c r="F5" s="44" t="inlineStr">
        <is>
          <t>02 / Operational SOPs / IOR</t>
        </is>
      </c>
      <c r="G5" s="44" t="inlineStr">
        <is>
          <t>28007 / 18788</t>
        </is>
      </c>
      <c r="H5" s="45" t="inlineStr">
        <is>
          <t>Group Compliance Director</t>
        </is>
      </c>
      <c r="I5" s="45" t="n"/>
      <c r="J5" s="45" t="n"/>
      <c r="K5" s="44" t="inlineStr">
        <is>
          <t>SMS/SOP/IO/001</t>
        </is>
      </c>
      <c r="L5" s="44" t="inlineStr">
        <is>
          <t>Migrate ref on next amendment (Shell findings)</t>
        </is>
      </c>
    </row>
    <row r="6" ht="22.35" customHeight="1" s="30">
      <c r="A6" s="46" t="inlineStr">
        <is>
          <t>SM/OPS/SOP/002</t>
        </is>
      </c>
      <c r="B6" s="47" t="inlineStr">
        <is>
          <t>WAF SEV Operations SOP</t>
        </is>
      </c>
      <c r="C6" s="48" t="inlineStr">
        <is>
          <t>OPS</t>
        </is>
      </c>
      <c r="D6" s="48" t="inlineStr">
        <is>
          <t>1.0</t>
        </is>
      </c>
      <c r="E6" s="48" t="inlineStr">
        <is>
          <t>Approved</t>
        </is>
      </c>
      <c r="F6" s="47" t="inlineStr">
        <is>
          <t>02 / Operational SOPs / WAF</t>
        </is>
      </c>
      <c r="G6" s="47" t="inlineStr">
        <is>
          <t>28007 / 18788</t>
        </is>
      </c>
      <c r="H6" s="48" t="inlineStr">
        <is>
          <t>Group Compliance Director</t>
        </is>
      </c>
      <c r="I6" s="48" t="inlineStr">
        <is>
          <t>03/04/2026</t>
        </is>
      </c>
      <c r="J6" s="48" t="inlineStr">
        <is>
          <t>Annual</t>
        </is>
      </c>
      <c r="K6" s="47" t="n"/>
      <c r="L6" s="47" t="inlineStr">
        <is>
          <t>S26 rebuild. Tracked changes: VPSHR, BMP-MS, Safety App, training refs. PG SOP entry removed — never actioned.</t>
        </is>
      </c>
    </row>
    <row r="7" ht="22.35" customHeight="1" s="30">
      <c r="A7" s="43" t="inlineStr">
        <is>
          <t>SM/OFF/PRO/001</t>
        </is>
      </c>
      <c r="B7" s="44" t="inlineStr">
        <is>
          <t>SEV Critical Spares Risk Assessment Procedure</t>
        </is>
      </c>
      <c r="C7" s="45" t="inlineStr">
        <is>
          <t>OFF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10 / Seagull Offshore / Procedures</t>
        </is>
      </c>
      <c r="G7" s="44" t="inlineStr">
        <is>
          <t>9001</t>
        </is>
      </c>
      <c r="H7" s="45" t="inlineStr">
        <is>
          <t>Group Compliance Director</t>
        </is>
      </c>
      <c r="I7" s="45" t="inlineStr">
        <is>
          <t>2026</t>
        </is>
      </c>
      <c r="J7" s="45" t="inlineStr">
        <is>
          <t>2027</t>
        </is>
      </c>
      <c r="K7" s="44" t="inlineStr">
        <is>
          <t>SM PRO-SEV-RA-001</t>
        </is>
      </c>
      <c r="L7" s="44" t="n"/>
    </row>
    <row r="8" ht="53.7" customHeight="1" s="30">
      <c r="A8" s="43" t="inlineStr">
        <is>
          <t>SM/INT/PRO/002</t>
        </is>
      </c>
      <c r="B8" s="44" t="inlineStr">
        <is>
          <t>Control of Documents</t>
        </is>
      </c>
      <c r="C8" s="45" t="inlineStr">
        <is>
          <t>INT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02 - Procedures and SOPs</t>
        </is>
      </c>
      <c r="G8" s="44" t="inlineStr">
        <is>
          <t>9001 / 18788 / 28007 / 28000 / 45001</t>
        </is>
      </c>
      <c r="H8" s="45" t="inlineStr">
        <is>
          <t>Group Compliance Director</t>
        </is>
      </c>
      <c r="I8" s="45" t="inlineStr">
        <is>
          <t>30/03/2026</t>
        </is>
      </c>
      <c r="J8" s="45" t="inlineStr">
        <is>
          <t>30/03/2027</t>
        </is>
      </c>
      <c r="K8" s="44" t="inlineStr">
        <is>
          <t>MSP-A-01 / OHSP14 / SOP-1001</t>
        </is>
      </c>
      <c r="L8" s="44" t="inlineStr">
        <is>
          <t>Migrated from SM/PRO/DOC/001 (Option A, 30 Mar 2026). Supersedes all prior doc control procedures</t>
        </is>
      </c>
    </row>
    <row r="9" ht="43.25" customHeight="1" s="30">
      <c r="A9" s="43" t="inlineStr">
        <is>
          <t>SM/INT/PRO/003</t>
        </is>
      </c>
      <c r="B9" s="44" t="inlineStr">
        <is>
          <t>Internal Audit</t>
        </is>
      </c>
      <c r="C9" s="45" t="inlineStr">
        <is>
          <t>INT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02 - Procedures and SOPs</t>
        </is>
      </c>
      <c r="G9" s="44" t="inlineStr">
        <is>
          <t>9001 / 18788 / 28007 / 28000 / 45001 / 19011</t>
        </is>
      </c>
      <c r="H9" s="45" t="inlineStr">
        <is>
          <t>Group Compliance Director</t>
        </is>
      </c>
      <c r="I9" s="45" t="inlineStr">
        <is>
          <t>30/03/2026</t>
        </is>
      </c>
      <c r="J9" s="45" t="inlineStr">
        <is>
          <t>30/03/2027</t>
        </is>
      </c>
      <c r="K9" s="44" t="n"/>
      <c r="L9" s="44" t="inlineStr">
        <is>
          <t>Migrated from SM/PRO/IA/001 (Option A, 30 Mar 2026). Supersedes all prior IA procedures</t>
        </is>
      </c>
    </row>
    <row r="10" ht="32.8" customHeight="1" s="30">
      <c r="A10" s="43" t="inlineStr">
        <is>
          <t>SM/INT/PRO/001</t>
        </is>
      </c>
      <c r="B10" s="44" t="inlineStr">
        <is>
          <t>Non-Conformance, OFI and Corrective Action Management</t>
        </is>
      </c>
      <c r="C10" s="45" t="inlineStr">
        <is>
          <t>INT</t>
        </is>
      </c>
      <c r="D10" s="45" t="inlineStr">
        <is>
          <t>1.0</t>
        </is>
      </c>
      <c r="E10" s="45" t="inlineStr">
        <is>
          <t>Approved</t>
        </is>
      </c>
      <c r="F10" s="44" t="inlineStr">
        <is>
          <t>02 - Procedures and SOPs</t>
        </is>
      </c>
      <c r="G10" s="44" t="inlineStr">
        <is>
          <t>9001 / 18788 / 28007 / 28000 / 45001</t>
        </is>
      </c>
      <c r="H10" s="45" t="inlineStr">
        <is>
          <t>Group Compliance Director</t>
        </is>
      </c>
      <c r="I10" s="45" t="inlineStr">
        <is>
          <t>30/03/2026</t>
        </is>
      </c>
      <c r="J10" s="45" t="inlineStr">
        <is>
          <t>30/03/2027</t>
        </is>
      </c>
      <c r="K10" s="44" t="n"/>
      <c r="L10" s="29" t="inlineStr">
        <is>
          <t>Approved by Pavel Shparber (CEO) and Darren Watts (GCD)</t>
        </is>
      </c>
    </row>
    <row r="11" ht="22.35" customHeight="1" s="30">
      <c r="A11" s="43" t="inlineStr">
        <is>
          <t>SM/HSE/PRO/001</t>
        </is>
      </c>
      <c r="B11" s="44" t="inlineStr">
        <is>
          <t>Hazard Identification and Risk Assessment Procedure</t>
        </is>
      </c>
      <c r="C11" s="45" t="inlineStr">
        <is>
          <t>HSE</t>
        </is>
      </c>
      <c r="D11" s="45" t="inlineStr">
        <is>
          <t>1.0</t>
        </is>
      </c>
      <c r="E11" s="45" t="inlineStr">
        <is>
          <t>Approved</t>
        </is>
      </c>
      <c r="F11" s="44" t="inlineStr">
        <is>
          <t>02 - Procedures and SOPs / HSE Procedures</t>
        </is>
      </c>
      <c r="G11" s="44" t="inlineStr">
        <is>
          <t>45001</t>
        </is>
      </c>
      <c r="H11" s="45" t="inlineStr">
        <is>
          <t>Group Compliance Director</t>
        </is>
      </c>
      <c r="I11" s="45" t="inlineStr">
        <is>
          <t>31/03/2026</t>
        </is>
      </c>
      <c r="J11" s="45" t="inlineStr">
        <is>
          <t>31/03/2027</t>
        </is>
      </c>
    </row>
    <row r="12" ht="15" customHeight="1" s="30">
      <c r="A12" s="29" t="inlineStr">
        <is>
          <t>SM/SEC/PRO/001</t>
        </is>
      </c>
      <c r="B12" s="29" t="inlineStr">
        <is>
          <t>Security and Business Risk Assessment Procedure</t>
        </is>
      </c>
      <c r="C12" s="29" t="inlineStr">
        <is>
          <t>SEC</t>
        </is>
      </c>
      <c r="D12" s="29" t="inlineStr">
        <is>
          <t>1.0</t>
        </is>
      </c>
      <c r="E12" s="29" t="inlineStr">
        <is>
          <t>Approved</t>
        </is>
      </c>
      <c r="F12" s="29" t="inlineStr">
        <is>
          <t>02 - Procedures and SOPs / Security Procedures</t>
        </is>
      </c>
      <c r="G12" s="29" t="inlineStr">
        <is>
          <t>28007 / 18788 / 28000</t>
        </is>
      </c>
      <c r="H12" s="29" t="inlineStr">
        <is>
          <t>Group Compliance Director</t>
        </is>
      </c>
    </row>
    <row r="13" ht="15" customHeight="1" s="30">
      <c r="A13" s="29" t="inlineStr">
        <is>
          <t>SM/HSE/PRO/002</t>
        </is>
      </c>
      <c r="B13" s="29" t="inlineStr">
        <is>
          <t>Legal and Regulatory Compliance Procedure</t>
        </is>
      </c>
      <c r="C13" s="29" t="inlineStr">
        <is>
          <t>HSE</t>
        </is>
      </c>
      <c r="D13" s="29" t="inlineStr">
        <is>
          <t>1.0</t>
        </is>
      </c>
      <c r="E13" s="29" t="inlineStr">
        <is>
          <t>Approved</t>
        </is>
      </c>
      <c r="F13" s="29" t="inlineStr">
        <is>
          <t>02 - Procedures and SOPs / HSE Procedures</t>
        </is>
      </c>
      <c r="G13" s="29" t="inlineStr">
        <is>
          <t>45001 (6.1.3 / 9.1.2)</t>
        </is>
      </c>
      <c r="H13" s="29" t="inlineStr">
        <is>
          <t>Group Compliance Director</t>
        </is>
      </c>
      <c r="I13" s="29" t="inlineStr">
        <is>
          <t>01/04/2026</t>
        </is>
      </c>
    </row>
    <row r="14" ht="15" customHeight="1" s="30">
      <c r="A14" s="29" t="inlineStr">
        <is>
          <t>SM/INT/PRO/004</t>
        </is>
      </c>
      <c r="B14" s="29" t="inlineStr">
        <is>
          <t>External References and Standards Procedure</t>
        </is>
      </c>
      <c r="C14" s="29" t="inlineStr">
        <is>
          <t>INT</t>
        </is>
      </c>
      <c r="D14" s="29" t="inlineStr">
        <is>
          <t>1.0</t>
        </is>
      </c>
      <c r="E14" s="29" t="inlineStr">
        <is>
          <t>Approved</t>
        </is>
      </c>
      <c r="F14" s="29" t="inlineStr">
        <is>
          <t>02 - Procedures and SOPs</t>
        </is>
      </c>
      <c r="G14" s="29" t="inlineStr">
        <is>
          <t>9001 / 18788 / 28007 / 28000 / 45001</t>
        </is>
      </c>
      <c r="H14" s="29" t="inlineStr">
        <is>
          <t>Group Compliance Director</t>
        </is>
      </c>
      <c r="I14" s="29" t="inlineStr">
        <is>
          <t>01/04/2026</t>
        </is>
      </c>
    </row>
    <row r="15" ht="15" customHeight="1" s="30">
      <c r="A15" s="29" t="inlineStr">
        <is>
          <t>SM/SEC/PRO/002</t>
        </is>
      </c>
      <c r="B15" s="29" t="inlineStr">
        <is>
          <t>Due Diligence Response Procedure</t>
        </is>
      </c>
      <c r="C15" s="29" t="inlineStr">
        <is>
          <t>SEC</t>
        </is>
      </c>
      <c r="D15" s="29" t="inlineStr">
        <is>
          <t>1.1</t>
        </is>
      </c>
      <c r="E15" s="29" t="inlineStr">
        <is>
          <t>Approved</t>
        </is>
      </c>
      <c r="F15" s="29" t="inlineStr">
        <is>
          <t>02 / Security Procedures</t>
        </is>
      </c>
      <c r="G15" s="29" t="inlineStr">
        <is>
          <t>ISO 28007 (4.4.6) / ISO 18788 (A.4.3.2, A.9.3)</t>
        </is>
      </c>
      <c r="H15" s="29" t="inlineStr">
        <is>
          <t>Group Compliance Director</t>
        </is>
      </c>
      <c r="I15" s="29" t="inlineStr">
        <is>
          <t>04/04/2026</t>
        </is>
      </c>
      <c r="J15" s="29" t="inlineStr">
        <is>
          <t>02/04/2027</t>
        </is>
      </c>
      <c r="K15" s="29" t="inlineStr"/>
      <c r="L15" s="29" t="inlineStr">
        <is>
          <t>S28 update: WAF portal and DOC-002 references added, PG removed. 11 tracked changes.</t>
        </is>
      </c>
    </row>
    <row r="16" ht="15" customHeight="1" s="30">
      <c r="A16" s="43" t="inlineStr">
        <is>
          <t>SM/INT/PRO/005</t>
        </is>
      </c>
      <c r="B16" s="44" t="inlineStr">
        <is>
          <t>Control of Records</t>
        </is>
      </c>
      <c r="C16" s="45" t="inlineStr">
        <is>
          <t>INT</t>
        </is>
      </c>
      <c r="D16" s="45" t="inlineStr">
        <is>
          <t>1.0</t>
        </is>
      </c>
      <c r="E16" s="45" t="inlineStr">
        <is>
          <t>Approved</t>
        </is>
      </c>
      <c r="F16" s="44" t="inlineStr">
        <is>
          <t>02 - Procedures and SOPs</t>
        </is>
      </c>
      <c r="G16" s="44" t="inlineStr">
        <is>
          <t>ISO 45001 (7.5)</t>
        </is>
      </c>
      <c r="H16" s="45" t="inlineStr">
        <is>
          <t>Group Compliance Director</t>
        </is>
      </c>
    </row>
    <row r="17" ht="15" customHeight="1" s="30">
      <c r="A17" s="43" t="inlineStr">
        <is>
          <t>SM/INT/PRO/006</t>
        </is>
      </c>
      <c r="B17" s="44" t="inlineStr">
        <is>
          <t>Incident and Crisis Management</t>
        </is>
      </c>
      <c r="C17" s="45" t="inlineStr">
        <is>
          <t>INT</t>
        </is>
      </c>
      <c r="D17" s="45" t="inlineStr">
        <is>
          <t>1.0</t>
        </is>
      </c>
      <c r="E17" s="45" t="inlineStr">
        <is>
          <t>Approved</t>
        </is>
      </c>
      <c r="F17" s="44" t="inlineStr">
        <is>
          <t>02 - Procedures and SOPs</t>
        </is>
      </c>
      <c r="G17" s="44" t="inlineStr">
        <is>
          <t>45001 / 18788</t>
        </is>
      </c>
      <c r="H17" s="45" t="inlineStr">
        <is>
          <t>Group Compliance Director</t>
        </is>
      </c>
    </row>
    <row r="18" ht="15" customHeight="1" s="30">
      <c r="A18" s="43" t="inlineStr">
        <is>
          <t>SM/INT/PRO/007</t>
        </is>
      </c>
      <c r="B18" s="44" t="inlineStr">
        <is>
          <t>PCASP Induction and Deployment</t>
        </is>
      </c>
      <c r="C18" s="45" t="inlineStr">
        <is>
          <t>INT</t>
        </is>
      </c>
      <c r="D18" s="45" t="inlineStr">
        <is>
          <t>1.0</t>
        </is>
      </c>
      <c r="E18" s="45" t="inlineStr">
        <is>
          <t>Approved</t>
        </is>
      </c>
      <c r="F18" s="44" t="inlineStr">
        <is>
          <t>02 - Procedures and SOPs</t>
        </is>
      </c>
      <c r="G18" s="44" t="inlineStr">
        <is>
          <t>28007 / 18788</t>
        </is>
      </c>
      <c r="H18" s="45" t="inlineStr">
        <is>
          <t>Group Compliance Director</t>
        </is>
      </c>
    </row>
    <row r="19" ht="15" customHeight="1" s="30">
      <c r="A19" s="43" t="inlineStr">
        <is>
          <t>SM/INT/PRO/008</t>
        </is>
      </c>
      <c r="B19" s="44" t="inlineStr">
        <is>
          <t>PCASP Recruitment and Screening</t>
        </is>
      </c>
      <c r="C19" s="45" t="inlineStr">
        <is>
          <t>INT</t>
        </is>
      </c>
      <c r="D19" s="45" t="inlineStr">
        <is>
          <t>1.0</t>
        </is>
      </c>
      <c r="E19" s="45" t="inlineStr">
        <is>
          <t>Approved</t>
        </is>
      </c>
      <c r="F19" s="44" t="inlineStr">
        <is>
          <t>02 - Procedures and SOPs</t>
        </is>
      </c>
      <c r="G19" s="44" t="inlineStr">
        <is>
          <t>28007 / 18788</t>
        </is>
      </c>
      <c r="H19" s="45" t="inlineStr">
        <is>
          <t>Group Compliance Director</t>
        </is>
      </c>
    </row>
    <row r="20" ht="15" customHeight="1" s="30">
      <c r="A20" s="43" t="inlineStr">
        <is>
          <t>SM/INT/PRO/008-A</t>
        </is>
      </c>
      <c r="B20" s="44" t="inlineStr">
        <is>
          <t>PCASP Recruitment and Screening (Shell Supplement)</t>
        </is>
      </c>
      <c r="C20" s="45" t="inlineStr">
        <is>
          <t>INT</t>
        </is>
      </c>
      <c r="D20" s="45" t="inlineStr">
        <is>
          <t>1.0</t>
        </is>
      </c>
      <c r="E20" s="45" t="inlineStr">
        <is>
          <t>Approved</t>
        </is>
      </c>
      <c r="F20" s="44" t="inlineStr">
        <is>
          <t>02 - Procedures and SOPs</t>
        </is>
      </c>
      <c r="G20" s="44" t="inlineStr">
        <is>
          <t>28007 / Shell</t>
        </is>
      </c>
      <c r="H20" s="45" t="inlineStr">
        <is>
          <t>Group Compliance Director</t>
        </is>
      </c>
    </row>
    <row r="21" ht="15" customHeight="1" s="30">
      <c r="A21" s="43" t="inlineStr">
        <is>
          <t>SM/INT/PRO/009</t>
        </is>
      </c>
      <c r="B21" s="44" t="inlineStr">
        <is>
          <t>Firearms Competency</t>
        </is>
      </c>
      <c r="C21" s="45" t="inlineStr">
        <is>
          <t>INT</t>
        </is>
      </c>
      <c r="D21" s="45" t="inlineStr">
        <is>
          <t>1.0</t>
        </is>
      </c>
      <c r="E21" s="45" t="inlineStr">
        <is>
          <t>Approved</t>
        </is>
      </c>
      <c r="F21" s="44" t="inlineStr">
        <is>
          <t>02 - Procedures and SOPs</t>
        </is>
      </c>
      <c r="G21" s="44" t="inlineStr">
        <is>
          <t>28007 / 18788</t>
        </is>
      </c>
      <c r="H21" s="45" t="inlineStr">
        <is>
          <t>Group Compliance Director</t>
        </is>
      </c>
    </row>
    <row r="22" ht="15" customHeight="1" s="30">
      <c r="A22" s="43" t="inlineStr">
        <is>
          <t>SM/SEC/PRO/003</t>
        </is>
      </c>
      <c r="B22" s="44" t="inlineStr">
        <is>
          <t>Rules on the Use of Force</t>
        </is>
      </c>
      <c r="C22" s="45" t="inlineStr">
        <is>
          <t>SEC</t>
        </is>
      </c>
      <c r="D22" s="45" t="inlineStr">
        <is>
          <t>1.0</t>
        </is>
      </c>
      <c r="E22" s="45" t="inlineStr">
        <is>
          <t>Approved</t>
        </is>
      </c>
      <c r="F22" s="44" t="inlineStr">
        <is>
          <t>02 / Security Procedures</t>
        </is>
      </c>
      <c r="G22" s="44" t="inlineStr">
        <is>
          <t>28007 / 18788</t>
        </is>
      </c>
      <c r="H22" s="45" t="inlineStr">
        <is>
          <t>Group Compliance Director</t>
        </is>
      </c>
    </row>
    <row r="23" ht="15" customHeight="1" s="30">
      <c r="A23" s="29" t="inlineStr">
        <is>
          <t>SM/SEC/PRO/004</t>
        </is>
      </c>
      <c r="B23" s="29" t="inlineStr">
        <is>
          <t>Security Escort Vessel Approval Procedure</t>
        </is>
      </c>
      <c r="C23" s="29" t="inlineStr">
        <is>
          <t>SEC</t>
        </is>
      </c>
      <c r="D23" s="29" t="inlineStr">
        <is>
          <t>1.0</t>
        </is>
      </c>
      <c r="E23" s="29" t="inlineStr">
        <is>
          <t>Approved</t>
        </is>
      </c>
      <c r="F23" s="29" t="inlineStr">
        <is>
          <t>02 / Security Procedures</t>
        </is>
      </c>
      <c r="G23" s="29" t="inlineStr">
        <is>
          <t>28007 / 18788 / 9001</t>
        </is>
      </c>
      <c r="H23" s="29" t="inlineStr">
        <is>
          <t>Group Compliance Director</t>
        </is>
      </c>
      <c r="I23" s="29" t="inlineStr">
        <is>
          <t>03/04/2026</t>
        </is>
      </c>
      <c r="J23" s="29" t="inlineStr">
        <is>
          <t>Annual</t>
        </is>
      </c>
      <c r="K23" s="29" t="inlineStr">
        <is>
          <t>SM/PRO/SEV/001</t>
        </is>
      </c>
      <c r="L23" s="29" t="inlineStr">
        <is>
          <t>S26 rebuild from legacy. S28 major update: documentation requirements tables (V01-V27 + Shell), operational exceptions, transitional compliance, document storage with folder mockups.</t>
        </is>
      </c>
    </row>
    <row r="24" ht="15" customHeight="1" s="30">
      <c r="A24" s="29" t="inlineStr">
        <is>
          <t>SM/SEC/PRO/005</t>
        </is>
      </c>
      <c r="B24" s="29" t="inlineStr">
        <is>
          <t>Supplier Approval — Security Escort Vessel Providers</t>
        </is>
      </c>
      <c r="C24" s="29" t="inlineStr">
        <is>
          <t>SEC</t>
        </is>
      </c>
      <c r="D24" s="29" t="inlineStr">
        <is>
          <t>1.0</t>
        </is>
      </c>
      <c r="E24" s="29" t="inlineStr">
        <is>
          <t>Approved</t>
        </is>
      </c>
      <c r="F24" s="29" t="inlineStr">
        <is>
          <t>02 / Security Procedures</t>
        </is>
      </c>
      <c r="G24" s="29" t="inlineStr">
        <is>
          <t>18788 / 9001 / 28007 / 45001</t>
        </is>
      </c>
      <c r="H24" s="29" t="inlineStr">
        <is>
          <t>Group Compliance Director</t>
        </is>
      </c>
      <c r="I24" s="29" t="inlineStr">
        <is>
          <t>03/04/2026</t>
        </is>
      </c>
      <c r="J24" s="29" t="inlineStr">
        <is>
          <t>Annual</t>
        </is>
      </c>
      <c r="K24" s="29" t="inlineStr">
        <is>
          <t>SM/PRO/SASEV/001</t>
        </is>
      </c>
      <c r="L24" s="29" t="inlineStr">
        <is>
          <t>S26 rebuild from legacy. S28 update: Provider docs table (P01-P11), DD questionnaire mapping to standards, exclusions, basis of approval, priority of use, review cycle, document storage.</t>
        </is>
      </c>
    </row>
    <row r="25" ht="15" customHeight="1" s="30">
      <c r="A25" s="43" t="inlineStr">
        <is>
          <t>SM/OPS/SOP/001-A</t>
        </is>
      </c>
      <c r="B25" s="44" t="inlineStr">
        <is>
          <t>IOR SOP — Annex A — Deployment and Embarkation</t>
        </is>
      </c>
      <c r="C25" s="45" t="inlineStr">
        <is>
          <t>OPS</t>
        </is>
      </c>
      <c r="D25" s="45" t="inlineStr">
        <is>
          <t>1.0</t>
        </is>
      </c>
      <c r="E25" s="45" t="inlineStr">
        <is>
          <t>Approved</t>
        </is>
      </c>
      <c r="F25" s="44" t="inlineStr">
        <is>
          <t>02 / Operational SOPs / IOR / SOP</t>
        </is>
      </c>
      <c r="G25" s="44" t="inlineStr">
        <is>
          <t>28007 / 18788</t>
        </is>
      </c>
      <c r="H25" s="45" t="inlineStr">
        <is>
          <t>Group Compliance Director</t>
        </is>
      </c>
    </row>
    <row r="26" ht="15" customHeight="1" s="30">
      <c r="A26" s="43" t="inlineStr">
        <is>
          <t>SM/OPS/SOP/001-B</t>
        </is>
      </c>
      <c r="B26" s="44" t="inlineStr">
        <is>
          <t>IOR SOP — Annex B — Vessel Familiarisation</t>
        </is>
      </c>
      <c r="C26" s="45" t="inlineStr">
        <is>
          <t>OPS</t>
        </is>
      </c>
      <c r="D26" s="45" t="inlineStr">
        <is>
          <t>1.0</t>
        </is>
      </c>
      <c r="E26" s="45" t="inlineStr">
        <is>
          <t>Approved</t>
        </is>
      </c>
      <c r="F26" s="44" t="inlineStr">
        <is>
          <t>02 / Operational SOPs / IOR / SOP</t>
        </is>
      </c>
      <c r="G26" s="44" t="inlineStr">
        <is>
          <t>28007 / 18788</t>
        </is>
      </c>
      <c r="H26" s="45" t="inlineStr">
        <is>
          <t>Group Compliance Director</t>
        </is>
      </c>
    </row>
    <row r="27" ht="15" customHeight="1" s="30">
      <c r="A27" s="43" t="inlineStr">
        <is>
          <t>SM/OPS/SOP/001-C</t>
        </is>
      </c>
      <c r="B27" s="44" t="inlineStr">
        <is>
          <t>IOR SOP — Annex C — Vessel Hardening &amp; Mitigation Measures</t>
        </is>
      </c>
      <c r="C27" s="45" t="inlineStr">
        <is>
          <t>OPS</t>
        </is>
      </c>
      <c r="D27" s="45" t="inlineStr">
        <is>
          <t>1.0</t>
        </is>
      </c>
      <c r="E27" s="45" t="inlineStr">
        <is>
          <t>Approved</t>
        </is>
      </c>
      <c r="F27" s="44" t="inlineStr">
        <is>
          <t>02 / Operational SOPs / IOR / SOP</t>
        </is>
      </c>
      <c r="G27" s="44" t="inlineStr">
        <is>
          <t>28007 / 18788</t>
        </is>
      </c>
      <c r="H27" s="45" t="inlineStr">
        <is>
          <t>Group Compliance Director</t>
        </is>
      </c>
    </row>
    <row r="28" ht="15" customHeight="1" s="30">
      <c r="A28" s="43" t="inlineStr">
        <is>
          <t>SM/OPS/SOP/001-D</t>
        </is>
      </c>
      <c r="B28" s="44" t="inlineStr">
        <is>
          <t>IOR SOP — Annex D — Onboard Routines</t>
        </is>
      </c>
      <c r="C28" s="45" t="inlineStr">
        <is>
          <t>OPS</t>
        </is>
      </c>
      <c r="D28" s="45" t="inlineStr">
        <is>
          <t>1.0</t>
        </is>
      </c>
      <c r="E28" s="45" t="inlineStr">
        <is>
          <t>Approved</t>
        </is>
      </c>
      <c r="F28" s="44" t="inlineStr">
        <is>
          <t>02 / Operational SOPs / IOR / SOP</t>
        </is>
      </c>
      <c r="G28" s="44" t="inlineStr">
        <is>
          <t>28007 / 18788</t>
        </is>
      </c>
      <c r="H28" s="45" t="inlineStr">
        <is>
          <t>Group Compliance Director</t>
        </is>
      </c>
    </row>
    <row r="29" ht="15" customHeight="1" s="30">
      <c r="A29" s="43" t="inlineStr">
        <is>
          <t>SM/OPS/SOP/001-E</t>
        </is>
      </c>
      <c r="B29" s="44" t="inlineStr">
        <is>
          <t>IOR SOP — Annex E — Vessel Defence</t>
        </is>
      </c>
      <c r="C29" s="45" t="inlineStr">
        <is>
          <t>OPS</t>
        </is>
      </c>
      <c r="D29" s="45" t="inlineStr">
        <is>
          <t>1.0</t>
        </is>
      </c>
      <c r="E29" s="45" t="inlineStr">
        <is>
          <t>Approved</t>
        </is>
      </c>
      <c r="F29" s="44" t="inlineStr">
        <is>
          <t>02 / Operational SOPs / IOR / SOP</t>
        </is>
      </c>
      <c r="G29" s="44" t="inlineStr">
        <is>
          <t>28007 / 18788</t>
        </is>
      </c>
      <c r="H29" s="45" t="inlineStr">
        <is>
          <t>Group Compliance Director</t>
        </is>
      </c>
    </row>
    <row r="30" ht="15" customHeight="1" s="30">
      <c r="A30" s="43" t="inlineStr">
        <is>
          <t>SM/OPS/SOP/001-F</t>
        </is>
      </c>
      <c r="B30" s="44" t="inlineStr">
        <is>
          <t>IOR SOP — Annex F — Incident Management</t>
        </is>
      </c>
      <c r="C30" s="45" t="inlineStr">
        <is>
          <t>OPS</t>
        </is>
      </c>
      <c r="D30" s="45" t="inlineStr">
        <is>
          <t>1.0</t>
        </is>
      </c>
      <c r="E30" s="45" t="inlineStr">
        <is>
          <t>Approved</t>
        </is>
      </c>
      <c r="F30" s="44" t="inlineStr">
        <is>
          <t>02 / Operational SOPs / IOR / SOP</t>
        </is>
      </c>
      <c r="G30" s="44" t="inlineStr">
        <is>
          <t>28007 / 18788</t>
        </is>
      </c>
      <c r="H30" s="45" t="inlineStr">
        <is>
          <t>Group Compliance Director</t>
        </is>
      </c>
    </row>
    <row r="31" ht="15" customHeight="1" s="30">
      <c r="A31" s="43" t="inlineStr">
        <is>
          <t>SM/OPS/SOP/001-G</t>
        </is>
      </c>
      <c r="B31" s="44" t="inlineStr">
        <is>
          <t>IOR SOP — Annex G — Weapons &amp; Equipment Management</t>
        </is>
      </c>
      <c r="C31" s="45" t="inlineStr">
        <is>
          <t>OPS</t>
        </is>
      </c>
      <c r="D31" s="45" t="inlineStr">
        <is>
          <t>1.0</t>
        </is>
      </c>
      <c r="E31" s="45" t="inlineStr">
        <is>
          <t>Approved</t>
        </is>
      </c>
      <c r="F31" s="44" t="inlineStr">
        <is>
          <t>02 / Operational SOPs / IOR / SOP</t>
        </is>
      </c>
      <c r="G31" s="44" t="inlineStr">
        <is>
          <t>28007 / 18788</t>
        </is>
      </c>
      <c r="H31" s="45" t="inlineStr">
        <is>
          <t>Group Compliance Director</t>
        </is>
      </c>
    </row>
    <row r="32" ht="15" customHeight="1" s="30">
      <c r="A32" s="43" t="inlineStr">
        <is>
          <t>SM/OPS/SOP/001-H</t>
        </is>
      </c>
      <c r="B32" s="44" t="inlineStr">
        <is>
          <t>IOR SOP — Annex H — Disembarkation and Post Transit</t>
        </is>
      </c>
      <c r="C32" s="45" t="inlineStr">
        <is>
          <t>OPS</t>
        </is>
      </c>
      <c r="D32" s="45" t="inlineStr">
        <is>
          <t>1.0</t>
        </is>
      </c>
      <c r="E32" s="45" t="inlineStr">
        <is>
          <t>Approved</t>
        </is>
      </c>
      <c r="F32" s="44" t="inlineStr">
        <is>
          <t>02 / Operational SOPs / IOR / SOP</t>
        </is>
      </c>
      <c r="G32" s="44" t="inlineStr">
        <is>
          <t>28007 / 18788</t>
        </is>
      </c>
      <c r="H32" s="45" t="inlineStr">
        <is>
          <t>Group Compliance Director</t>
        </is>
      </c>
    </row>
    <row r="33" ht="15" customHeight="1" s="30">
      <c r="A33" s="43" t="inlineStr">
        <is>
          <t>SM/INT/PRO/010</t>
        </is>
      </c>
      <c r="B33" s="44" t="inlineStr">
        <is>
          <t>Training and Competence Management Procedure</t>
        </is>
      </c>
      <c r="C33" s="45" t="inlineStr">
        <is>
          <t>INT</t>
        </is>
      </c>
      <c r="D33" s="45" t="inlineStr">
        <is>
          <t>1.0</t>
        </is>
      </c>
      <c r="E33" s="45" t="inlineStr">
        <is>
          <t>Approved</t>
        </is>
      </c>
      <c r="F33" s="44" t="inlineStr">
        <is>
          <t>02 / Procedures and SOPs</t>
        </is>
      </c>
      <c r="G33" s="44" t="inlineStr">
        <is>
          <t>45001 Cl. 7.2 / 7.3</t>
        </is>
      </c>
      <c r="H33" s="45" t="inlineStr">
        <is>
          <t>Group Compliance Director</t>
        </is>
      </c>
    </row>
    <row r="34" ht="15" customHeight="1" s="30">
      <c r="A34" s="43" t="inlineStr">
        <is>
          <t>SM/OPS/SOP/002-A</t>
        </is>
      </c>
      <c r="B34" s="44" t="inlineStr">
        <is>
          <t>WAF SOP — Annex A — MSLO Operations</t>
        </is>
      </c>
      <c r="C34" s="45" t="inlineStr">
        <is>
          <t>OPS</t>
        </is>
      </c>
      <c r="D34" s="45" t="inlineStr">
        <is>
          <t>1.0</t>
        </is>
      </c>
      <c r="E34" s="45" t="inlineStr">
        <is>
          <t>Approved</t>
        </is>
      </c>
      <c r="F34" s="44" t="inlineStr">
        <is>
          <t>02 / Operational SOPs / WAF</t>
        </is>
      </c>
      <c r="G34" s="44" t="inlineStr">
        <is>
          <t>28007 / 18788</t>
        </is>
      </c>
      <c r="H34" s="45" t="inlineStr">
        <is>
          <t>Group Compliance Director</t>
        </is>
      </c>
      <c r="I34" s="29" t="inlineStr">
        <is>
          <t>03/04/2026</t>
        </is>
      </c>
      <c r="L34" s="29" t="inlineStr">
        <is>
          <t>S26 creation. Tracked changes: VPSHR, Safety App, training refs.</t>
        </is>
      </c>
    </row>
    <row r="35" ht="15" customHeight="1" s="30">
      <c r="A35" s="43" t="inlineStr">
        <is>
          <t>SM/INT/PRO/011</t>
        </is>
      </c>
      <c r="B35" s="44" t="inlineStr">
        <is>
          <t>Staff Recruitment Procedure</t>
        </is>
      </c>
      <c r="C35" s="45" t="inlineStr">
        <is>
          <t>INT</t>
        </is>
      </c>
      <c r="D35" s="45" t="inlineStr">
        <is>
          <t>1.0</t>
        </is>
      </c>
      <c r="E35" s="45" t="inlineStr">
        <is>
          <t>Approved</t>
        </is>
      </c>
      <c r="F35" s="44" t="inlineStr">
        <is>
          <t>02 - Procedures and SOPs</t>
        </is>
      </c>
      <c r="G35" s="44" t="inlineStr">
        <is>
          <t>9001 7.1.2 / 18788 7.1 / 45001 7.2</t>
        </is>
      </c>
      <c r="H35" s="45" t="inlineStr">
        <is>
          <t>Group Compliance Director</t>
        </is>
      </c>
      <c r="I35" s="29" t="inlineStr">
        <is>
          <t>06/04/2026</t>
        </is>
      </c>
      <c r="J35" s="29" t="inlineStr">
        <is>
          <t>06/04/2027</t>
        </is>
      </c>
      <c r="K35" s="29" t="inlineStr">
        <is>
          <t>SM PRO - Recruitment Employed Staff</t>
        </is>
      </c>
      <c r="L35" s="29" t="inlineStr">
        <is>
          <t>Replaces legacy recruitment procedure</t>
        </is>
      </c>
    </row>
    <row r="36" ht="15" customHeight="1" s="30">
      <c r="A36" s="43" t="inlineStr">
        <is>
          <t>SM/INT/PRO/012</t>
        </is>
      </c>
      <c r="B36" s="44" t="inlineStr">
        <is>
          <t>Staff Training and Competence Procedure</t>
        </is>
      </c>
      <c r="C36" s="45" t="inlineStr">
        <is>
          <t>INT</t>
        </is>
      </c>
      <c r="D36" s="45" t="inlineStr">
        <is>
          <t>1.0</t>
        </is>
      </c>
      <c r="E36" s="45" t="inlineStr">
        <is>
          <t>Approved</t>
        </is>
      </c>
      <c r="F36" s="44" t="inlineStr">
        <is>
          <t>02 - Procedures and SOPs</t>
        </is>
      </c>
      <c r="G36" s="44" t="inlineStr">
        <is>
          <t>9001 7.2 / 45001 7.2-7.3 / 18788 7.2 / 28007 7.2</t>
        </is>
      </c>
      <c r="H36" s="45" t="inlineStr">
        <is>
          <t>Group Compliance Director</t>
        </is>
      </c>
      <c r="I36" s="29" t="inlineStr">
        <is>
          <t>06/04/2026</t>
        </is>
      </c>
      <c r="J36" s="29" t="inlineStr">
        <is>
          <t>06/04/2027</t>
        </is>
      </c>
      <c r="K36" s="29" t="inlineStr">
        <is>
          <t>N/A</t>
        </is>
      </c>
      <c r="L36" s="29" t="inlineStr">
        <is>
          <t>New procedure — staff training (complements PRO/010 for PCASP)</t>
        </is>
      </c>
    </row>
    <row r="37" ht="15" customHeight="1" s="30">
      <c r="A37" s="43" t="inlineStr">
        <is>
          <t>SM/INT/PRO/013</t>
        </is>
      </c>
      <c r="B37" s="44" t="inlineStr">
        <is>
          <t>Management of Change Procedure</t>
        </is>
      </c>
      <c r="C37" s="45" t="inlineStr">
        <is>
          <t>INT</t>
        </is>
      </c>
      <c r="D37" s="45" t="inlineStr">
        <is>
          <t>1.0</t>
        </is>
      </c>
      <c r="E37" s="45" t="inlineStr">
        <is>
          <t>Approved</t>
        </is>
      </c>
      <c r="F37" s="44" t="inlineStr">
        <is>
          <t>02 - Procedures and SOPs</t>
        </is>
      </c>
      <c r="G37" s="44" t="inlineStr">
        <is>
          <t>9001 6.3 / 45001 8.1.3 / 18788 8.1 / 28007 8.1</t>
        </is>
      </c>
      <c r="H37" s="45" t="inlineStr">
        <is>
          <t>Group Compliance Director</t>
        </is>
      </c>
      <c r="I37" s="29" t="inlineStr">
        <is>
          <t>07/04/2026</t>
        </is>
      </c>
      <c r="J37" s="29" t="inlineStr">
        <is>
          <t>07/04/2027</t>
        </is>
      </c>
      <c r="K37" s="29" t="inlineStr">
        <is>
          <t>SM/PRO/CHA/001</t>
        </is>
      </c>
      <c r="L37" s="29" t="inlineStr">
        <is>
          <t>Supersedes SM/PRO/CHA/001. Shell OFI-001 / CWP 1.06.</t>
        </is>
      </c>
    </row>
    <row r="38" ht="15" customHeight="1" s="30">
      <c r="A38" s="43" t="inlineStr">
        <is>
          <t>SM/HSE/PRO/003</t>
        </is>
      </c>
      <c r="B38" s="44" t="inlineStr">
        <is>
          <t>Emergency Preparedness and Response Procedure</t>
        </is>
      </c>
      <c r="C38" s="45" t="inlineStr">
        <is>
          <t>HSE</t>
        </is>
      </c>
      <c r="D38" s="45" t="inlineStr">
        <is>
          <t>1.0</t>
        </is>
      </c>
      <c r="E38" s="45" t="inlineStr">
        <is>
          <t>Approved</t>
        </is>
      </c>
      <c r="F38" s="44" t="inlineStr">
        <is>
          <t>02 / HSE Procedures</t>
        </is>
      </c>
      <c r="G38" s="44" t="inlineStr">
        <is>
          <t>45001 (8.2) / 18788 (8.3) / 28007 / 28000</t>
        </is>
      </c>
      <c r="H38" s="45" t="inlineStr">
        <is>
          <t>Group Compliance Director</t>
        </is>
      </c>
      <c r="I38" s="29" t="inlineStr">
        <is>
          <t>08/04/2026</t>
        </is>
      </c>
      <c r="J38" s="29" t="inlineStr">
        <is>
          <t>08/04/2027</t>
        </is>
      </c>
      <c r="K38" s="29" t="inlineStr">
        <is>
          <t>SOP-2002, SOP-2005</t>
        </is>
      </c>
    </row>
    <row r="39" ht="15" customHeight="1" s="30">
      <c r="A39" s="43" t="inlineStr">
        <is>
          <t>SM/INT/PRO/014</t>
        </is>
      </c>
      <c r="B39" s="44" t="inlineStr">
        <is>
          <t>Worker Consultation and Participation Procedure</t>
        </is>
      </c>
      <c r="C39" s="45" t="inlineStr">
        <is>
          <t>INT</t>
        </is>
      </c>
      <c r="D39" s="45" t="inlineStr">
        <is>
          <t>1.0</t>
        </is>
      </c>
      <c r="E39" s="45" t="inlineStr">
        <is>
          <t>Approved</t>
        </is>
      </c>
      <c r="F39" s="44" t="inlineStr">
        <is>
          <t>02 / Integrated</t>
        </is>
      </c>
      <c r="G39" s="44" t="inlineStr">
        <is>
          <t>45001 (5.4) / 18788 (5.3.3)</t>
        </is>
      </c>
      <c r="H39" s="45" t="inlineStr">
        <is>
          <t>Group Compliance Director</t>
        </is>
      </c>
      <c r="I39" s="29" t="inlineStr">
        <is>
          <t>08/04/2026</t>
        </is>
      </c>
      <c r="J39" s="29" t="inlineStr">
        <is>
          <t>08/04/2027</t>
        </is>
      </c>
      <c r="K39" s="29" t="n"/>
    </row>
    <row r="40" ht="15" customHeight="1" s="30">
      <c r="A40" s="43" t="inlineStr">
        <is>
          <t>SM/INT/PRO/015</t>
        </is>
      </c>
      <c r="B40" s="44" t="inlineStr">
        <is>
          <t>Continual Improvement Procedure</t>
        </is>
      </c>
      <c r="C40" s="45" t="inlineStr">
        <is>
          <t>INT</t>
        </is>
      </c>
      <c r="D40" s="45" t="inlineStr">
        <is>
          <t>1.0</t>
        </is>
      </c>
      <c r="E40" s="45" t="inlineStr">
        <is>
          <t>Approved</t>
        </is>
      </c>
      <c r="F40" s="44" t="inlineStr">
        <is>
          <t>02 / Integrated</t>
        </is>
      </c>
      <c r="G40" s="44" t="inlineStr">
        <is>
          <t>45001 (10.3) / 18788 (10.2) / 9001 (10.3)</t>
        </is>
      </c>
      <c r="H40" s="45" t="inlineStr">
        <is>
          <t>Group Compliance Director</t>
        </is>
      </c>
      <c r="I40" s="29" t="inlineStr">
        <is>
          <t>08/04/2026</t>
        </is>
      </c>
      <c r="J40" s="29" t="inlineStr">
        <is>
          <t>08/04/2027</t>
        </is>
      </c>
      <c r="K40" s="29" t="n"/>
    </row>
    <row r="41" ht="15" customHeight="1" s="30">
      <c r="A41" s="43" t="inlineStr">
        <is>
          <t>SM/INT/PRO/016</t>
        </is>
      </c>
      <c r="B41" s="44" t="inlineStr">
        <is>
          <t>Internal and External Communications Procedure</t>
        </is>
      </c>
      <c r="C41" s="45" t="inlineStr">
        <is>
          <t>INT</t>
        </is>
      </c>
      <c r="D41" s="45" t="inlineStr">
        <is>
          <t>1.0</t>
        </is>
      </c>
      <c r="E41" s="45" t="inlineStr">
        <is>
          <t>Active</t>
        </is>
      </c>
      <c r="F41" s="44" t="inlineStr">
        <is>
          <t>02 - Procedures and SOPs/Integrated Procedures/Controlled Drafts</t>
        </is>
      </c>
      <c r="G41" s="44" t="inlineStr">
        <is>
          <t>45001 (7.4) / 9001 (7.4) / 18788 (7.4)</t>
        </is>
      </c>
      <c r="H41" s="45" t="inlineStr">
        <is>
          <t>Group Compliance Director</t>
        </is>
      </c>
      <c r="I41" s="29" t="inlineStr">
        <is>
          <t>08/04/2026</t>
        </is>
      </c>
      <c r="J41" s="29" t="inlineStr">
        <is>
          <t>08/04/2027</t>
        </is>
      </c>
      <c r="K41" s="29" t="inlineStr"/>
      <c r="L41" s="29" t="inlineStr">
        <is>
          <t>S34. Emergency prep, IRT tabletop framework.</t>
        </is>
      </c>
    </row>
    <row r="42" ht="15" customHeight="1" s="30">
      <c r="A42" s="43" t="inlineStr">
        <is>
          <t>SM/INT/PRO/017</t>
        </is>
      </c>
      <c r="B42" s="44" t="inlineStr">
        <is>
          <t>Supplier, Contractor and Procurement Management Procedure</t>
        </is>
      </c>
      <c r="C42" s="45" t="inlineStr">
        <is>
          <t>INT</t>
        </is>
      </c>
      <c r="D42" s="45" t="inlineStr">
        <is>
          <t>1.0</t>
        </is>
      </c>
      <c r="E42" s="45" t="inlineStr">
        <is>
          <t>Active</t>
        </is>
      </c>
      <c r="F42" s="44" t="inlineStr">
        <is>
          <t>02 - Procedures and SOPs/Integrated Procedures/Controlled Drafts</t>
        </is>
      </c>
      <c r="G42" s="44" t="inlineStr">
        <is>
          <t>45001 Cl. 8.1.4 / 9001 8.4</t>
        </is>
      </c>
      <c r="H42" s="45" t="inlineStr">
        <is>
          <t>Group Compliance Director</t>
        </is>
      </c>
      <c r="I42" s="29" t="inlineStr">
        <is>
          <t>08/04/2026</t>
        </is>
      </c>
      <c r="J42" s="29" t="inlineStr">
        <is>
          <t>08/04/2027</t>
        </is>
      </c>
      <c r="K42" s="29" t="inlineStr">
        <is>
          <t>SM/PRO/SA/001 + SI/001 + SUB/001</t>
        </is>
      </c>
      <c r="L42" s="29" t="inlineStr">
        <is>
          <t>S34. Combined 3 legacy procedures. PCASP exclusion.</t>
        </is>
      </c>
    </row>
    <row r="43" ht="15" customHeight="1" s="30">
      <c r="A43" s="43" t="inlineStr">
        <is>
          <t>SM/INT/PRO/019</t>
        </is>
      </c>
      <c r="B43" s="44" t="inlineStr">
        <is>
          <t>Management Review Procedure</t>
        </is>
      </c>
      <c r="C43" s="45" t="inlineStr">
        <is>
          <t>INT</t>
        </is>
      </c>
      <c r="D43" s="45" t="inlineStr">
        <is>
          <t>1.0</t>
        </is>
      </c>
      <c r="E43" s="45" t="inlineStr">
        <is>
          <t>Active</t>
        </is>
      </c>
      <c r="F43" s="44" t="inlineStr">
        <is>
          <t>02 - Procedures and SOPs/Integrated Procedures/Controlled Drafts</t>
        </is>
      </c>
      <c r="G43" s="44" t="inlineStr">
        <is>
          <t>45001 Cl. 9.3</t>
        </is>
      </c>
      <c r="H43" s="45" t="inlineStr">
        <is>
          <t>Group Compliance Director</t>
        </is>
      </c>
      <c r="I43" s="29" t="inlineStr">
        <is>
          <t>08/04/2026</t>
        </is>
      </c>
      <c r="J43" s="29" t="inlineStr">
        <is>
          <t>08/04/2027</t>
        </is>
      </c>
      <c r="K43" s="29" t="inlineStr">
        <is>
          <t>SM/PRO/MR/001</t>
        </is>
      </c>
      <c r="L43" s="29" t="inlineStr">
        <is>
          <t>S34. Rebuilt from legacy. 11 input areas, 5 outputs.</t>
        </is>
      </c>
    </row>
    <row r="44" ht="15" customHeight="1" s="30">
      <c r="A44" s="43" t="inlineStr">
        <is>
          <t>SM/INT/PRO/021</t>
        </is>
      </c>
      <c r="B44" s="44" t="inlineStr">
        <is>
          <t>Drugs and Alcohol Testing Procedure</t>
        </is>
      </c>
      <c r="C44" s="45" t="inlineStr">
        <is>
          <t>INT</t>
        </is>
      </c>
      <c r="D44" s="45" t="inlineStr">
        <is>
          <t>1.0</t>
        </is>
      </c>
      <c r="E44" s="45" t="inlineStr">
        <is>
          <t>Approved</t>
        </is>
      </c>
      <c r="F44" s="44" t="inlineStr">
        <is>
          <t>02 - Procedures and SOPs/Integrated/Controlled Drafts</t>
        </is>
      </c>
      <c r="G44" s="44" t="inlineStr">
        <is>
          <t>45001 / 18788</t>
        </is>
      </c>
      <c r="H44" s="45" t="inlineStr">
        <is>
          <t>Group Compliance Director</t>
        </is>
      </c>
      <c r="I44" s="29" t="inlineStr">
        <is>
          <t>08/04/2026</t>
        </is>
      </c>
    </row>
    <row r="45" ht="15" customHeight="1" s="30">
      <c r="C45" s="29" t="n"/>
      <c r="E45" s="29" t="n"/>
    </row>
    <row r="46" ht="15" customHeight="1" s="30">
      <c r="C46" s="29" t="n"/>
      <c r="E46" s="29" t="n"/>
    </row>
    <row r="47" ht="15" customHeight="1" s="30">
      <c r="C47" s="29" t="n"/>
      <c r="E47" s="29" t="n"/>
    </row>
    <row r="48" ht="15" customHeight="1" s="30">
      <c r="C48" s="29" t="n"/>
      <c r="E48" s="29" t="n"/>
    </row>
    <row r="49" ht="15" customHeight="1" s="30">
      <c r="C49" s="29" t="n"/>
      <c r="E49" s="29" t="n"/>
    </row>
    <row r="50" ht="15" customHeight="1" s="30">
      <c r="C50" s="29" t="n"/>
      <c r="E50" s="29" t="n"/>
    </row>
    <row r="51" ht="15" customHeight="1" s="30">
      <c r="C51" s="29" t="n"/>
      <c r="E51" s="29" t="n"/>
    </row>
    <row r="52" ht="15" customHeight="1" s="30">
      <c r="C52" s="29" t="n"/>
      <c r="E52" s="29" t="n"/>
    </row>
    <row r="53" ht="15" customHeight="1" s="30">
      <c r="C53" s="29" t="n"/>
      <c r="E53" s="29" t="n"/>
    </row>
    <row r="54" ht="15" customHeight="1" s="30">
      <c r="C54" s="29" t="n"/>
      <c r="E54" s="29" t="n"/>
    </row>
    <row r="55" ht="15" customHeight="1" s="30">
      <c r="C55" s="29" t="n"/>
      <c r="E55" s="29" t="n"/>
    </row>
    <row r="56" ht="15" customHeight="1" s="30">
      <c r="C56" s="29" t="n"/>
      <c r="E56" s="29" t="n"/>
    </row>
    <row r="57" ht="15" customHeight="1" s="30">
      <c r="C57" s="29" t="n"/>
      <c r="E57" s="29" t="n"/>
    </row>
    <row r="58" ht="15" customHeight="1" s="30">
      <c r="C58" s="29" t="n"/>
      <c r="E58" s="29" t="n"/>
    </row>
    <row r="59" ht="15" customHeight="1" s="30">
      <c r="C59" s="29" t="n"/>
      <c r="E59" s="29" t="n"/>
    </row>
    <row r="60" ht="15" customHeight="1" s="30">
      <c r="C60" s="29" t="n"/>
      <c r="E60" s="29" t="n"/>
    </row>
    <row r="61" ht="15" customHeight="1" s="30">
      <c r="C61" s="29" t="n"/>
      <c r="E61" s="29" t="n"/>
    </row>
    <row r="62" ht="15" customHeight="1" s="30">
      <c r="C62" s="29" t="n"/>
      <c r="E62" s="29" t="n"/>
    </row>
    <row r="63" ht="15" customHeight="1" s="30">
      <c r="C63" s="29" t="n"/>
      <c r="E63" s="29" t="n"/>
    </row>
    <row r="64" ht="15" customHeight="1" s="30">
      <c r="C64" s="29" t="n"/>
      <c r="E64" s="29" t="n"/>
    </row>
    <row r="65" ht="15" customHeight="1" s="30">
      <c r="C65" s="29" t="n"/>
      <c r="E65" s="29" t="n"/>
    </row>
    <row r="66" ht="15" customHeight="1" s="30">
      <c r="C66" s="29" t="n"/>
      <c r="E66" s="29" t="n"/>
    </row>
    <row r="67" ht="15" customHeight="1" s="30">
      <c r="C67" s="29" t="n"/>
      <c r="E67" s="29" t="n"/>
    </row>
    <row r="68" ht="15" customHeight="1" s="30">
      <c r="C68" s="29" t="n"/>
      <c r="E68" s="29" t="n"/>
    </row>
    <row r="69" ht="15" customHeight="1" s="30">
      <c r="C69" s="29" t="n"/>
      <c r="E69" s="29" t="n"/>
    </row>
    <row r="70" ht="15" customHeight="1" s="30">
      <c r="C70" s="29" t="n"/>
      <c r="E70" s="29" t="n"/>
    </row>
    <row r="71" ht="15" customHeight="1" s="30">
      <c r="C71" s="29" t="n"/>
      <c r="E71" s="29" t="n"/>
    </row>
    <row r="72" ht="15" customHeight="1" s="30">
      <c r="C72" s="29" t="n"/>
      <c r="E72" s="29" t="n"/>
    </row>
    <row r="73" ht="15" customHeight="1" s="30">
      <c r="C73" s="29" t="n"/>
      <c r="E73" s="29" t="n"/>
    </row>
    <row r="74" ht="15" customHeight="1" s="30">
      <c r="C74" s="29" t="n"/>
      <c r="E74" s="29" t="n"/>
    </row>
    <row r="75" ht="15" customHeight="1" s="30">
      <c r="C75" s="29" t="n"/>
      <c r="E75" s="29" t="n"/>
    </row>
    <row r="76" ht="15" customHeight="1" s="30">
      <c r="C76" s="29" t="n"/>
      <c r="E76" s="29" t="n"/>
    </row>
    <row r="77" ht="15" customHeight="1" s="30">
      <c r="C77" s="29" t="n"/>
      <c r="E77" s="29" t="n"/>
    </row>
    <row r="78" ht="15" customHeight="1" s="30">
      <c r="C78" s="29" t="n"/>
      <c r="E78" s="29" t="n"/>
    </row>
    <row r="79" ht="15" customHeight="1" s="30">
      <c r="C79" s="29" t="n"/>
      <c r="E79" s="29" t="n"/>
    </row>
    <row r="80" ht="15" customHeight="1" s="30">
      <c r="C80" s="29" t="n"/>
      <c r="E80" s="29" t="n"/>
    </row>
    <row r="81" ht="15" customHeight="1" s="30">
      <c r="C81" s="29" t="n"/>
      <c r="E81" s="29" t="n"/>
    </row>
    <row r="82" ht="15" customHeight="1" s="30">
      <c r="C82" s="29" t="n"/>
      <c r="E82" s="29" t="n"/>
    </row>
    <row r="83" ht="15" customHeight="1" s="30">
      <c r="C83" s="29" t="n"/>
      <c r="E83" s="29" t="n"/>
    </row>
    <row r="84" ht="15" customHeight="1" s="30">
      <c r="C84" s="29" t="n"/>
      <c r="E84" s="29" t="n"/>
    </row>
    <row r="85" ht="15" customHeight="1" s="30">
      <c r="C85" s="29" t="n"/>
      <c r="E85" s="29" t="n"/>
    </row>
    <row r="86" ht="15" customHeight="1" s="30">
      <c r="C86" s="29" t="n"/>
      <c r="E86" s="29" t="n"/>
    </row>
    <row r="87" ht="15" customHeight="1" s="30">
      <c r="C87" s="29" t="n"/>
      <c r="E87" s="29" t="n"/>
    </row>
    <row r="88" ht="15" customHeight="1" s="30">
      <c r="C88" s="29" t="n"/>
      <c r="E88" s="29" t="n"/>
    </row>
    <row r="89" ht="15" customHeight="1" s="30">
      <c r="C89" s="29" t="n"/>
      <c r="E89" s="29" t="n"/>
    </row>
    <row r="90" ht="15" customHeight="1" s="30">
      <c r="C90" s="29" t="n"/>
      <c r="E90" s="29" t="n"/>
    </row>
    <row r="91" ht="15" customHeight="1" s="30">
      <c r="C91" s="29" t="n"/>
      <c r="E91" s="29" t="n"/>
    </row>
    <row r="92" ht="15" customHeight="1" s="30">
      <c r="C92" s="29" t="n"/>
      <c r="E92" s="29" t="n"/>
    </row>
    <row r="93" ht="15" customHeight="1" s="30">
      <c r="C93" s="29" t="n"/>
      <c r="E93" s="29" t="n"/>
    </row>
    <row r="94" ht="15" customHeight="1" s="30">
      <c r="C94" s="29" t="n"/>
      <c r="E94" s="29" t="n"/>
    </row>
    <row r="95" ht="15" customHeight="1" s="30">
      <c r="C95" s="29" t="n"/>
      <c r="E95" s="29" t="n"/>
    </row>
    <row r="96" ht="15" customHeight="1" s="30">
      <c r="C96" s="29" t="n"/>
      <c r="E96" s="29" t="n"/>
    </row>
    <row r="97" ht="15" customHeight="1" s="30">
      <c r="C97" s="29" t="n"/>
      <c r="E97" s="29" t="n"/>
    </row>
    <row r="98" ht="15" customHeight="1" s="30">
      <c r="C98" s="29" t="n"/>
      <c r="E98" s="29" t="n"/>
    </row>
    <row r="99" ht="15" customHeight="1" s="30">
      <c r="C99" s="29" t="n"/>
      <c r="E99" s="29" t="n"/>
    </row>
    <row r="100" ht="15" customHeight="1" s="30">
      <c r="C100" s="29" t="n"/>
      <c r="E100" s="29" t="n"/>
    </row>
    <row r="101" ht="15" customHeight="1" s="30">
      <c r="C101" s="29" t="n"/>
      <c r="E101" s="29" t="n"/>
    </row>
    <row r="102" ht="15" customHeight="1" s="30">
      <c r="C102" s="29" t="n"/>
      <c r="E102" s="29" t="n"/>
    </row>
    <row r="103" ht="15" customHeight="1" s="30">
      <c r="C103" s="29" t="n"/>
      <c r="E103" s="29" t="n"/>
    </row>
    <row r="104" ht="15" customHeight="1" s="30">
      <c r="C104" s="29" t="n"/>
      <c r="E104" s="29" t="n"/>
    </row>
    <row r="105" ht="15" customHeight="1" s="30">
      <c r="C105" s="29" t="n"/>
      <c r="E105" s="29" t="n"/>
    </row>
    <row r="106" ht="15" customHeight="1" s="30">
      <c r="C106" s="29" t="n"/>
      <c r="E106" s="29" t="n"/>
    </row>
    <row r="107" ht="15" customHeight="1" s="30">
      <c r="C107" s="29" t="n"/>
      <c r="E107" s="29" t="n"/>
    </row>
    <row r="108" ht="15" customHeight="1" s="30">
      <c r="C108" s="29" t="n"/>
      <c r="E108" s="29" t="n"/>
    </row>
    <row r="109" ht="15" customHeight="1" s="30">
      <c r="C109" s="29" t="n"/>
      <c r="E109" s="29" t="n"/>
    </row>
    <row r="110" ht="15" customHeight="1" s="30">
      <c r="C110" s="29" t="n"/>
      <c r="E110" s="29" t="n"/>
    </row>
    <row r="111" ht="15" customHeight="1" s="30">
      <c r="C111" s="29" t="n"/>
      <c r="E111" s="29" t="n"/>
    </row>
    <row r="112" ht="15" customHeight="1" s="30">
      <c r="C112" s="29" t="n"/>
      <c r="E112" s="29" t="n"/>
    </row>
    <row r="113" ht="15" customHeight="1" s="30">
      <c r="C113" s="29" t="n"/>
      <c r="E113" s="29" t="n"/>
    </row>
    <row r="114" ht="15" customHeight="1" s="30">
      <c r="C114" s="29" t="n"/>
      <c r="E114" s="29" t="n"/>
    </row>
    <row r="115" ht="15" customHeight="1" s="30">
      <c r="C115" s="29" t="n"/>
      <c r="E115" s="29" t="n"/>
    </row>
    <row r="116" ht="15" customHeight="1" s="30">
      <c r="C116" s="29" t="n"/>
      <c r="E116" s="29" t="n"/>
    </row>
    <row r="117" ht="15" customHeight="1" s="30">
      <c r="C117" s="29" t="n"/>
      <c r="E117" s="29" t="n"/>
    </row>
    <row r="118" ht="15" customHeight="1" s="30">
      <c r="C118" s="29" t="n"/>
      <c r="E118" s="29" t="n"/>
    </row>
    <row r="119" ht="15" customHeight="1" s="30">
      <c r="C119" s="29" t="n"/>
      <c r="E119" s="29" t="n"/>
    </row>
    <row r="120" ht="15" customHeight="1" s="30">
      <c r="C120" s="29" t="n"/>
      <c r="E120" s="29" t="n"/>
    </row>
    <row r="121" ht="15" customHeight="1" s="30">
      <c r="C121" s="29" t="n"/>
      <c r="E121" s="29" t="n"/>
    </row>
    <row r="122" ht="15" customHeight="1" s="30">
      <c r="C122" s="29" t="n"/>
      <c r="E122" s="29" t="n"/>
    </row>
    <row r="123" ht="15" customHeight="1" s="30">
      <c r="C123" s="29" t="n"/>
      <c r="E123" s="29" t="n"/>
    </row>
    <row r="124" ht="15" customHeight="1" s="30">
      <c r="C124" s="29" t="n"/>
      <c r="E124" s="29" t="n"/>
    </row>
    <row r="125" ht="15" customHeight="1" s="30">
      <c r="C125" s="29" t="n"/>
      <c r="E125" s="29" t="n"/>
    </row>
    <row r="126" ht="15" customHeight="1" s="30">
      <c r="C126" s="29" t="n"/>
      <c r="E126" s="29" t="n"/>
    </row>
    <row r="127" ht="15" customHeight="1" s="30">
      <c r="C127" s="29" t="n"/>
      <c r="E127" s="29" t="n"/>
    </row>
    <row r="128" ht="15" customHeight="1" s="30">
      <c r="C128" s="29" t="n"/>
      <c r="E128" s="29" t="n"/>
    </row>
    <row r="129" ht="15" customHeight="1" s="30">
      <c r="C129" s="29" t="n"/>
      <c r="E129" s="29" t="n"/>
    </row>
    <row r="130" ht="15" customHeight="1" s="30">
      <c r="C130" s="29" t="n"/>
      <c r="E130" s="29" t="n"/>
    </row>
    <row r="131" ht="15" customHeight="1" s="30">
      <c r="C131" s="29" t="n"/>
      <c r="E131" s="29" t="n"/>
    </row>
    <row r="132" ht="15" customHeight="1" s="30">
      <c r="C132" s="29" t="n"/>
      <c r="E132" s="29" t="n"/>
    </row>
    <row r="133" ht="15" customHeight="1" s="30">
      <c r="C133" s="29" t="n"/>
      <c r="E133" s="29" t="n"/>
    </row>
    <row r="134" ht="15" customHeight="1" s="30">
      <c r="C134" s="29" t="n"/>
      <c r="E134" s="29" t="n"/>
    </row>
    <row r="135" ht="15" customHeight="1" s="30">
      <c r="C135" s="29" t="n"/>
      <c r="E135" s="29" t="n"/>
    </row>
    <row r="136" ht="15" customHeight="1" s="30">
      <c r="C136" s="29" t="n"/>
      <c r="E136" s="29" t="n"/>
    </row>
    <row r="137" ht="15" customHeight="1" s="30">
      <c r="C137" s="29" t="n"/>
      <c r="E137" s="29" t="n"/>
    </row>
    <row r="138" ht="15" customHeight="1" s="30">
      <c r="C138" s="29" t="n"/>
      <c r="E138" s="29" t="n"/>
    </row>
    <row r="139" ht="15" customHeight="1" s="30">
      <c r="C139" s="29" t="n"/>
      <c r="E139" s="29" t="n"/>
    </row>
    <row r="140" ht="15" customHeight="1" s="30">
      <c r="C140" s="29" t="n"/>
      <c r="E140" s="29" t="n"/>
    </row>
    <row r="141" ht="15" customHeight="1" s="30">
      <c r="C141" s="29" t="n"/>
      <c r="E141" s="29" t="n"/>
    </row>
    <row r="142" ht="15" customHeight="1" s="30">
      <c r="C142" s="29" t="n"/>
      <c r="E142" s="29" t="n"/>
    </row>
    <row r="143" ht="15" customHeight="1" s="30">
      <c r="C143" s="29" t="n"/>
      <c r="E143" s="29" t="n"/>
    </row>
    <row r="144" ht="15" customHeight="1" s="30">
      <c r="C144" s="29" t="n"/>
      <c r="E144" s="29" t="n"/>
    </row>
    <row r="145" ht="15" customHeight="1" s="30">
      <c r="C145" s="29" t="n"/>
      <c r="E145" s="29" t="n"/>
    </row>
    <row r="146" ht="15" customHeight="1" s="30">
      <c r="C146" s="29" t="n"/>
      <c r="E146" s="29" t="n"/>
    </row>
    <row r="147" ht="15" customHeight="1" s="30">
      <c r="C147" s="29" t="n"/>
      <c r="E147" s="29" t="n"/>
    </row>
    <row r="148" ht="15" customHeight="1" s="30">
      <c r="C148" s="29" t="n"/>
      <c r="E148" s="29" t="n"/>
    </row>
    <row r="149" ht="15" customHeight="1" s="30">
      <c r="C149" s="29" t="n"/>
      <c r="E149" s="29" t="n"/>
    </row>
    <row r="150" ht="15" customHeight="1" s="30">
      <c r="C150" s="29" t="n"/>
      <c r="E150" s="29" t="n"/>
    </row>
    <row r="151" ht="15" customHeight="1" s="30">
      <c r="C151" s="29" t="n"/>
      <c r="E151" s="29" t="n"/>
    </row>
    <row r="152" ht="15" customHeight="1" s="30">
      <c r="C152" s="29" t="n"/>
      <c r="E152" s="29" t="n"/>
    </row>
    <row r="153" ht="15" customHeight="1" s="30">
      <c r="C153" s="29" t="n"/>
      <c r="E153" s="29" t="n"/>
    </row>
    <row r="154" ht="15" customHeight="1" s="30">
      <c r="C154" s="29" t="n"/>
      <c r="E154" s="29" t="n"/>
    </row>
    <row r="155" ht="15" customHeight="1" s="30">
      <c r="C155" s="29" t="n"/>
      <c r="E155" s="29" t="n"/>
    </row>
    <row r="156" ht="15" customHeight="1" s="30">
      <c r="C156" s="29" t="n"/>
      <c r="E156" s="29" t="n"/>
    </row>
    <row r="157" ht="15" customHeight="1" s="30">
      <c r="C157" s="29" t="n"/>
      <c r="E157" s="29" t="n"/>
    </row>
    <row r="158" ht="15" customHeight="1" s="30">
      <c r="C158" s="29" t="n"/>
      <c r="E158" s="29" t="n"/>
    </row>
    <row r="159" ht="15" customHeight="1" s="30">
      <c r="C159" s="29" t="n"/>
      <c r="E159" s="29" t="n"/>
    </row>
    <row r="160" ht="15" customHeight="1" s="30">
      <c r="C160" s="29" t="n"/>
      <c r="E160" s="29" t="n"/>
    </row>
    <row r="161" ht="15" customHeight="1" s="30">
      <c r="C161" s="29" t="n"/>
      <c r="E161" s="29" t="n"/>
    </row>
    <row r="162" ht="15" customHeight="1" s="30">
      <c r="C162" s="29" t="n"/>
      <c r="E162" s="29" t="n"/>
    </row>
    <row r="163" ht="15" customHeight="1" s="30">
      <c r="C163" s="29" t="n"/>
      <c r="E163" s="29" t="n"/>
    </row>
    <row r="164" ht="15" customHeight="1" s="30">
      <c r="C164" s="29" t="n"/>
      <c r="E164" s="29" t="n"/>
    </row>
    <row r="165" ht="15" customHeight="1" s="30">
      <c r="C165" s="29" t="n"/>
      <c r="E165" s="29" t="n"/>
    </row>
    <row r="166" ht="15" customHeight="1" s="30">
      <c r="C166" s="29" t="n"/>
      <c r="E166" s="29" t="n"/>
    </row>
    <row r="167" ht="15" customHeight="1" s="30">
      <c r="C167" s="29" t="n"/>
      <c r="E167" s="29" t="n"/>
    </row>
    <row r="168" ht="15" customHeight="1" s="30">
      <c r="C168" s="29" t="n"/>
      <c r="E168" s="29" t="n"/>
    </row>
    <row r="169" ht="15" customHeight="1" s="30">
      <c r="C169" s="29" t="n"/>
      <c r="E169" s="29" t="n"/>
    </row>
    <row r="170" ht="15" customHeight="1" s="30">
      <c r="C170" s="29" t="n"/>
      <c r="E170" s="29" t="n"/>
    </row>
    <row r="171" ht="15" customHeight="1" s="30">
      <c r="C171" s="29" t="n"/>
      <c r="E171" s="29" t="n"/>
    </row>
    <row r="172" ht="15" customHeight="1" s="30">
      <c r="C172" s="29" t="n"/>
      <c r="E172" s="29" t="n"/>
    </row>
    <row r="173" ht="15" customHeight="1" s="30">
      <c r="C173" s="29" t="n"/>
      <c r="E173" s="29" t="n"/>
    </row>
    <row r="174" ht="15" customHeight="1" s="30">
      <c r="C174" s="29" t="n"/>
      <c r="E174" s="29" t="n"/>
    </row>
    <row r="175" ht="15" customHeight="1" s="30">
      <c r="C175" s="29" t="n"/>
      <c r="E175" s="29" t="n"/>
    </row>
    <row r="176" ht="15" customHeight="1" s="30">
      <c r="C176" s="29" t="n"/>
      <c r="E176" s="29" t="n"/>
    </row>
    <row r="177" ht="15" customHeight="1" s="30">
      <c r="C177" s="29" t="n"/>
      <c r="E177" s="29" t="n"/>
    </row>
    <row r="178" ht="15" customHeight="1" s="30">
      <c r="C178" s="29" t="n"/>
      <c r="E178" s="29" t="n"/>
    </row>
    <row r="179" ht="15" customHeight="1" s="30">
      <c r="C179" s="29" t="n"/>
      <c r="E179" s="29" t="n"/>
    </row>
    <row r="180" ht="15" customHeight="1" s="30">
      <c r="C180" s="29" t="n"/>
      <c r="E180" s="29" t="n"/>
    </row>
    <row r="181" ht="15" customHeight="1" s="30">
      <c r="C181" s="29" t="n"/>
      <c r="E181" s="29" t="n"/>
    </row>
    <row r="182" ht="15" customHeight="1" s="30">
      <c r="C182" s="29" t="n"/>
      <c r="E182" s="29" t="n"/>
    </row>
    <row r="183" ht="15" customHeight="1" s="30">
      <c r="C183" s="29" t="n"/>
      <c r="E183" s="29" t="n"/>
    </row>
    <row r="184" ht="15" customHeight="1" s="30">
      <c r="C184" s="29" t="n"/>
      <c r="E184" s="29" t="n"/>
    </row>
    <row r="185" ht="15" customHeight="1" s="30">
      <c r="C185" s="29" t="n"/>
      <c r="E185" s="29" t="n"/>
    </row>
    <row r="186" ht="15" customHeight="1" s="30">
      <c r="C186" s="29" t="n"/>
      <c r="E186" s="29" t="n"/>
    </row>
    <row r="187" ht="15" customHeight="1" s="30">
      <c r="C187" s="29" t="n"/>
      <c r="E187" s="29" t="n"/>
    </row>
    <row r="188" ht="15" customHeight="1" s="30">
      <c r="C188" s="29" t="n"/>
      <c r="E188" s="29" t="n"/>
    </row>
    <row r="189" ht="15" customHeight="1" s="30">
      <c r="C189" s="29" t="n"/>
      <c r="E189" s="29" t="n"/>
    </row>
    <row r="190" ht="15" customHeight="1" s="30">
      <c r="C190" s="29" t="n"/>
      <c r="E190" s="29" t="n"/>
    </row>
    <row r="191" ht="15" customHeight="1" s="30">
      <c r="C191" s="29" t="n"/>
      <c r="E191" s="29" t="n"/>
    </row>
    <row r="192" ht="15" customHeight="1" s="30">
      <c r="C192" s="29" t="n"/>
      <c r="E192" s="29" t="n"/>
    </row>
    <row r="193" ht="15" customHeight="1" s="30">
      <c r="C193" s="29" t="n"/>
      <c r="E193" s="29" t="n"/>
    </row>
    <row r="194" ht="15" customHeight="1" s="30">
      <c r="C194" s="29" t="n"/>
      <c r="E194" s="29" t="n"/>
    </row>
    <row r="195" ht="15" customHeight="1" s="30">
      <c r="C195" s="29" t="n"/>
      <c r="E195" s="29" t="n"/>
    </row>
    <row r="196" ht="15" customHeight="1" s="30">
      <c r="C196" s="29" t="n"/>
      <c r="E196" s="29" t="n"/>
    </row>
    <row r="197" ht="15" customHeight="1" s="30">
      <c r="C197" s="29" t="n"/>
      <c r="E197" s="29" t="n"/>
    </row>
    <row r="198" ht="15" customHeight="1" s="30">
      <c r="C198" s="29" t="n"/>
      <c r="E198" s="29" t="n"/>
    </row>
    <row r="199" ht="15" customHeight="1" s="30">
      <c r="C199" s="29" t="n"/>
      <c r="E199" s="29" t="n"/>
    </row>
    <row r="200" ht="15" customHeight="1" s="30">
      <c r="C200" s="29" t="n"/>
      <c r="E200" s="29" t="n"/>
    </row>
    <row r="201" ht="15" customHeight="1" s="30">
      <c r="C201" s="29" t="n"/>
      <c r="E201" s="29" t="n"/>
    </row>
    <row r="202" ht="15" customHeight="1" s="30">
      <c r="C202" s="29" t="n"/>
      <c r="E202" s="29" t="n"/>
    </row>
    <row r="203" ht="15" customHeight="1" s="30">
      <c r="C203" s="29" t="n"/>
      <c r="E203" s="29" t="n"/>
    </row>
    <row r="204" ht="15" customHeight="1" s="30">
      <c r="C204" s="29" t="n"/>
      <c r="E204" s="29" t="n"/>
    </row>
    <row r="205" ht="15" customHeight="1" s="30">
      <c r="C205" s="29" t="n"/>
      <c r="E205" s="29" t="n"/>
    </row>
    <row r="206" ht="15" customHeight="1" s="30">
      <c r="C206" s="29" t="n"/>
      <c r="E206" s="29" t="n"/>
    </row>
    <row r="207" ht="15" customHeight="1" s="30">
      <c r="C207" s="29" t="n"/>
      <c r="E207" s="29" t="n"/>
    </row>
    <row r="208" ht="15" customHeight="1" s="30">
      <c r="C208" s="29" t="n"/>
      <c r="E208" s="29" t="n"/>
    </row>
    <row r="209" ht="15" customHeight="1" s="30">
      <c r="C209" s="29" t="n"/>
      <c r="E209" s="29" t="n"/>
    </row>
    <row r="210" ht="15" customHeight="1" s="30">
      <c r="C210" s="29" t="n"/>
      <c r="E210" s="29" t="n"/>
    </row>
    <row r="211" ht="15" customHeight="1" s="30">
      <c r="C211" s="29" t="n"/>
      <c r="E211" s="29" t="n"/>
    </row>
    <row r="212" ht="15" customHeight="1" s="30">
      <c r="C212" s="29" t="n"/>
      <c r="E212" s="29" t="n"/>
    </row>
    <row r="213" ht="15" customHeight="1" s="30">
      <c r="C213" s="29" t="n"/>
      <c r="E213" s="29" t="n"/>
    </row>
    <row r="214" ht="15" customHeight="1" s="30">
      <c r="C214" s="29" t="n"/>
      <c r="E214" s="29" t="n"/>
    </row>
    <row r="215" ht="15" customHeight="1" s="30">
      <c r="C215" s="29" t="n"/>
      <c r="E215" s="29" t="n"/>
    </row>
    <row r="216" ht="15" customHeight="1" s="30">
      <c r="C216" s="29" t="n"/>
      <c r="E216" s="29" t="n"/>
    </row>
    <row r="217" ht="15" customHeight="1" s="30">
      <c r="C217" s="29" t="n"/>
      <c r="E217" s="29" t="n"/>
    </row>
    <row r="218" ht="15" customHeight="1" s="30">
      <c r="C218" s="29" t="n"/>
      <c r="E218" s="29" t="n"/>
    </row>
    <row r="219" ht="15" customHeight="1" s="30">
      <c r="C219" s="29" t="n"/>
      <c r="E219" s="29" t="n"/>
    </row>
    <row r="220" ht="15" customHeight="1" s="30">
      <c r="C220" s="29" t="n"/>
      <c r="E220" s="29" t="n"/>
    </row>
    <row r="221" ht="15" customHeight="1" s="30">
      <c r="C221" s="29" t="n"/>
      <c r="E221" s="29" t="n"/>
    </row>
    <row r="222" ht="15" customHeight="1" s="30">
      <c r="C222" s="29" t="n"/>
      <c r="E222" s="29" t="n"/>
    </row>
    <row r="223" ht="15" customHeight="1" s="30">
      <c r="C223" s="29" t="n"/>
      <c r="E223" s="29" t="n"/>
    </row>
    <row r="224" ht="15" customHeight="1" s="30">
      <c r="C224" s="29" t="n"/>
      <c r="E224" s="29" t="n"/>
    </row>
    <row r="225" ht="15" customHeight="1" s="30">
      <c r="C225" s="29" t="n"/>
      <c r="E225" s="29" t="n"/>
    </row>
    <row r="226" ht="15" customHeight="1" s="30">
      <c r="C226" s="29" t="n"/>
      <c r="E226" s="29" t="n"/>
    </row>
    <row r="227" ht="15" customHeight="1" s="30">
      <c r="C227" s="29" t="n"/>
      <c r="E227" s="29" t="n"/>
    </row>
    <row r="228" ht="15" customHeight="1" s="30">
      <c r="C228" s="29" t="n"/>
      <c r="E228" s="29" t="n"/>
    </row>
    <row r="229" ht="15" customHeight="1" s="30">
      <c r="C229" s="29" t="n"/>
      <c r="E229" s="29" t="n"/>
    </row>
    <row r="230" ht="15" customHeight="1" s="30">
      <c r="C230" s="29" t="n"/>
      <c r="E230" s="29" t="n"/>
    </row>
    <row r="231" ht="15" customHeight="1" s="30">
      <c r="C231" s="29" t="n"/>
      <c r="E231" s="29" t="n"/>
    </row>
    <row r="232" ht="15" customHeight="1" s="30">
      <c r="C232" s="29" t="n"/>
      <c r="E232" s="29" t="n"/>
    </row>
    <row r="233" ht="15" customHeight="1" s="30">
      <c r="C233" s="29" t="n"/>
      <c r="E233" s="29" t="n"/>
    </row>
    <row r="234" ht="15" customHeight="1" s="30">
      <c r="C234" s="29" t="n"/>
      <c r="E234" s="29" t="n"/>
    </row>
    <row r="235" ht="15" customHeight="1" s="30">
      <c r="C235" s="29" t="n"/>
      <c r="E235" s="29" t="n"/>
    </row>
    <row r="236" ht="15" customHeight="1" s="30">
      <c r="C236" s="29" t="n"/>
      <c r="E236" s="29" t="n"/>
    </row>
    <row r="237" ht="15" customHeight="1" s="30">
      <c r="C237" s="29" t="n"/>
      <c r="E237" s="29" t="n"/>
    </row>
    <row r="238" ht="15" customHeight="1" s="30">
      <c r="C238" s="29" t="n"/>
      <c r="E238" s="29" t="n"/>
    </row>
    <row r="239" ht="15" customHeight="1" s="30">
      <c r="C239" s="29" t="n"/>
      <c r="E239" s="29" t="n"/>
    </row>
    <row r="240" ht="15" customHeight="1" s="30">
      <c r="C240" s="29" t="n"/>
      <c r="E240" s="29" t="n"/>
    </row>
    <row r="241" ht="15" customHeight="1" s="30">
      <c r="C241" s="29" t="n"/>
      <c r="E241" s="29" t="n"/>
    </row>
    <row r="242" ht="15" customHeight="1" s="30">
      <c r="C242" s="29" t="n"/>
      <c r="E242" s="29" t="n"/>
    </row>
    <row r="243" ht="15" customHeight="1" s="30">
      <c r="C243" s="29" t="n"/>
      <c r="E243" s="29" t="n"/>
    </row>
    <row r="244" ht="15" customHeight="1" s="30">
      <c r="C244" s="29" t="n"/>
      <c r="E244" s="29" t="n"/>
    </row>
    <row r="245" ht="15" customHeight="1" s="30">
      <c r="C245" s="29" t="n"/>
      <c r="E245" s="29" t="n"/>
    </row>
    <row r="246" ht="15" customHeight="1" s="30">
      <c r="C246" s="29" t="n"/>
      <c r="E246" s="29" t="n"/>
    </row>
    <row r="247" ht="15" customHeight="1" s="30">
      <c r="C247" s="29" t="n"/>
      <c r="E247" s="29" t="n"/>
    </row>
    <row r="248" ht="15" customHeight="1" s="30">
      <c r="C248" s="29" t="n"/>
      <c r="E248" s="29" t="n"/>
    </row>
    <row r="249" ht="15" customHeight="1" s="30">
      <c r="C249" s="29" t="n"/>
      <c r="E249" s="29" t="n"/>
    </row>
    <row r="250" ht="15" customHeight="1" s="30">
      <c r="C250" s="29" t="n"/>
      <c r="E250" s="29" t="n"/>
    </row>
    <row r="251" ht="15" customHeight="1" s="30">
      <c r="C251" s="29" t="n"/>
      <c r="E251" s="29" t="n"/>
    </row>
    <row r="252" ht="15" customHeight="1" s="30">
      <c r="C252" s="29" t="n"/>
      <c r="E252" s="29" t="n"/>
    </row>
    <row r="253" ht="15" customHeight="1" s="30">
      <c r="C253" s="29" t="n"/>
      <c r="E253" s="29" t="n"/>
    </row>
    <row r="254" ht="15" customHeight="1" s="30">
      <c r="C254" s="29" t="n"/>
      <c r="E254" s="29" t="n"/>
    </row>
    <row r="255" ht="15" customHeight="1" s="30">
      <c r="C255" s="29" t="n"/>
      <c r="E255" s="29" t="n"/>
    </row>
    <row r="256" ht="15" customHeight="1" s="30">
      <c r="C256" s="29" t="n"/>
      <c r="E256" s="29" t="n"/>
    </row>
    <row r="257" ht="15" customHeight="1" s="30">
      <c r="C257" s="29" t="n"/>
      <c r="E257" s="29" t="n"/>
    </row>
    <row r="258" ht="15" customHeight="1" s="30">
      <c r="C258" s="29" t="n"/>
      <c r="E258" s="29" t="n"/>
    </row>
    <row r="259" ht="15" customHeight="1" s="30">
      <c r="C259" s="29" t="n"/>
      <c r="E259" s="29" t="n"/>
    </row>
    <row r="260" ht="15" customHeight="1" s="30">
      <c r="C260" s="29" t="n"/>
      <c r="E260" s="29" t="n"/>
    </row>
    <row r="261" ht="15" customHeight="1" s="30">
      <c r="C261" s="29" t="n"/>
      <c r="E261" s="29" t="n"/>
    </row>
    <row r="262" ht="15" customHeight="1" s="30">
      <c r="C262" s="29" t="n"/>
      <c r="E262" s="29" t="n"/>
    </row>
    <row r="263" ht="15" customHeight="1" s="30">
      <c r="C263" s="29" t="n"/>
      <c r="E263" s="29" t="n"/>
    </row>
    <row r="264" ht="15" customHeight="1" s="30">
      <c r="C264" s="29" t="n"/>
      <c r="E264" s="29" t="n"/>
    </row>
    <row r="265" ht="15" customHeight="1" s="30">
      <c r="C265" s="29" t="n"/>
      <c r="E265" s="29" t="n"/>
    </row>
    <row r="266" ht="15" customHeight="1" s="30">
      <c r="C266" s="29" t="n"/>
      <c r="E266" s="29" t="n"/>
    </row>
    <row r="267" ht="15" customHeight="1" s="30">
      <c r="C267" s="29" t="n"/>
      <c r="E267" s="29" t="n"/>
    </row>
    <row r="268" ht="15" customHeight="1" s="30">
      <c r="C268" s="29" t="n"/>
      <c r="E268" s="29" t="n"/>
    </row>
    <row r="269" ht="15" customHeight="1" s="30">
      <c r="C269" s="29" t="n"/>
      <c r="E269" s="29" t="n"/>
    </row>
    <row r="270" ht="15" customHeight="1" s="30">
      <c r="C270" s="29" t="n"/>
      <c r="E270" s="29" t="n"/>
    </row>
    <row r="271" ht="15" customHeight="1" s="30">
      <c r="C271" s="29" t="n"/>
      <c r="E271" s="29" t="n"/>
    </row>
    <row r="272" ht="15" customHeight="1" s="30">
      <c r="C272" s="29" t="n"/>
      <c r="E272" s="29" t="n"/>
    </row>
    <row r="273" ht="15" customHeight="1" s="30">
      <c r="C273" s="29" t="n"/>
      <c r="E273" s="29" t="n"/>
    </row>
    <row r="274" ht="15" customHeight="1" s="30">
      <c r="C274" s="29" t="n"/>
      <c r="E274" s="29" t="n"/>
    </row>
    <row r="275" ht="15" customHeight="1" s="30">
      <c r="C275" s="29" t="n"/>
      <c r="E275" s="29" t="n"/>
    </row>
    <row r="276" ht="15" customHeight="1" s="30">
      <c r="C276" s="29" t="n"/>
      <c r="E276" s="29" t="n"/>
    </row>
    <row r="277" ht="15" customHeight="1" s="30">
      <c r="C277" s="29" t="n"/>
      <c r="E277" s="29" t="n"/>
    </row>
    <row r="278" ht="15" customHeight="1" s="30">
      <c r="C278" s="29" t="n"/>
      <c r="E278" s="29" t="n"/>
    </row>
    <row r="279" ht="15" customHeight="1" s="30">
      <c r="C279" s="29" t="n"/>
      <c r="E279" s="29" t="n"/>
    </row>
    <row r="280" ht="15" customHeight="1" s="30">
      <c r="C280" s="29" t="n"/>
      <c r="E280" s="29" t="n"/>
    </row>
    <row r="281" ht="15" customHeight="1" s="30">
      <c r="C281" s="29" t="n"/>
      <c r="E281" s="29" t="n"/>
    </row>
    <row r="282" ht="15" customHeight="1" s="30">
      <c r="C282" s="29" t="n"/>
      <c r="E282" s="29" t="n"/>
    </row>
    <row r="283" ht="15" customHeight="1" s="30">
      <c r="C283" s="29" t="n"/>
      <c r="E283" s="29" t="n"/>
    </row>
    <row r="284" ht="15" customHeight="1" s="30">
      <c r="C284" s="29" t="n"/>
      <c r="E284" s="29" t="n"/>
    </row>
    <row r="285" ht="15" customHeight="1" s="30">
      <c r="C285" s="29" t="n"/>
      <c r="E285" s="29" t="n"/>
    </row>
    <row r="286" ht="15" customHeight="1" s="30">
      <c r="C286" s="29" t="n"/>
      <c r="E286" s="29" t="n"/>
    </row>
    <row r="287" ht="15" customHeight="1" s="30">
      <c r="C287" s="29" t="n"/>
      <c r="E287" s="29" t="n"/>
    </row>
    <row r="288" ht="15" customHeight="1" s="30">
      <c r="C288" s="29" t="n"/>
      <c r="E288" s="29" t="n"/>
    </row>
    <row r="289" ht="15" customHeight="1" s="30">
      <c r="C289" s="29" t="n"/>
      <c r="E289" s="29" t="n"/>
    </row>
    <row r="290" ht="15" customHeight="1" s="30">
      <c r="C290" s="29" t="n"/>
      <c r="E290" s="29" t="n"/>
    </row>
    <row r="291" ht="15" customHeight="1" s="30">
      <c r="C291" s="29" t="n"/>
      <c r="E291" s="29" t="n"/>
    </row>
    <row r="292" ht="15" customHeight="1" s="30">
      <c r="C292" s="29" t="n"/>
      <c r="E292" s="29" t="n"/>
    </row>
    <row r="293" ht="15" customHeight="1" s="30">
      <c r="C293" s="29" t="n"/>
      <c r="E293" s="29" t="n"/>
    </row>
    <row r="294" ht="15" customHeight="1" s="30">
      <c r="C294" s="29" t="n"/>
      <c r="E294" s="29" t="n"/>
    </row>
    <row r="295" ht="15" customHeight="1" s="30">
      <c r="C295" s="29" t="n"/>
      <c r="E295" s="29" t="n"/>
    </row>
    <row r="296" ht="15" customHeight="1" s="30">
      <c r="C296" s="29" t="n"/>
      <c r="E296" s="29" t="n"/>
    </row>
    <row r="297" ht="15" customHeight="1" s="30">
      <c r="C297" s="29" t="n"/>
      <c r="E297" s="29" t="n"/>
    </row>
    <row r="298" ht="15" customHeight="1" s="30">
      <c r="C298" s="29" t="n"/>
      <c r="E298" s="29" t="n"/>
    </row>
    <row r="299" ht="15" customHeight="1" s="30">
      <c r="C299" s="29" t="n"/>
      <c r="E299" s="29" t="n"/>
    </row>
    <row r="300" ht="15" customHeight="1" s="30">
      <c r="C300" s="29" t="n"/>
      <c r="E300" s="29" t="n"/>
    </row>
    <row r="301" ht="15" customHeight="1" s="30">
      <c r="C301" s="29" t="n"/>
      <c r="E301" s="29" t="n"/>
    </row>
    <row r="302" ht="15" customHeight="1" s="30">
      <c r="C302" s="29" t="n"/>
      <c r="E302" s="29" t="n"/>
    </row>
    <row r="303" ht="15" customHeight="1" s="30">
      <c r="C303" s="29" t="n"/>
      <c r="E303" s="29" t="n"/>
    </row>
    <row r="304" ht="15" customHeight="1" s="30">
      <c r="C304" s="29" t="n"/>
      <c r="E304" s="29" t="n"/>
    </row>
    <row r="305" ht="15" customHeight="1" s="30">
      <c r="C305" s="29" t="n"/>
      <c r="E305" s="29" t="n"/>
    </row>
    <row r="306" ht="15" customHeight="1" s="30">
      <c r="C306" s="29" t="n"/>
      <c r="E306" s="29" t="n"/>
    </row>
    <row r="307" ht="15" customHeight="1" s="30">
      <c r="C307" s="29" t="n"/>
      <c r="E307" s="29" t="n"/>
    </row>
    <row r="308" ht="15" customHeight="1" s="30">
      <c r="C308" s="29" t="n"/>
      <c r="E308" s="29" t="n"/>
    </row>
    <row r="309" ht="15" customHeight="1" s="30">
      <c r="C309" s="29" t="n"/>
      <c r="E309" s="29" t="n"/>
    </row>
    <row r="310" ht="15" customHeight="1" s="30">
      <c r="C310" s="29" t="n"/>
      <c r="E310" s="29" t="n"/>
    </row>
    <row r="311" ht="15" customHeight="1" s="30">
      <c r="C311" s="29" t="n"/>
      <c r="E311" s="29" t="n"/>
    </row>
    <row r="312" ht="15" customHeight="1" s="30">
      <c r="C312" s="29" t="n"/>
      <c r="E312" s="29" t="n"/>
    </row>
    <row r="313" ht="15" customHeight="1" s="30">
      <c r="C313" s="29" t="n"/>
      <c r="E313" s="29" t="n"/>
    </row>
    <row r="314" ht="15" customHeight="1" s="30">
      <c r="C314" s="29" t="n"/>
      <c r="E314" s="29" t="n"/>
    </row>
    <row r="315" ht="15" customHeight="1" s="30">
      <c r="C315" s="29" t="n"/>
      <c r="E315" s="29" t="n"/>
    </row>
    <row r="316" ht="15" customHeight="1" s="30">
      <c r="C316" s="29" t="n"/>
      <c r="E316" s="29" t="n"/>
    </row>
    <row r="317" ht="15" customHeight="1" s="30">
      <c r="C317" s="29" t="n"/>
      <c r="E317" s="29" t="n"/>
    </row>
    <row r="318" ht="15" customHeight="1" s="30">
      <c r="C318" s="29" t="n"/>
      <c r="E318" s="29" t="n"/>
    </row>
    <row r="319" ht="15" customHeight="1" s="30">
      <c r="C319" s="29" t="n"/>
      <c r="E319" s="29" t="n"/>
    </row>
    <row r="320" ht="15" customHeight="1" s="30">
      <c r="C320" s="29" t="n"/>
      <c r="E320" s="29" t="n"/>
    </row>
    <row r="321" ht="15" customHeight="1" s="30">
      <c r="C321" s="29" t="n"/>
      <c r="E321" s="29" t="n"/>
    </row>
    <row r="322" ht="15" customHeight="1" s="30">
      <c r="C322" s="29" t="n"/>
      <c r="E322" s="29" t="n"/>
    </row>
    <row r="323" ht="15" customHeight="1" s="30">
      <c r="C323" s="29" t="n"/>
      <c r="E323" s="29" t="n"/>
    </row>
    <row r="324" ht="15" customHeight="1" s="30">
      <c r="C324" s="29" t="n"/>
      <c r="E324" s="29" t="n"/>
    </row>
    <row r="325" ht="15" customHeight="1" s="30">
      <c r="C325" s="29" t="n"/>
      <c r="E325" s="29" t="n"/>
    </row>
    <row r="326" ht="15" customHeight="1" s="30">
      <c r="C326" s="29" t="n"/>
      <c r="E326" s="29" t="n"/>
    </row>
    <row r="327" ht="15" customHeight="1" s="30">
      <c r="C327" s="29" t="n"/>
      <c r="E327" s="29" t="n"/>
    </row>
    <row r="328" ht="15" customHeight="1" s="30">
      <c r="C328" s="29" t="n"/>
      <c r="E328" s="29" t="n"/>
    </row>
    <row r="329" ht="15" customHeight="1" s="30">
      <c r="C329" s="29" t="n"/>
      <c r="E329" s="29" t="n"/>
    </row>
    <row r="330" ht="15" customHeight="1" s="30">
      <c r="C330" s="29" t="n"/>
      <c r="E330" s="29" t="n"/>
    </row>
    <row r="331" ht="15" customHeight="1" s="30">
      <c r="C331" s="29" t="n"/>
      <c r="E331" s="29" t="n"/>
    </row>
    <row r="332" ht="15" customHeight="1" s="30">
      <c r="C332" s="29" t="n"/>
      <c r="E332" s="29" t="n"/>
    </row>
    <row r="333" ht="15" customHeight="1" s="30">
      <c r="C333" s="29" t="n"/>
      <c r="E333" s="29" t="n"/>
    </row>
    <row r="334" ht="15" customHeight="1" s="30">
      <c r="C334" s="29" t="n"/>
      <c r="E334" s="29" t="n"/>
    </row>
    <row r="335" ht="15" customHeight="1" s="30">
      <c r="C335" s="29" t="n"/>
      <c r="E335" s="29" t="n"/>
    </row>
    <row r="336" ht="15" customHeight="1" s="30">
      <c r="C336" s="29" t="n"/>
      <c r="E336" s="29" t="n"/>
    </row>
    <row r="337" ht="15" customHeight="1" s="30">
      <c r="C337" s="29" t="n"/>
      <c r="E337" s="29" t="n"/>
    </row>
    <row r="338" ht="15" customHeight="1" s="30">
      <c r="C338" s="29" t="n"/>
      <c r="E338" s="29" t="n"/>
    </row>
    <row r="339" ht="15" customHeight="1" s="30">
      <c r="C339" s="29" t="n"/>
      <c r="E339" s="29" t="n"/>
    </row>
    <row r="340" ht="15" customHeight="1" s="30">
      <c r="C340" s="29" t="n"/>
      <c r="E340" s="29" t="n"/>
    </row>
    <row r="341" ht="15" customHeight="1" s="30">
      <c r="C341" s="29" t="n"/>
      <c r="E341" s="29" t="n"/>
    </row>
    <row r="342" ht="15" customHeight="1" s="30">
      <c r="C342" s="29" t="n"/>
      <c r="E342" s="29" t="n"/>
    </row>
    <row r="343" ht="15" customHeight="1" s="30">
      <c r="C343" s="29" t="n"/>
      <c r="E343" s="29" t="n"/>
    </row>
    <row r="344" ht="15" customHeight="1" s="30">
      <c r="C344" s="29" t="n"/>
      <c r="E344" s="29" t="n"/>
    </row>
    <row r="345" ht="15" customHeight="1" s="30">
      <c r="C345" s="29" t="n"/>
      <c r="E345" s="29" t="n"/>
    </row>
    <row r="346" ht="15" customHeight="1" s="30">
      <c r="C346" s="29" t="n"/>
      <c r="E346" s="29" t="n"/>
    </row>
    <row r="347" ht="15" customHeight="1" s="30">
      <c r="C347" s="29" t="n"/>
      <c r="E347" s="29" t="n"/>
    </row>
    <row r="348" ht="15" customHeight="1" s="30">
      <c r="C348" s="29" t="n"/>
      <c r="E348" s="29" t="n"/>
    </row>
    <row r="349" ht="15" customHeight="1" s="30">
      <c r="C349" s="29" t="n"/>
      <c r="E349" s="29" t="n"/>
    </row>
    <row r="350" ht="15" customHeight="1" s="30">
      <c r="C350" s="29" t="n"/>
      <c r="E350" s="29" t="n"/>
    </row>
    <row r="351" ht="15" customHeight="1" s="30">
      <c r="C351" s="29" t="n"/>
      <c r="E351" s="29" t="n"/>
    </row>
    <row r="352" ht="15" customHeight="1" s="30">
      <c r="C352" s="29" t="n"/>
      <c r="E352" s="29" t="n"/>
    </row>
    <row r="353" ht="15" customHeight="1" s="30">
      <c r="C353" s="29" t="n"/>
      <c r="E353" s="29" t="n"/>
    </row>
    <row r="354" ht="15" customHeight="1" s="30">
      <c r="C354" s="29" t="n"/>
      <c r="E354" s="29" t="n"/>
    </row>
    <row r="355" ht="15" customHeight="1" s="30">
      <c r="C355" s="29" t="n"/>
      <c r="E355" s="29" t="n"/>
    </row>
    <row r="356" ht="15" customHeight="1" s="30">
      <c r="C356" s="29" t="n"/>
      <c r="E356" s="29" t="n"/>
    </row>
    <row r="357" ht="15" customHeight="1" s="30">
      <c r="C357" s="29" t="n"/>
      <c r="E357" s="29" t="n"/>
    </row>
    <row r="358" ht="15" customHeight="1" s="30">
      <c r="C358" s="29" t="n"/>
      <c r="E358" s="29" t="n"/>
    </row>
    <row r="359" ht="15" customHeight="1" s="30">
      <c r="C359" s="29" t="n"/>
      <c r="E359" s="29" t="n"/>
    </row>
    <row r="360" ht="15" customHeight="1" s="30">
      <c r="C360" s="29" t="n"/>
      <c r="E360" s="29" t="n"/>
    </row>
    <row r="361" ht="15" customHeight="1" s="30">
      <c r="C361" s="29" t="n"/>
      <c r="E361" s="29" t="n"/>
    </row>
    <row r="362" ht="15" customHeight="1" s="30">
      <c r="C362" s="29" t="n"/>
      <c r="E362" s="29" t="n"/>
    </row>
    <row r="363" ht="15" customHeight="1" s="30">
      <c r="C363" s="29" t="n"/>
      <c r="E363" s="29" t="n"/>
    </row>
    <row r="364" ht="15" customHeight="1" s="30">
      <c r="C364" s="29" t="n"/>
      <c r="E364" s="29" t="n"/>
    </row>
    <row r="365" ht="15" customHeight="1" s="30">
      <c r="C365" s="29" t="n"/>
      <c r="E365" s="29" t="n"/>
    </row>
    <row r="366" ht="15" customHeight="1" s="30">
      <c r="C366" s="29" t="n"/>
      <c r="E366" s="29" t="n"/>
    </row>
    <row r="367" ht="15" customHeight="1" s="30">
      <c r="C367" s="29" t="n"/>
      <c r="E367" s="29" t="n"/>
    </row>
    <row r="368" ht="15" customHeight="1" s="30">
      <c r="C368" s="29" t="n"/>
      <c r="E368" s="29" t="n"/>
    </row>
    <row r="369" ht="15" customHeight="1" s="30">
      <c r="C369" s="29" t="n"/>
      <c r="E369" s="29" t="n"/>
    </row>
    <row r="370" ht="15" customHeight="1" s="30">
      <c r="C370" s="29" t="n"/>
      <c r="E370" s="29" t="n"/>
    </row>
    <row r="371" ht="15" customHeight="1" s="30">
      <c r="C371" s="29" t="n"/>
      <c r="E371" s="29" t="n"/>
    </row>
    <row r="372" ht="15" customHeight="1" s="30">
      <c r="C372" s="29" t="n"/>
      <c r="E372" s="29" t="n"/>
    </row>
    <row r="373" ht="15" customHeight="1" s="30">
      <c r="C373" s="29" t="n"/>
      <c r="E373" s="29" t="n"/>
    </row>
    <row r="374" ht="15" customHeight="1" s="30">
      <c r="C374" s="29" t="n"/>
      <c r="E374" s="29" t="n"/>
    </row>
    <row r="375" ht="15" customHeight="1" s="30">
      <c r="C375" s="29" t="n"/>
      <c r="E375" s="29" t="n"/>
    </row>
    <row r="376" ht="15" customHeight="1" s="30">
      <c r="C376" s="29" t="n"/>
      <c r="E376" s="29" t="n"/>
    </row>
    <row r="377" ht="15" customHeight="1" s="30">
      <c r="C377" s="29" t="n"/>
      <c r="E377" s="29" t="n"/>
    </row>
    <row r="378" ht="15" customHeight="1" s="30">
      <c r="C378" s="29" t="n"/>
      <c r="E378" s="29" t="n"/>
    </row>
    <row r="379" ht="15" customHeight="1" s="30">
      <c r="C379" s="29" t="n"/>
      <c r="E379" s="29" t="n"/>
    </row>
    <row r="380" ht="15" customHeight="1" s="30">
      <c r="C380" s="29" t="n"/>
      <c r="E380" s="29" t="n"/>
    </row>
    <row r="381" ht="15" customHeight="1" s="30">
      <c r="C381" s="29" t="n"/>
      <c r="E381" s="29" t="n"/>
    </row>
    <row r="382" ht="15" customHeight="1" s="30">
      <c r="C382" s="29" t="n"/>
      <c r="E382" s="29" t="n"/>
    </row>
    <row r="383" ht="15" customHeight="1" s="30">
      <c r="C383" s="29" t="n"/>
      <c r="E383" s="29" t="n"/>
    </row>
    <row r="384" ht="15" customHeight="1" s="30">
      <c r="C384" s="29" t="n"/>
      <c r="E384" s="29" t="n"/>
    </row>
    <row r="385" ht="15" customHeight="1" s="30">
      <c r="C385" s="29" t="n"/>
      <c r="E385" s="29" t="n"/>
    </row>
    <row r="386" ht="15" customHeight="1" s="30">
      <c r="C386" s="29" t="n"/>
      <c r="E386" s="29" t="n"/>
    </row>
    <row r="387" ht="15" customHeight="1" s="30">
      <c r="C387" s="29" t="n"/>
      <c r="E387" s="29" t="n"/>
    </row>
    <row r="388" ht="15" customHeight="1" s="30">
      <c r="C388" s="29" t="n"/>
      <c r="E388" s="29" t="n"/>
    </row>
    <row r="389" ht="15" customHeight="1" s="30">
      <c r="C389" s="29" t="n"/>
      <c r="E389" s="29" t="n"/>
    </row>
    <row r="390" ht="15" customHeight="1" s="30">
      <c r="C390" s="29" t="n"/>
      <c r="E390" s="29" t="n"/>
    </row>
    <row r="391" ht="15" customHeight="1" s="30">
      <c r="C391" s="29" t="n"/>
      <c r="E391" s="29" t="n"/>
    </row>
    <row r="392" ht="15" customHeight="1" s="30">
      <c r="C392" s="29" t="n"/>
      <c r="E392" s="29" t="n"/>
    </row>
    <row r="393" ht="15" customHeight="1" s="30">
      <c r="C393" s="29" t="n"/>
      <c r="E393" s="29" t="n"/>
    </row>
    <row r="394" ht="15" customHeight="1" s="30">
      <c r="C394" s="29" t="n"/>
      <c r="E394" s="29" t="n"/>
    </row>
    <row r="395" ht="15" customHeight="1" s="30">
      <c r="C395" s="29" t="n"/>
      <c r="E395" s="29" t="n"/>
    </row>
    <row r="396" ht="15" customHeight="1" s="30">
      <c r="C396" s="29" t="n"/>
      <c r="E396" s="29" t="n"/>
    </row>
    <row r="397" ht="15" customHeight="1" s="30">
      <c r="C397" s="29" t="n"/>
      <c r="E397" s="29" t="n"/>
    </row>
    <row r="398" ht="15" customHeight="1" s="30">
      <c r="C398" s="29" t="n"/>
      <c r="E398" s="29" t="n"/>
    </row>
    <row r="399" ht="15" customHeight="1" s="30">
      <c r="C399" s="29" t="n"/>
      <c r="E399" s="29" t="n"/>
    </row>
    <row r="400" ht="15" customHeight="1" s="30">
      <c r="C400" s="29" t="n"/>
      <c r="E400" s="29" t="n"/>
    </row>
    <row r="401" ht="15" customHeight="1" s="30">
      <c r="C401" s="29" t="n"/>
      <c r="E401" s="29" t="n"/>
    </row>
    <row r="402" ht="15" customHeight="1" s="30">
      <c r="C402" s="29" t="n"/>
      <c r="E402" s="29" t="n"/>
    </row>
    <row r="403" ht="15" customHeight="1" s="30">
      <c r="C403" s="29" t="n"/>
      <c r="E403" s="29" t="n"/>
    </row>
    <row r="404" ht="15" customHeight="1" s="30">
      <c r="C404" s="29" t="n"/>
      <c r="E404" s="29" t="n"/>
    </row>
    <row r="405" ht="15" customHeight="1" s="30">
      <c r="C405" s="29" t="n"/>
      <c r="E405" s="29" t="n"/>
    </row>
    <row r="406" ht="15" customHeight="1" s="30">
      <c r="C406" s="29" t="n"/>
      <c r="E406" s="29" t="n"/>
    </row>
    <row r="407" ht="15" customHeight="1" s="30">
      <c r="C407" s="29" t="n"/>
      <c r="E407" s="29" t="n"/>
    </row>
    <row r="408" ht="15" customHeight="1" s="30">
      <c r="C408" s="29" t="n"/>
      <c r="E408" s="29" t="n"/>
    </row>
    <row r="409" ht="15" customHeight="1" s="30">
      <c r="C409" s="29" t="n"/>
      <c r="E409" s="29" t="n"/>
    </row>
    <row r="410" ht="15" customHeight="1" s="30">
      <c r="C410" s="29" t="n"/>
      <c r="E410" s="29" t="n"/>
    </row>
    <row r="411" ht="15" customHeight="1" s="30">
      <c r="C411" s="29" t="n"/>
      <c r="E411" s="29" t="n"/>
    </row>
    <row r="412" ht="15" customHeight="1" s="30">
      <c r="C412" s="29" t="n"/>
      <c r="E412" s="29" t="n"/>
    </row>
    <row r="413" ht="15" customHeight="1" s="30">
      <c r="C413" s="29" t="n"/>
      <c r="E413" s="29" t="n"/>
    </row>
    <row r="414" ht="15" customHeight="1" s="30">
      <c r="C414" s="29" t="n"/>
      <c r="E414" s="29" t="n"/>
    </row>
    <row r="415" ht="15" customHeight="1" s="30">
      <c r="C415" s="29" t="n"/>
      <c r="E415" s="29" t="n"/>
    </row>
    <row r="416" ht="15" customHeight="1" s="30">
      <c r="C416" s="29" t="n"/>
      <c r="E416" s="29" t="n"/>
    </row>
    <row r="417" ht="15" customHeight="1" s="30">
      <c r="C417" s="29" t="n"/>
      <c r="E417" s="29" t="n"/>
    </row>
    <row r="418" ht="15" customHeight="1" s="30">
      <c r="C418" s="29" t="n"/>
      <c r="E418" s="29" t="n"/>
    </row>
    <row r="419" ht="15" customHeight="1" s="30">
      <c r="C419" s="29" t="n"/>
      <c r="E419" s="29" t="n"/>
    </row>
    <row r="420" ht="15" customHeight="1" s="30">
      <c r="C420" s="29" t="n"/>
      <c r="E420" s="29" t="n"/>
    </row>
    <row r="421" ht="15" customHeight="1" s="30">
      <c r="C421" s="29" t="n"/>
      <c r="E421" s="29" t="n"/>
    </row>
    <row r="422" ht="15" customHeight="1" s="30">
      <c r="C422" s="29" t="n"/>
      <c r="E422" s="29" t="n"/>
    </row>
    <row r="423" ht="15" customHeight="1" s="30">
      <c r="C423" s="29" t="n"/>
      <c r="E423" s="29" t="n"/>
    </row>
    <row r="424" ht="15" customHeight="1" s="30">
      <c r="C424" s="29" t="n"/>
      <c r="E424" s="29" t="n"/>
    </row>
    <row r="425" ht="15" customHeight="1" s="30">
      <c r="C425" s="29" t="n"/>
      <c r="E425" s="29" t="n"/>
    </row>
    <row r="426" ht="15" customHeight="1" s="30">
      <c r="C426" s="29" t="n"/>
      <c r="E426" s="29" t="n"/>
    </row>
    <row r="427" ht="15" customHeight="1" s="30">
      <c r="C427" s="29" t="n"/>
      <c r="E427" s="29" t="n"/>
    </row>
    <row r="428" ht="15" customHeight="1" s="30">
      <c r="C428" s="29" t="n"/>
      <c r="E428" s="29" t="n"/>
    </row>
    <row r="429" ht="15" customHeight="1" s="30">
      <c r="C429" s="29" t="n"/>
      <c r="E429" s="29" t="n"/>
    </row>
    <row r="430" ht="15" customHeight="1" s="30">
      <c r="C430" s="29" t="n"/>
      <c r="E430" s="29" t="n"/>
    </row>
    <row r="431" ht="15" customHeight="1" s="30">
      <c r="C431" s="29" t="n"/>
      <c r="E431" s="29" t="n"/>
    </row>
    <row r="432" ht="15" customHeight="1" s="30">
      <c r="C432" s="29" t="n"/>
      <c r="E432" s="29" t="n"/>
    </row>
    <row r="433" ht="15" customHeight="1" s="30">
      <c r="C433" s="29" t="n"/>
      <c r="E433" s="29" t="n"/>
    </row>
    <row r="434" ht="15" customHeight="1" s="30">
      <c r="C434" s="29" t="n"/>
      <c r="E434" s="29" t="n"/>
    </row>
    <row r="435" ht="15" customHeight="1" s="30">
      <c r="C435" s="29" t="n"/>
      <c r="E435" s="29" t="n"/>
    </row>
    <row r="436" ht="15" customHeight="1" s="30">
      <c r="C436" s="29" t="n"/>
      <c r="E436" s="29" t="n"/>
    </row>
    <row r="437" ht="15" customHeight="1" s="30">
      <c r="C437" s="29" t="n"/>
      <c r="E437" s="29" t="n"/>
    </row>
    <row r="438" ht="15" customHeight="1" s="30">
      <c r="C438" s="29" t="n"/>
      <c r="E438" s="29" t="n"/>
    </row>
    <row r="439" ht="15" customHeight="1" s="30">
      <c r="C439" s="29" t="n"/>
      <c r="E439" s="29" t="n"/>
    </row>
    <row r="440" ht="15" customHeight="1" s="30">
      <c r="C440" s="29" t="n"/>
      <c r="E440" s="29" t="n"/>
    </row>
    <row r="441" ht="15" customHeight="1" s="30">
      <c r="C441" s="29" t="n"/>
      <c r="E441" s="29" t="n"/>
    </row>
    <row r="442" ht="15" customHeight="1" s="30">
      <c r="C442" s="29" t="n"/>
      <c r="E442" s="29" t="n"/>
    </row>
    <row r="443" ht="15" customHeight="1" s="30">
      <c r="C443" s="29" t="n"/>
      <c r="E443" s="29" t="n"/>
    </row>
    <row r="444" ht="15" customHeight="1" s="30">
      <c r="C444" s="29" t="n"/>
      <c r="E444" s="29" t="n"/>
    </row>
    <row r="445" ht="15" customHeight="1" s="30">
      <c r="C445" s="29" t="n"/>
      <c r="E445" s="29" t="n"/>
    </row>
    <row r="446" ht="15" customHeight="1" s="30">
      <c r="C446" s="29" t="n"/>
      <c r="E446" s="29" t="n"/>
    </row>
    <row r="447" ht="15" customHeight="1" s="30">
      <c r="C447" s="29" t="n"/>
      <c r="E447" s="29" t="n"/>
    </row>
    <row r="448" ht="15" customHeight="1" s="30">
      <c r="C448" s="29" t="n"/>
      <c r="E448" s="29" t="n"/>
    </row>
    <row r="449" ht="15" customHeight="1" s="30">
      <c r="C449" s="29" t="n"/>
      <c r="E449" s="29" t="n"/>
    </row>
    <row r="450" ht="15" customHeight="1" s="30">
      <c r="C450" s="29" t="n"/>
      <c r="E450" s="29" t="n"/>
    </row>
    <row r="451" ht="15" customHeight="1" s="30">
      <c r="C451" s="29" t="n"/>
      <c r="E451" s="29" t="n"/>
    </row>
    <row r="452" ht="15" customHeight="1" s="30">
      <c r="C452" s="29" t="n"/>
      <c r="E452" s="29" t="n"/>
    </row>
    <row r="453" ht="15" customHeight="1" s="30">
      <c r="C453" s="29" t="n"/>
      <c r="E453" s="29" t="n"/>
    </row>
    <row r="454" ht="15" customHeight="1" s="30">
      <c r="C454" s="29" t="n"/>
      <c r="E454" s="29" t="n"/>
    </row>
    <row r="455" ht="15" customHeight="1" s="30">
      <c r="C455" s="29" t="n"/>
      <c r="E455" s="29" t="n"/>
    </row>
    <row r="456" ht="15" customHeight="1" s="30">
      <c r="C456" s="29" t="n"/>
      <c r="E456" s="29" t="n"/>
    </row>
    <row r="457" ht="15" customHeight="1" s="30">
      <c r="C457" s="29" t="n"/>
      <c r="E457" s="29" t="n"/>
    </row>
    <row r="458" ht="15" customHeight="1" s="30">
      <c r="C458" s="29" t="n"/>
      <c r="E458" s="29" t="n"/>
    </row>
    <row r="459" ht="15" customHeight="1" s="30">
      <c r="C459" s="29" t="n"/>
      <c r="E459" s="29" t="n"/>
    </row>
    <row r="460" ht="15" customHeight="1" s="30">
      <c r="C460" s="29" t="n"/>
      <c r="E460" s="29" t="n"/>
    </row>
    <row r="461" ht="15" customHeight="1" s="30">
      <c r="C461" s="29" t="n"/>
      <c r="E461" s="29" t="n"/>
    </row>
    <row r="462" ht="15" customHeight="1" s="30">
      <c r="C462" s="29" t="n"/>
      <c r="E462" s="29" t="n"/>
    </row>
    <row r="463" ht="15" customHeight="1" s="30">
      <c r="C463" s="29" t="n"/>
      <c r="E463" s="29" t="n"/>
    </row>
    <row r="464" ht="15" customHeight="1" s="30">
      <c r="C464" s="29" t="n"/>
      <c r="E464" s="29" t="n"/>
    </row>
    <row r="465" ht="15" customHeight="1" s="30">
      <c r="C465" s="29" t="n"/>
      <c r="E465" s="29" t="n"/>
    </row>
    <row r="466" ht="15" customHeight="1" s="30">
      <c r="C466" s="29" t="n"/>
      <c r="E466" s="29" t="n"/>
    </row>
    <row r="467" ht="15" customHeight="1" s="30">
      <c r="C467" s="29" t="n"/>
      <c r="E467" s="29" t="n"/>
    </row>
    <row r="468" ht="15" customHeight="1" s="30">
      <c r="C468" s="29" t="n"/>
      <c r="E468" s="29" t="n"/>
    </row>
    <row r="469" ht="15" customHeight="1" s="30">
      <c r="C469" s="29" t="n"/>
      <c r="E469" s="29" t="n"/>
    </row>
    <row r="470" ht="15" customHeight="1" s="30">
      <c r="C470" s="29" t="n"/>
      <c r="E470" s="29" t="n"/>
    </row>
    <row r="471" ht="15" customHeight="1" s="30">
      <c r="C471" s="29" t="n"/>
      <c r="E471" s="29" t="n"/>
    </row>
    <row r="472" ht="15" customHeight="1" s="30">
      <c r="C472" s="29" t="n"/>
      <c r="E472" s="29" t="n"/>
    </row>
    <row r="473" ht="15" customHeight="1" s="30">
      <c r="C473" s="29" t="n"/>
      <c r="E473" s="29" t="n"/>
    </row>
    <row r="474" ht="15" customHeight="1" s="30">
      <c r="C474" s="29" t="n"/>
      <c r="E474" s="29" t="n"/>
    </row>
    <row r="475" ht="15" customHeight="1" s="30">
      <c r="C475" s="29" t="n"/>
      <c r="E475" s="29" t="n"/>
    </row>
    <row r="476" ht="15" customHeight="1" s="30">
      <c r="C476" s="29" t="n"/>
      <c r="E476" s="29" t="n"/>
    </row>
    <row r="477" ht="15" customHeight="1" s="30">
      <c r="C477" s="29" t="n"/>
      <c r="E477" s="29" t="n"/>
    </row>
    <row r="478" ht="15" customHeight="1" s="30">
      <c r="C478" s="29" t="n"/>
      <c r="E478" s="29" t="n"/>
    </row>
    <row r="479" ht="15" customHeight="1" s="30">
      <c r="C479" s="29" t="n"/>
      <c r="E479" s="29" t="n"/>
    </row>
    <row r="480" ht="15" customHeight="1" s="30">
      <c r="C480" s="29" t="n"/>
      <c r="E480" s="29" t="n"/>
    </row>
    <row r="481" ht="15" customHeight="1" s="30">
      <c r="C481" s="29" t="n"/>
      <c r="E481" s="29" t="n"/>
    </row>
    <row r="482" ht="15" customHeight="1" s="30">
      <c r="C482" s="29" t="n"/>
      <c r="E482" s="29" t="n"/>
    </row>
    <row r="483" ht="15" customHeight="1" s="30">
      <c r="C483" s="29" t="n"/>
      <c r="E483" s="29" t="n"/>
    </row>
    <row r="484" ht="15" customHeight="1" s="30">
      <c r="C484" s="29" t="n"/>
      <c r="E484" s="29" t="n"/>
    </row>
    <row r="485" ht="15" customHeight="1" s="30">
      <c r="C485" s="29" t="n"/>
      <c r="E485" s="29" t="n"/>
    </row>
    <row r="486" ht="15" customHeight="1" s="30">
      <c r="C486" s="29" t="n"/>
      <c r="E486" s="29" t="n"/>
    </row>
    <row r="487" ht="15" customHeight="1" s="30">
      <c r="C487" s="29" t="n"/>
      <c r="E487" s="29" t="n"/>
    </row>
    <row r="488" ht="15" customHeight="1" s="30">
      <c r="C488" s="29" t="n"/>
      <c r="E488" s="29" t="n"/>
    </row>
    <row r="489" ht="15" customHeight="1" s="30">
      <c r="C489" s="29" t="n"/>
      <c r="E489" s="29" t="n"/>
    </row>
    <row r="490" ht="15" customHeight="1" s="30">
      <c r="C490" s="29" t="n"/>
      <c r="E490" s="29" t="n"/>
    </row>
    <row r="491" ht="15" customHeight="1" s="30">
      <c r="C491" s="29" t="n"/>
      <c r="E491" s="29" t="n"/>
    </row>
    <row r="492" ht="15" customHeight="1" s="30">
      <c r="C492" s="29" t="n"/>
      <c r="E492" s="29" t="n"/>
    </row>
    <row r="493" ht="15" customHeight="1" s="30">
      <c r="C493" s="29" t="n"/>
      <c r="E493" s="29" t="n"/>
    </row>
    <row r="494" ht="15" customHeight="1" s="30">
      <c r="C494" s="29" t="n"/>
      <c r="E494" s="29" t="n"/>
    </row>
    <row r="495" ht="15" customHeight="1" s="30">
      <c r="C495" s="29" t="n"/>
      <c r="E495" s="29" t="n"/>
    </row>
    <row r="496" ht="15" customHeight="1" s="30">
      <c r="C496" s="29" t="n"/>
      <c r="E496" s="29" t="n"/>
    </row>
    <row r="497" ht="15" customHeight="1" s="30">
      <c r="C497" s="29" t="n"/>
      <c r="E497" s="29" t="n"/>
    </row>
    <row r="498" ht="15" customHeight="1" s="30">
      <c r="C498" s="29" t="n"/>
      <c r="E498" s="29" t="n"/>
    </row>
    <row r="499" ht="15" customHeight="1" s="30">
      <c r="C499" s="29" t="n"/>
      <c r="E499" s="29" t="n"/>
    </row>
    <row r="500" ht="15" customHeight="1" s="30">
      <c r="C500" s="29" t="n"/>
      <c r="E500" s="29" t="n"/>
    </row>
    <row r="501">
      <c r="C501" s="29" t="n"/>
      <c r="E501" s="29" t="n"/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Risk Assessments</t>
        </is>
      </c>
    </row>
    <row r="2" ht="15" customHeight="1" s="30">
      <c r="C2" s="32" t="inlineStr">
        <is>
          <t>SM/INT/REG/001  |  RA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SM/HSE/RA/001</t>
        </is>
      </c>
      <c r="B5" s="44" t="inlineStr">
        <is>
          <t>Vessel Evacuation and Guarding Operations H&amp;S RA</t>
        </is>
      </c>
      <c r="C5" s="45" t="inlineStr">
        <is>
          <t>HSE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03 / RA-003 Series</t>
        </is>
      </c>
      <c r="G5" s="44" t="inlineStr">
        <is>
          <t>45001</t>
        </is>
      </c>
      <c r="H5" s="45" t="inlineStr">
        <is>
          <t>Group Compliance Director</t>
        </is>
      </c>
      <c r="I5" s="45" t="inlineStr">
        <is>
          <t>2026</t>
        </is>
      </c>
      <c r="J5" s="45" t="inlineStr">
        <is>
          <t>2027</t>
        </is>
      </c>
      <c r="K5" s="44" t="inlineStr">
        <is>
          <t>SM RA-003</t>
        </is>
      </c>
      <c r="L5" s="44" t="inlineStr">
        <is>
          <t>RA-003 pattern (5x5 H&amp;S)</t>
        </is>
      </c>
    </row>
    <row r="6" ht="22.35" customHeight="1" s="30">
      <c r="A6" s="46" t="inlineStr">
        <is>
          <t>SM/SEC/RA/001</t>
        </is>
      </c>
      <c r="B6" s="47" t="inlineStr">
        <is>
          <t>IOR Piracy Operations Security &amp; Business RA</t>
        </is>
      </c>
      <c r="C6" s="48" t="inlineStr">
        <is>
          <t>SEC</t>
        </is>
      </c>
      <c r="D6" s="48" t="inlineStr">
        <is>
          <t>1.0</t>
        </is>
      </c>
      <c r="E6" s="48" t="inlineStr">
        <is>
          <t>Approved</t>
        </is>
      </c>
      <c r="F6" s="47" t="inlineStr">
        <is>
          <t>03 / RA-004 Series</t>
        </is>
      </c>
      <c r="G6" s="47" t="inlineStr">
        <is>
          <t>18788 / 28000</t>
        </is>
      </c>
      <c r="H6" s="48" t="inlineStr">
        <is>
          <t>Group Compliance Director</t>
        </is>
      </c>
      <c r="I6" s="48" t="inlineStr">
        <is>
          <t>2026</t>
        </is>
      </c>
      <c r="J6" s="48" t="inlineStr">
        <is>
          <t>2027</t>
        </is>
      </c>
      <c r="K6" s="47" t="inlineStr">
        <is>
          <t>SM RA-004 IOR</t>
        </is>
      </c>
      <c r="L6" s="47" t="inlineStr">
        <is>
          <t>RA-004 pattern (PESTLE)</t>
        </is>
      </c>
    </row>
    <row r="7" ht="22.35" customHeight="1" s="30">
      <c r="A7" s="43" t="inlineStr">
        <is>
          <t>SM/SEC/RA/002</t>
        </is>
      </c>
      <c r="B7" s="44" t="inlineStr">
        <is>
          <t>WAF GOG Operations Security &amp; Business RA</t>
        </is>
      </c>
      <c r="C7" s="45" t="inlineStr">
        <is>
          <t>SEC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03 / RA-004 Series</t>
        </is>
      </c>
      <c r="G7" s="44" t="inlineStr">
        <is>
          <t>18788 / 28000</t>
        </is>
      </c>
      <c r="H7" s="45" t="inlineStr">
        <is>
          <t>Group Compliance Director</t>
        </is>
      </c>
      <c r="I7" s="45" t="inlineStr">
        <is>
          <t>2026</t>
        </is>
      </c>
      <c r="J7" s="45" t="inlineStr">
        <is>
          <t>2027</t>
        </is>
      </c>
      <c r="K7" s="44" t="inlineStr">
        <is>
          <t>SM RA-004 WAF</t>
        </is>
      </c>
      <c r="L7" s="44" t="inlineStr">
        <is>
          <t>RA-004 pattern (PESTLE)</t>
        </is>
      </c>
    </row>
    <row r="8" ht="22.35" customHeight="1" s="30">
      <c r="A8" s="46" t="inlineStr">
        <is>
          <t>SM/SEC/RA/003</t>
        </is>
      </c>
      <c r="B8" s="47" t="inlineStr">
        <is>
          <t>PG Vessel Evacuation and Guarding Security &amp; Business RA</t>
        </is>
      </c>
      <c r="C8" s="48" t="inlineStr">
        <is>
          <t>SEC</t>
        </is>
      </c>
      <c r="D8" s="48" t="inlineStr">
        <is>
          <t>1.0</t>
        </is>
      </c>
      <c r="E8" s="48" t="inlineStr">
        <is>
          <t>Archived</t>
        </is>
      </c>
      <c r="F8" s="47" t="inlineStr">
        <is>
          <t>03 / RA-004 Series</t>
        </is>
      </c>
      <c r="G8" s="47" t="inlineStr">
        <is>
          <t>18788 / 28000</t>
        </is>
      </c>
      <c r="H8" s="48" t="inlineStr">
        <is>
          <t>Group Compliance Director</t>
        </is>
      </c>
      <c r="I8" s="48" t="inlineStr">
        <is>
          <t>2026</t>
        </is>
      </c>
      <c r="J8" s="48" t="inlineStr">
        <is>
          <t>2027</t>
        </is>
      </c>
      <c r="K8" s="47" t="inlineStr">
        <is>
          <t>SM RA-004 PG</t>
        </is>
      </c>
      <c r="L8" s="47" t="inlineStr">
        <is>
          <t>PG operations never actioned. Files moved to Misc (S17). Archived S28.</t>
        </is>
      </c>
    </row>
    <row r="9" ht="22.35" customHeight="1" s="30">
      <c r="A9" s="43" t="inlineStr">
        <is>
          <t>SM/OFF/RA/001</t>
        </is>
      </c>
      <c r="B9" s="44" t="inlineStr">
        <is>
          <t>Critical Spares RA - MV Mediator IV</t>
        </is>
      </c>
      <c r="C9" s="45" t="inlineStr">
        <is>
          <t>OFF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10 / Seagull Offshore / Risk Assessments</t>
        </is>
      </c>
      <c r="G9" s="44" t="inlineStr">
        <is>
          <t>9001</t>
        </is>
      </c>
      <c r="H9" s="45" t="inlineStr">
        <is>
          <t>Group Compliance Director</t>
        </is>
      </c>
      <c r="I9" s="45" t="inlineStr">
        <is>
          <t>2026</t>
        </is>
      </c>
      <c r="J9" s="45" t="inlineStr">
        <is>
          <t>2027</t>
        </is>
      </c>
      <c r="K9" s="44" t="inlineStr">
        <is>
          <t>SM RA-SEV MED4 001</t>
        </is>
      </c>
      <c r="L9" s="44" t="n"/>
    </row>
    <row r="10" ht="32.8" customHeight="1" s="30">
      <c r="A10" s="49" t="inlineStr">
        <is>
          <t>SM/HSE/RA/002</t>
        </is>
      </c>
      <c r="B10" s="49" t="inlineStr">
        <is>
          <t>Vessel Transfer Operations H&amp;S Risk Assessment</t>
        </is>
      </c>
      <c r="C10" s="50" t="inlineStr">
        <is>
          <t>HSE</t>
        </is>
      </c>
      <c r="D10" s="50" t="inlineStr">
        <is>
          <t>1.0</t>
        </is>
      </c>
      <c r="E10" s="50" t="inlineStr">
        <is>
          <t>Approved</t>
        </is>
      </c>
      <c r="F10" s="49" t="inlineStr">
        <is>
          <t>03 - Risk Assessments/RA-003 Series (HS - ISO 45001)</t>
        </is>
      </c>
      <c r="G10" s="49" t="inlineStr">
        <is>
          <t>ISO 45001 (6.1.2)</t>
        </is>
      </c>
      <c r="H10" s="50" t="inlineStr">
        <is>
          <t>Group Compliance Director</t>
        </is>
      </c>
      <c r="I10" s="50" t="inlineStr">
        <is>
          <t>31/03/2026</t>
        </is>
      </c>
      <c r="J10" s="50" t="inlineStr">
        <is>
          <t>30/09/2026</t>
        </is>
      </c>
      <c r="K10" s="49" t="n"/>
      <c r="L10" s="49" t="inlineStr">
        <is>
          <t>RA-003 pattern. 24 hazards. Dashboard + methodology. Gold standard template.</t>
        </is>
      </c>
    </row>
    <row r="11" ht="32.8" customHeight="1" s="30">
      <c r="A11" s="51" t="inlineStr">
        <is>
          <t>SM/HSE/RA/003</t>
        </is>
      </c>
      <c r="B11" s="51" t="inlineStr">
        <is>
          <t>Security Duties Client Vessel H&amp;S Risk Assessment</t>
        </is>
      </c>
      <c r="C11" s="52" t="inlineStr">
        <is>
          <t>HSE</t>
        </is>
      </c>
      <c r="D11" s="52" t="inlineStr">
        <is>
          <t>1.0</t>
        </is>
      </c>
      <c r="E11" s="52" t="inlineStr">
        <is>
          <t>Approved</t>
        </is>
      </c>
      <c r="F11" s="51" t="inlineStr">
        <is>
          <t>03 - Risk Assessments/RA-003 Series (HS - ISO 45001)</t>
        </is>
      </c>
      <c r="G11" s="51" t="inlineStr">
        <is>
          <t>ISO 45001 (6.1.2)</t>
        </is>
      </c>
      <c r="H11" s="52" t="inlineStr">
        <is>
          <t>Group Compliance Director</t>
        </is>
      </c>
      <c r="I11" s="52" t="inlineStr">
        <is>
          <t>31/03/2026</t>
        </is>
      </c>
      <c r="J11" s="52" t="inlineStr">
        <is>
          <t>30/09/2026</t>
        </is>
      </c>
      <c r="K11" s="51" t="n"/>
      <c r="L11" s="51" t="inlineStr">
        <is>
          <t>RA-003 pattern. 20 hazards. Merged from existing RA + PSS Security Watch.</t>
        </is>
      </c>
    </row>
    <row r="12" ht="32.8" customHeight="1" s="30">
      <c r="A12" s="49" t="inlineStr">
        <is>
          <t>SM/HSE/RA/004</t>
        </is>
      </c>
      <c r="B12" s="49" t="inlineStr">
        <is>
          <t>Weapons Handling and Armoury Operations H&amp;S Risk Assessment</t>
        </is>
      </c>
      <c r="C12" s="50" t="inlineStr">
        <is>
          <t>HSE</t>
        </is>
      </c>
      <c r="D12" s="50" t="inlineStr">
        <is>
          <t>1.0</t>
        </is>
      </c>
      <c r="E12" s="50" t="inlineStr">
        <is>
          <t>Approved</t>
        </is>
      </c>
      <c r="F12" s="49" t="inlineStr">
        <is>
          <t>03 - Risk Assessments/RA-003 Series (HS - ISO 45001)</t>
        </is>
      </c>
      <c r="G12" s="49" t="inlineStr">
        <is>
          <t>ISO 45001 (6.1.2)</t>
        </is>
      </c>
      <c r="H12" s="50" t="inlineStr">
        <is>
          <t>Group Compliance Director</t>
        </is>
      </c>
      <c r="I12" s="50" t="inlineStr">
        <is>
          <t>31/03/2026</t>
        </is>
      </c>
      <c r="J12" s="50" t="inlineStr">
        <is>
          <t>30/09/2026</t>
        </is>
      </c>
      <c r="K12" s="49" t="n"/>
      <c r="L12" s="49" t="inlineStr">
        <is>
          <t>RA-003 pattern. 16 hazards. Source: PSS Armoury Operations RA.</t>
        </is>
      </c>
    </row>
    <row r="13" ht="32.8" customHeight="1" s="30">
      <c r="A13" s="51" t="inlineStr">
        <is>
          <t>SM/HSE/RA/005</t>
        </is>
      </c>
      <c r="B13" s="51" t="inlineStr">
        <is>
          <t>RHIB and Craft Launch Operations H&amp;S Risk Assessment</t>
        </is>
      </c>
      <c r="C13" s="52" t="inlineStr">
        <is>
          <t>HSE</t>
        </is>
      </c>
      <c r="D13" s="52" t="inlineStr">
        <is>
          <t>1.0</t>
        </is>
      </c>
      <c r="E13" s="52" t="inlineStr">
        <is>
          <t>Approved</t>
        </is>
      </c>
      <c r="F13" s="51" t="inlineStr">
        <is>
          <t>03 - Risk Assessments/RA-003 Series (HS - ISO 45001)</t>
        </is>
      </c>
      <c r="G13" s="51" t="inlineStr">
        <is>
          <t>ISO 45001 (6.1.2)</t>
        </is>
      </c>
      <c r="H13" s="52" t="inlineStr">
        <is>
          <t>Group Compliance Director</t>
        </is>
      </c>
      <c r="I13" s="52" t="inlineStr">
        <is>
          <t>31/03/2026</t>
        </is>
      </c>
      <c r="J13" s="52" t="inlineStr">
        <is>
          <t>30/09/2026</t>
        </is>
      </c>
      <c r="K13" s="51" t="n"/>
      <c r="L13" s="51" t="inlineStr">
        <is>
          <t>RA-003 pattern. 14 hazards. Source: PSS Craft Launch RA.</t>
        </is>
      </c>
    </row>
    <row r="14" ht="32.8" customHeight="1" s="30">
      <c r="A14" s="49" t="inlineStr">
        <is>
          <t>SM/HSE/RA/006</t>
        </is>
      </c>
      <c r="B14" s="49" t="inlineStr">
        <is>
          <t>Vessel Routine Operations H&amp;S Risk Assessment</t>
        </is>
      </c>
      <c r="C14" s="50" t="inlineStr">
        <is>
          <t>HSE</t>
        </is>
      </c>
      <c r="D14" s="50" t="inlineStr">
        <is>
          <t>1.0</t>
        </is>
      </c>
      <c r="E14" s="50" t="inlineStr">
        <is>
          <t>Approved</t>
        </is>
      </c>
      <c r="F14" s="49" t="inlineStr">
        <is>
          <t>03 - Risk Assessments/RA-003 Series (HS - ISO 45001)</t>
        </is>
      </c>
      <c r="G14" s="49" t="inlineStr">
        <is>
          <t>ISO 45001 (6.1.2)</t>
        </is>
      </c>
      <c r="H14" s="50" t="inlineStr">
        <is>
          <t>Group Compliance Director</t>
        </is>
      </c>
      <c r="I14" s="50" t="inlineStr">
        <is>
          <t>31/03/2026</t>
        </is>
      </c>
      <c r="J14" s="50" t="inlineStr">
        <is>
          <t>30/09/2026</t>
        </is>
      </c>
      <c r="K14" s="49" t="n"/>
      <c r="L14" s="49" t="inlineStr">
        <is>
          <t>RA-003 pattern. 18 hazards. Source: PSS Routine Ops + Galley RAs merged.</t>
        </is>
      </c>
    </row>
    <row r="15" ht="32.8" customHeight="1" s="30">
      <c r="A15" s="51" t="inlineStr">
        <is>
          <t>SM/HSE/RA/007</t>
        </is>
      </c>
      <c r="B15" s="51" t="inlineStr">
        <is>
          <t>Office Workplace H&amp;S Risk Assessment</t>
        </is>
      </c>
      <c r="C15" s="52" t="inlineStr">
        <is>
          <t>HSE</t>
        </is>
      </c>
      <c r="D15" s="52" t="inlineStr">
        <is>
          <t>1.0</t>
        </is>
      </c>
      <c r="E15" s="52" t="inlineStr">
        <is>
          <t>Approved</t>
        </is>
      </c>
      <c r="F15" s="51" t="inlineStr">
        <is>
          <t>03 - Risk Assessments/RA-003 Series (HS - ISO 45001)</t>
        </is>
      </c>
      <c r="G15" s="51" t="inlineStr">
        <is>
          <t>ISO 45001 (6.1.2)</t>
        </is>
      </c>
      <c r="H15" s="52" t="inlineStr">
        <is>
          <t>Group Compliance Director</t>
        </is>
      </c>
      <c r="I15" s="52" t="inlineStr">
        <is>
          <t>31/03/2026</t>
        </is>
      </c>
      <c r="J15" s="52" t="inlineStr">
        <is>
          <t>30/09/2026</t>
        </is>
      </c>
      <c r="K15" s="51" t="n"/>
      <c r="L15" s="51" t="inlineStr">
        <is>
          <t>RA-003 pattern. 14 hazards. Dubai, Piraeus, Lagos offices.</t>
        </is>
      </c>
    </row>
    <row r="16" ht="32.8" customHeight="1" s="30">
      <c r="A16" s="49" t="inlineStr">
        <is>
          <t>SM/HSE/RA/008</t>
        </is>
      </c>
      <c r="B16" s="49" t="inlineStr">
        <is>
          <t>Remote Working H&amp;S Risk Assessment</t>
        </is>
      </c>
      <c r="C16" s="50" t="inlineStr">
        <is>
          <t>HSE</t>
        </is>
      </c>
      <c r="D16" s="50" t="inlineStr">
        <is>
          <t>1.0</t>
        </is>
      </c>
      <c r="E16" s="50" t="inlineStr">
        <is>
          <t>Approved</t>
        </is>
      </c>
      <c r="F16" s="49" t="inlineStr">
        <is>
          <t>03 - Risk Assessments/RA-003 Series (HS - ISO 45001)</t>
        </is>
      </c>
      <c r="G16" s="49" t="inlineStr">
        <is>
          <t>ISO 45001 (6.1.2)</t>
        </is>
      </c>
      <c r="H16" s="50" t="inlineStr">
        <is>
          <t>Group Compliance Director</t>
        </is>
      </c>
      <c r="I16" s="50" t="inlineStr">
        <is>
          <t>31/03/2026</t>
        </is>
      </c>
      <c r="J16" s="50" t="inlineStr">
        <is>
          <t>30/09/2026</t>
        </is>
      </c>
      <c r="K16" s="49" t="n"/>
      <c r="L16" s="49" t="inlineStr">
        <is>
          <t>RA-003 pattern. 12 hazards. DSE, ergonomics, lone working, mental health.</t>
        </is>
      </c>
    </row>
    <row r="17" ht="32.8" customHeight="1" s="30">
      <c r="A17" s="51" t="inlineStr">
        <is>
          <t>SM/HSE/RA/009</t>
        </is>
      </c>
      <c r="B17" s="51" t="inlineStr">
        <is>
          <t>Heat Stress H&amp;S Risk Assessment</t>
        </is>
      </c>
      <c r="C17" s="52" t="inlineStr">
        <is>
          <t>HSE</t>
        </is>
      </c>
      <c r="D17" s="52" t="inlineStr">
        <is>
          <t>1.0</t>
        </is>
      </c>
      <c r="E17" s="52" t="inlineStr">
        <is>
          <t>Approved</t>
        </is>
      </c>
      <c r="F17" s="51" t="inlineStr">
        <is>
          <t>03 - Risk Assessments/RA-003 Series (HS - ISO 45001)</t>
        </is>
      </c>
      <c r="G17" s="51" t="inlineStr">
        <is>
          <t>ISO 45001 (6.1.2)</t>
        </is>
      </c>
      <c r="H17" s="52" t="inlineStr">
        <is>
          <t>Group Compliance Director</t>
        </is>
      </c>
      <c r="I17" s="52" t="inlineStr">
        <is>
          <t>31/03/2026</t>
        </is>
      </c>
      <c r="J17" s="52" t="inlineStr">
        <is>
          <t>30/09/2026</t>
        </is>
      </c>
      <c r="K17" s="51" t="n"/>
      <c r="L17" s="51" t="inlineStr">
        <is>
          <t>RA-003 pattern. 12 hazards. All hot-climate ops and offices.</t>
        </is>
      </c>
    </row>
    <row r="18">
      <c r="A18" s="53" t="inlineStr">
        <is>
          <t>SM/HSE/RA/010</t>
        </is>
      </c>
      <c r="B18" s="54" t="inlineStr">
        <is>
          <t>Night Operations H&amp;S Risk Assessment</t>
        </is>
      </c>
      <c r="C18" s="53" t="inlineStr">
        <is>
          <t>HSE</t>
        </is>
      </c>
      <c r="D18" s="53" t="inlineStr">
        <is>
          <t>1.0</t>
        </is>
      </c>
      <c r="E18" s="53" t="inlineStr">
        <is>
          <t>Approved</t>
        </is>
      </c>
      <c r="F18" s="54" t="inlineStr">
        <is>
          <t>03 - Risk Assessments/RA-003 Series (HS - ISO 45001)</t>
        </is>
      </c>
      <c r="G18" s="54" t="inlineStr">
        <is>
          <t>ISO 45001 (6.1.2)</t>
        </is>
      </c>
      <c r="H18" s="53" t="inlineStr">
        <is>
          <t>Group Compliance Director</t>
        </is>
      </c>
      <c r="I18" s="53" t="inlineStr">
        <is>
          <t>01/04/2026</t>
        </is>
      </c>
      <c r="J18" s="53" t="inlineStr">
        <is>
          <t>01/10/2026</t>
        </is>
      </c>
      <c r="K18" s="53" t="n"/>
      <c r="L18" s="54" t="inlineStr">
        <is>
          <t>RA-003 pattern. 14 hazards. Night-specific hazard layer overlaying all activity RAs.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Registers &amp; Trackers</t>
        </is>
      </c>
    </row>
    <row r="2" ht="15" customHeight="1" s="30">
      <c r="C2" s="32" t="inlineStr">
        <is>
          <t>SM/INT/REG/001  |  REG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SM/INT/REG/001</t>
        </is>
      </c>
      <c r="B5" s="44" t="inlineStr">
        <is>
          <t>Document Register</t>
        </is>
      </c>
      <c r="C5" s="45" t="inlineStr">
        <is>
          <t>INT</t>
        </is>
      </c>
      <c r="D5" s="45" t="inlineStr">
        <is>
          <t>2.0</t>
        </is>
      </c>
      <c r="E5" s="45" t="inlineStr">
        <is>
          <t>Approved</t>
        </is>
      </c>
      <c r="F5" s="44" t="inlineStr">
        <is>
          <t>04 - Registers and Trackers</t>
        </is>
      </c>
      <c r="G5" s="44" t="inlineStr">
        <is>
          <t>All</t>
        </is>
      </c>
      <c r="H5" s="45" t="inlineStr">
        <is>
          <t>Group Compliance Director</t>
        </is>
      </c>
      <c r="I5" s="45" t="inlineStr">
        <is>
          <t>23/03/2026</t>
        </is>
      </c>
      <c r="J5" s="45" t="inlineStr">
        <is>
          <t>23/03/2027</t>
        </is>
      </c>
      <c r="K5" s="44" t="n"/>
      <c r="L5" s="44" t="inlineStr">
        <is>
          <t>This register</t>
        </is>
      </c>
    </row>
    <row r="6" ht="22.35" customHeight="1" s="30">
      <c r="A6" s="43" t="inlineStr">
        <is>
          <t>SM/INT/CMP/002</t>
        </is>
      </c>
      <c r="B6" s="44" t="inlineStr">
        <is>
          <t>Combined Work Programme</t>
        </is>
      </c>
      <c r="C6" s="45" t="inlineStr">
        <is>
          <t>INT</t>
        </is>
      </c>
      <c r="D6" s="45" t="inlineStr">
        <is>
          <t>2.0</t>
        </is>
      </c>
      <c r="E6" s="45" t="inlineStr">
        <is>
          <t>Approved</t>
        </is>
      </c>
      <c r="F6" s="44" t="inlineStr">
        <is>
          <t>04 - Registers and Trackers</t>
        </is>
      </c>
      <c r="G6" s="44" t="inlineStr">
        <is>
          <t>All</t>
        </is>
      </c>
      <c r="H6" s="45" t="inlineStr">
        <is>
          <t>Group Compliance Director</t>
        </is>
      </c>
      <c r="I6" s="45" t="inlineStr">
        <is>
          <t>23/03/2026</t>
        </is>
      </c>
      <c r="J6" s="45" t="inlineStr">
        <is>
          <t>Ongoing</t>
        </is>
      </c>
      <c r="K6" s="44" t="n"/>
      <c r="L6" s="44" t="inlineStr">
        <is>
          <t>Master programme - 45001 + Shell</t>
        </is>
      </c>
    </row>
    <row r="7" ht="22.35" customHeight="1" s="30">
      <c r="A7" s="43" t="inlineStr">
        <is>
          <t>SM/INT/REG/003</t>
        </is>
      </c>
      <c r="B7" s="44" t="inlineStr">
        <is>
          <t>Internal Audit Schedule 2026</t>
        </is>
      </c>
      <c r="C7" s="45" t="inlineStr">
        <is>
          <t>INT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07 / Internal Audits</t>
        </is>
      </c>
      <c r="G7" s="44" t="inlineStr">
        <is>
          <t>9001 / 19011</t>
        </is>
      </c>
      <c r="H7" s="45" t="inlineStr">
        <is>
          <t>Group Compliance Director</t>
        </is>
      </c>
      <c r="I7" s="45" t="inlineStr">
        <is>
          <t>25/03/2026</t>
        </is>
      </c>
      <c r="J7" s="45" t="inlineStr">
        <is>
          <t>01/01/2027</t>
        </is>
      </c>
      <c r="K7" s="44" t="n"/>
      <c r="L7" s="44" t="inlineStr">
        <is>
          <t>1-year rolling schedule</t>
        </is>
      </c>
    </row>
    <row r="8" ht="32.8" customHeight="1" s="30">
      <c r="A8" s="43" t="inlineStr">
        <is>
          <t>SM/INT/REG/004</t>
        </is>
      </c>
      <c r="B8" s="44" t="inlineStr">
        <is>
          <t>NCR, OFI and CAPA Register</t>
        </is>
      </c>
      <c r="C8" s="45" t="inlineStr">
        <is>
          <t>INT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04 - Registers and Trackers</t>
        </is>
      </c>
      <c r="G8" s="44" t="inlineStr">
        <is>
          <t>9001 / 18788 / 28007 / 28000 / 45001</t>
        </is>
      </c>
      <c r="H8" s="45" t="inlineStr">
        <is>
          <t>Group Compliance Director</t>
        </is>
      </c>
      <c r="I8" s="45" t="inlineStr">
        <is>
          <t>30/03/2026</t>
        </is>
      </c>
      <c r="J8" s="45" t="inlineStr">
        <is>
          <t>30/03/2027</t>
        </is>
      </c>
      <c r="K8" s="44" t="n"/>
      <c r="L8" s="29" t="inlineStr">
        <is>
          <t>Approved by Pavel Shparber (CEO) and Darren Watts (GCD)</t>
        </is>
      </c>
    </row>
    <row r="9" ht="22.35" customHeight="1" s="30">
      <c r="A9" s="55" t="inlineStr">
        <is>
          <t>SM/INT/REG/005</t>
        </is>
      </c>
      <c r="B9" s="56" t="inlineStr">
        <is>
          <t>Reconciliation Matrix</t>
        </is>
      </c>
      <c r="C9" s="57" t="inlineStr">
        <is>
          <t>INT</t>
        </is>
      </c>
      <c r="D9" s="57" t="inlineStr">
        <is>
          <t>1.0</t>
        </is>
      </c>
      <c r="E9" s="57" t="inlineStr">
        <is>
          <t>Approved</t>
        </is>
      </c>
      <c r="F9" s="56" t="inlineStr">
        <is>
          <t>04 - Registers and Trackers</t>
        </is>
      </c>
      <c r="G9" s="56" t="inlineStr">
        <is>
          <t>All</t>
        </is>
      </c>
      <c r="H9" s="57" t="inlineStr">
        <is>
          <t>Group Compliance Director</t>
        </is>
      </c>
      <c r="I9" s="57" t="inlineStr">
        <is>
          <t>30/03/2026</t>
        </is>
      </c>
      <c r="J9" s="57" t="inlineStr">
        <is>
          <t>30/03/2027</t>
        </is>
      </c>
      <c r="K9" s="56" t="n"/>
      <c r="L9" s="29" t="inlineStr">
        <is>
          <t>Cross-reference of all tracked items across registers and programmes</t>
        </is>
      </c>
    </row>
    <row r="10" ht="43.25" customHeight="1" s="30">
      <c r="A10" s="55" t="inlineStr">
        <is>
          <t>SM/HSE/REG/001</t>
        </is>
      </c>
      <c r="B10" s="56" t="inlineStr">
        <is>
          <t>Interested Parties Register</t>
        </is>
      </c>
      <c r="C10" s="57" t="inlineStr">
        <is>
          <t>HSE</t>
        </is>
      </c>
      <c r="D10" s="57" t="inlineStr">
        <is>
          <t>1.0</t>
        </is>
      </c>
      <c r="E10" s="57" t="inlineStr">
        <is>
          <t>Approved</t>
        </is>
      </c>
      <c r="F10" s="56" t="inlineStr">
        <is>
          <t>01 - Policies/HSE Policies (45001)</t>
        </is>
      </c>
      <c r="G10" s="56" t="inlineStr">
        <is>
          <t>ISO 45001 (4.2) | ISO 18788 (4.2) | ISO 28000 (4.2) | ISO 9001 (4.2)</t>
        </is>
      </c>
      <c r="H10" s="57" t="inlineStr">
        <is>
          <t>Group Compliance Director</t>
        </is>
      </c>
      <c r="I10" s="57" t="inlineStr">
        <is>
          <t>03/02/2026</t>
        </is>
      </c>
      <c r="J10" s="57" t="inlineStr">
        <is>
          <t>03/02/2027</t>
        </is>
      </c>
      <c r="K10" s="56" t="n"/>
      <c r="L10" s="29" t="inlineStr">
        <is>
          <t>21 interested parties. Power/Interest Matrix. Iran conflict flagged in review notes</t>
        </is>
      </c>
    </row>
    <row r="11" ht="32.8" customHeight="1" s="30">
      <c r="A11" s="55" t="inlineStr">
        <is>
          <t>SM/INT/REG/006</t>
        </is>
      </c>
      <c r="B11" s="56" t="inlineStr">
        <is>
          <t>Company Objectives Register</t>
        </is>
      </c>
      <c r="C11" s="57" t="inlineStr">
        <is>
          <t>INT</t>
        </is>
      </c>
      <c r="D11" s="57" t="inlineStr">
        <is>
          <t>1.0</t>
        </is>
      </c>
      <c r="E11" s="57" t="inlineStr">
        <is>
          <t>Approved</t>
        </is>
      </c>
      <c r="F11" s="56" t="inlineStr">
        <is>
          <t>04 - Registers and Trackers</t>
        </is>
      </c>
      <c r="G11" s="56" t="inlineStr">
        <is>
          <t>9001 / 18788 / 28007 / 28000 / 45001</t>
        </is>
      </c>
      <c r="H11" s="57" t="inlineStr">
        <is>
          <t>Group Compliance Director</t>
        </is>
      </c>
      <c r="I11" s="57" t="inlineStr">
        <is>
          <t>31/03/2026</t>
        </is>
      </c>
      <c r="J11" s="57" t="inlineStr">
        <is>
          <t>30/09/2026</t>
        </is>
      </c>
    </row>
    <row r="12">
      <c r="A12" s="55" t="inlineStr">
        <is>
          <t>SM/SEC/REG/001</t>
        </is>
      </c>
      <c r="B12" s="56" t="inlineStr">
        <is>
          <t>Flag State Requirements Register</t>
        </is>
      </c>
      <c r="C12" s="57" t="inlineStr">
        <is>
          <t>SEC</t>
        </is>
      </c>
      <c r="D12" s="57" t="inlineStr">
        <is>
          <t>1.0</t>
        </is>
      </c>
      <c r="E12" s="57" t="inlineStr">
        <is>
          <t>Approved</t>
        </is>
      </c>
      <c r="F12" s="56" t="inlineStr">
        <is>
          <t>04 - Registers and Trackers</t>
        </is>
      </c>
      <c r="G12" s="56" t="inlineStr">
        <is>
          <t>28007 / 18788 / 28000</t>
        </is>
      </c>
      <c r="H12" s="57" t="inlineStr">
        <is>
          <t>Group Compliance Director</t>
        </is>
      </c>
      <c r="I12" s="57" t="inlineStr">
        <is>
          <t>01/04/2026</t>
        </is>
      </c>
      <c r="J12" s="57" t="n"/>
    </row>
    <row r="13">
      <c r="A13" s="55" t="inlineStr">
        <is>
          <t>SM/HSE/REG/002</t>
        </is>
      </c>
      <c r="B13" s="56" t="inlineStr">
        <is>
          <t>Legal and Regulatory Requirements Register</t>
        </is>
      </c>
      <c r="C13" s="57" t="inlineStr">
        <is>
          <t>HSE</t>
        </is>
      </c>
      <c r="D13" s="57" t="inlineStr">
        <is>
          <t>1.0</t>
        </is>
      </c>
      <c r="E13" s="57" t="inlineStr">
        <is>
          <t>Approved</t>
        </is>
      </c>
      <c r="F13" s="56" t="inlineStr">
        <is>
          <t>04 - Registers and Trackers</t>
        </is>
      </c>
      <c r="G13" s="56" t="inlineStr">
        <is>
          <t>45001 (6.1.3) / 18788 / 28007 / 28000 / 9001</t>
        </is>
      </c>
      <c r="H13" s="57" t="inlineStr">
        <is>
          <t>Group Compliance Director</t>
        </is>
      </c>
      <c r="I13" s="57" t="inlineStr">
        <is>
          <t>01/04/2026</t>
        </is>
      </c>
      <c r="J13" s="57" t="n"/>
    </row>
    <row r="14">
      <c r="A14" s="55" t="inlineStr">
        <is>
          <t>SM/INT/REG/007</t>
        </is>
      </c>
      <c r="B14" s="56" t="inlineStr">
        <is>
          <t>External Standards and References Register</t>
        </is>
      </c>
      <c r="C14" s="57" t="inlineStr">
        <is>
          <t>INT</t>
        </is>
      </c>
      <c r="D14" s="57" t="inlineStr">
        <is>
          <t>1.0</t>
        </is>
      </c>
      <c r="E14" s="57" t="inlineStr">
        <is>
          <t>Approved</t>
        </is>
      </c>
      <c r="F14" s="56" t="inlineStr">
        <is>
          <t>04 - Registers and Trackers</t>
        </is>
      </c>
      <c r="G14" s="56" t="inlineStr">
        <is>
          <t>9001 / 18788 / 28007 / 28000 / 45001</t>
        </is>
      </c>
      <c r="H14" s="57" t="inlineStr">
        <is>
          <t>Group Compliance Director</t>
        </is>
      </c>
      <c r="I14" s="57" t="inlineStr">
        <is>
          <t>01/04/2026</t>
        </is>
      </c>
      <c r="J14" s="57" t="n"/>
    </row>
    <row r="15">
      <c r="A15" s="55" t="inlineStr">
        <is>
          <t>SM/INT/REG/008</t>
        </is>
      </c>
      <c r="B15" s="56" t="inlineStr">
        <is>
          <t>Training and Competence Matrix</t>
        </is>
      </c>
      <c r="C15" s="57" t="inlineStr">
        <is>
          <t>INT</t>
        </is>
      </c>
      <c r="D15" s="57" t="inlineStr">
        <is>
          <t>1.0</t>
        </is>
      </c>
      <c r="E15" s="57" t="inlineStr">
        <is>
          <t>Approved</t>
        </is>
      </c>
      <c r="F15" s="56" t="inlineStr">
        <is>
          <t>04 - Registers and Trackers</t>
        </is>
      </c>
      <c r="G15" s="56" t="inlineStr">
        <is>
          <t>45001 (7.2/7.3) / 9001 / 18788 / 28007</t>
        </is>
      </c>
      <c r="H15" s="57" t="inlineStr">
        <is>
          <t>Group Compliance Director</t>
        </is>
      </c>
      <c r="I15" s="57" t="inlineStr">
        <is>
          <t>03/04/2026</t>
        </is>
      </c>
      <c r="J15" s="57" t="inlineStr">
        <is>
          <t>03/10/2026</t>
        </is>
      </c>
      <c r="L15" s="29" t="inlineStr">
        <is>
          <t>20 courses × 3 role categories × 41 personnel. Derived from SM/INT/PRO/010.</t>
        </is>
      </c>
    </row>
    <row r="16">
      <c r="A16" s="55" t="inlineStr">
        <is>
          <t>SM/INT/REG/009</t>
        </is>
      </c>
      <c r="B16" s="56" t="inlineStr">
        <is>
          <t>Change Request Register</t>
        </is>
      </c>
      <c r="C16" s="57" t="inlineStr">
        <is>
          <t>INT</t>
        </is>
      </c>
      <c r="D16" s="57" t="inlineStr">
        <is>
          <t>1.0</t>
        </is>
      </c>
      <c r="E16" s="57" t="inlineStr">
        <is>
          <t>Approved</t>
        </is>
      </c>
      <c r="F16" s="56" t="inlineStr">
        <is>
          <t>04 - Registers and Trackers</t>
        </is>
      </c>
      <c r="G16" s="56" t="inlineStr">
        <is>
          <t>9001 6.3 / 45001 8.1.3 / 18788 8.1</t>
        </is>
      </c>
      <c r="H16" s="57" t="inlineStr">
        <is>
          <t>Group Compliance Director</t>
        </is>
      </c>
      <c r="I16" s="57" t="inlineStr">
        <is>
          <t>07/04/2026</t>
        </is>
      </c>
      <c r="J16" s="57" t="inlineStr">
        <is>
          <t>07/04/2027</t>
        </is>
      </c>
      <c r="K16" s="29" t="inlineStr"/>
      <c r="L16" s="29" t="inlineStr">
        <is>
          <t>Tracks all change requests per SM/INT/PRO/013.</t>
        </is>
      </c>
    </row>
    <row r="17">
      <c r="A17" s="55" t="inlineStr">
        <is>
          <t>SM/INT/REG/010</t>
        </is>
      </c>
      <c r="B17" s="56" t="inlineStr">
        <is>
          <t>Supplier and Subcontractor Register</t>
        </is>
      </c>
      <c r="C17" s="57" t="inlineStr">
        <is>
          <t>INT</t>
        </is>
      </c>
      <c r="D17" s="57" t="inlineStr">
        <is>
          <t>1.0</t>
        </is>
      </c>
      <c r="E17" s="57" t="inlineStr">
        <is>
          <t>Active</t>
        </is>
      </c>
      <c r="F17" s="56" t="inlineStr">
        <is>
          <t>04 - Registers and Trackers</t>
        </is>
      </c>
      <c r="G17" s="56" t="inlineStr">
        <is>
          <t>45001 Cl. 8.1.4 / 9001 8.4</t>
        </is>
      </c>
      <c r="H17" s="57" t="inlineStr">
        <is>
          <t>Group Compliance Director</t>
        </is>
      </c>
      <c r="I17" s="57" t="inlineStr">
        <is>
          <t>08/04/2026</t>
        </is>
      </c>
      <c r="J17" s="57" t="inlineStr">
        <is>
          <t>08/04/2027</t>
        </is>
      </c>
      <c r="K17" s="29" t="inlineStr"/>
      <c r="L17" s="29" t="inlineStr">
        <is>
          <t>S34. Unified register: General, SEV Suppliers, Approved SEVs, Subcontractors.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Reports &amp; Position Papers</t>
        </is>
      </c>
    </row>
    <row r="2" ht="15" customHeight="1" s="30">
      <c r="C2" s="32" t="inlineStr">
        <is>
          <t>SM/INT/REG/001  |  RPT | CPP | SOW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SM/INT/CPP/001</t>
        </is>
      </c>
      <c r="B5" s="44" t="inlineStr">
        <is>
          <t>Compliance Position Paper - MV Vladimir Boarding</t>
        </is>
      </c>
      <c r="C5" s="45" t="inlineStr">
        <is>
          <t>INT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08 / Compliance Position Papers</t>
        </is>
      </c>
      <c r="G5" s="44" t="inlineStr">
        <is>
          <t>18788 / 28007</t>
        </is>
      </c>
      <c r="H5" s="45" t="inlineStr">
        <is>
          <t>Group Compliance Director</t>
        </is>
      </c>
      <c r="I5" s="45" t="inlineStr">
        <is>
          <t>23/03/2026</t>
        </is>
      </c>
      <c r="J5" s="45" t="inlineStr">
        <is>
          <t>N/A</t>
        </is>
      </c>
      <c r="K5" s="44" t="n"/>
      <c r="L5" s="44" t="inlineStr">
        <is>
          <t>Confidential - Directors only</t>
        </is>
      </c>
    </row>
    <row r="6" ht="22.35" customHeight="1" s="30">
      <c r="A6" s="46" t="inlineStr">
        <is>
          <t>SM/INT/SOW/001</t>
        </is>
      </c>
      <c r="B6" s="47" t="inlineStr">
        <is>
          <t>Scope of Work - MV Vladimir Monitoring</t>
        </is>
      </c>
      <c r="C6" s="48" t="inlineStr">
        <is>
          <t>INT</t>
        </is>
      </c>
      <c r="D6" s="48" t="inlineStr">
        <is>
          <t>0.1</t>
        </is>
      </c>
      <c r="E6" s="48" t="inlineStr">
        <is>
          <t>Draft</t>
        </is>
      </c>
      <c r="F6" s="47" t="inlineStr">
        <is>
          <t>08 / Compliance Position Papers</t>
        </is>
      </c>
      <c r="G6" s="47" t="inlineStr">
        <is>
          <t>18788 / 28007</t>
        </is>
      </c>
      <c r="H6" s="48" t="inlineStr">
        <is>
          <t>Group Compliance Director</t>
        </is>
      </c>
      <c r="I6" s="48" t="inlineStr">
        <is>
          <t>23/03/2026</t>
        </is>
      </c>
      <c r="J6" s="48" t="inlineStr">
        <is>
          <t>N/A</t>
        </is>
      </c>
      <c r="K6" s="47" t="n"/>
      <c r="L6" s="47" t="inlineStr">
        <is>
          <t>DRAFT - Theoretical only</t>
        </is>
      </c>
    </row>
    <row r="7" ht="22.35" customHeight="1" s="30">
      <c r="A7" s="43" t="inlineStr">
        <is>
          <t>SM/INT/RPT/001</t>
        </is>
      </c>
      <c r="B7" s="44" t="inlineStr">
        <is>
          <t>Internal Audit Programme Review and Gap Analysis</t>
        </is>
      </c>
      <c r="C7" s="45" t="inlineStr">
        <is>
          <t>INT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07 / Internal Audits</t>
        </is>
      </c>
      <c r="G7" s="44" t="inlineStr">
        <is>
          <t>All</t>
        </is>
      </c>
      <c r="H7" s="45" t="inlineStr">
        <is>
          <t>Group Compliance Director</t>
        </is>
      </c>
      <c r="I7" s="45" t="inlineStr">
        <is>
          <t>25/03/2026</t>
        </is>
      </c>
      <c r="J7" s="45" t="inlineStr">
        <is>
          <t>N/A</t>
        </is>
      </c>
      <c r="K7" s="44" t="n"/>
      <c r="L7" s="44" t="inlineStr">
        <is>
          <t>Initial gap analysis driving audit programme</t>
        </is>
      </c>
    </row>
    <row r="8" ht="22.35" customHeight="1" s="30">
      <c r="A8" s="43" t="inlineStr">
        <is>
          <t>SM/SEC/RPT/001</t>
        </is>
      </c>
      <c r="B8" s="44" t="inlineStr">
        <is>
          <t>Internal Audit Report - Document Control</t>
        </is>
      </c>
      <c r="C8" s="45" t="inlineStr">
        <is>
          <t>SEC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07 / Internal Audits</t>
        </is>
      </c>
      <c r="G8" s="44" t="inlineStr">
        <is>
          <t>9001 / 18788</t>
        </is>
      </c>
      <c r="H8" s="45" t="inlineStr">
        <is>
          <t>Group Compliance Director</t>
        </is>
      </c>
      <c r="I8" s="45" t="inlineStr">
        <is>
          <t>28/03/2026</t>
        </is>
      </c>
      <c r="J8" s="45" t="inlineStr">
        <is>
          <t>N/A</t>
        </is>
      </c>
      <c r="K8" s="44" t="n"/>
      <c r="L8" s="44" t="inlineStr">
        <is>
          <t>SM-IA-26-001</t>
        </is>
      </c>
    </row>
    <row r="9" ht="22.35" customHeight="1" s="30">
      <c r="A9" s="43" t="inlineStr">
        <is>
          <t>SM/SEC/RPT/002</t>
        </is>
      </c>
      <c r="B9" s="44" t="inlineStr">
        <is>
          <t>Internal Audit Report - Risk Management</t>
        </is>
      </c>
      <c r="C9" s="45" t="inlineStr">
        <is>
          <t>SEC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07 / Internal Audits</t>
        </is>
      </c>
      <c r="G9" s="44" t="inlineStr">
        <is>
          <t>18788 / 28007 / 45001</t>
        </is>
      </c>
      <c r="H9" s="45" t="inlineStr">
        <is>
          <t>Group Compliance Director</t>
        </is>
      </c>
      <c r="I9" s="45" t="inlineStr">
        <is>
          <t>29/03/2026</t>
        </is>
      </c>
      <c r="J9" s="45" t="inlineStr">
        <is>
          <t>N/A</t>
        </is>
      </c>
      <c r="K9" s="44" t="n"/>
      <c r="L9" s="44" t="inlineStr">
        <is>
          <t>SM-IA-26-002</t>
        </is>
      </c>
    </row>
    <row r="10">
      <c r="A10" s="43" t="inlineStr">
        <is>
          <t>SM/HSE/RPT/001</t>
        </is>
      </c>
      <c r="B10" s="44" t="inlineStr">
        <is>
          <t>IRT Exercise Report - Office Fire</t>
        </is>
      </c>
      <c r="C10" s="45" t="inlineStr">
        <is>
          <t>HSE</t>
        </is>
      </c>
      <c r="D10" s="45" t="inlineStr">
        <is>
          <t>1.0</t>
        </is>
      </c>
      <c r="E10" s="45" t="inlineStr">
        <is>
          <t>Approved</t>
        </is>
      </c>
      <c r="F10" s="44" t="inlineStr">
        <is>
          <t>08 - Reports and Records</t>
        </is>
      </c>
      <c r="G10" s="44" t="inlineStr">
        <is>
          <t>45001 (8.2)</t>
        </is>
      </c>
      <c r="H10" s="45" t="inlineStr">
        <is>
          <t>Group Compliance Director</t>
        </is>
      </c>
      <c r="I10" s="45" t="inlineStr">
        <is>
          <t>27/03/2026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Forms &amp; Templates</t>
        </is>
      </c>
    </row>
    <row r="2" ht="15" customHeight="1" s="30">
      <c r="C2" s="32" t="inlineStr">
        <is>
          <t>SM/INT/REG/001  |  FORM | TPL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SM/INT/TPL/001</t>
        </is>
      </c>
      <c r="B5" s="44" t="inlineStr">
        <is>
          <t>Register Template</t>
        </is>
      </c>
      <c r="C5" s="45" t="inlineStr">
        <is>
          <t>INT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09 / Register Templates</t>
        </is>
      </c>
      <c r="G5" s="44" t="inlineStr">
        <is>
          <t>All</t>
        </is>
      </c>
      <c r="H5" s="45" t="inlineStr">
        <is>
          <t>Group Compliance Director</t>
        </is>
      </c>
      <c r="I5" s="45" t="inlineStr">
        <is>
          <t>23/03/2026</t>
        </is>
      </c>
      <c r="J5" s="45" t="inlineStr">
        <is>
          <t>23/03/2027</t>
        </is>
      </c>
      <c r="K5" s="44" t="n"/>
      <c r="L5" s="44" t="inlineStr">
        <is>
          <t>Master template for all xlsx registers</t>
        </is>
      </c>
    </row>
    <row r="6" ht="22.35" customHeight="1" s="30">
      <c r="A6" s="43" t="inlineStr">
        <is>
          <t>SM/INT/TPL/002</t>
        </is>
      </c>
      <c r="B6" s="44" t="inlineStr">
        <is>
          <t>Procedure Template</t>
        </is>
      </c>
      <c r="C6" s="45" t="inlineStr">
        <is>
          <t>INT</t>
        </is>
      </c>
      <c r="D6" s="45" t="inlineStr">
        <is>
          <t>1.0</t>
        </is>
      </c>
      <c r="E6" s="45" t="inlineStr">
        <is>
          <t>Approved</t>
        </is>
      </c>
      <c r="F6" s="44" t="inlineStr">
        <is>
          <t>09 / Templates / Word</t>
        </is>
      </c>
      <c r="G6" s="44" t="inlineStr">
        <is>
          <t>All</t>
        </is>
      </c>
      <c r="H6" s="45" t="inlineStr">
        <is>
          <t>Group Compliance Director</t>
        </is>
      </c>
      <c r="I6" s="45" t="inlineStr">
        <is>
          <t>30/03/2026</t>
        </is>
      </c>
      <c r="J6" s="45" t="inlineStr">
        <is>
          <t>30/03/2027</t>
        </is>
      </c>
      <c r="K6" s="44" t="n"/>
      <c r="L6" s="44" t="inlineStr">
        <is>
          <t>Standard template for all procedures</t>
        </is>
      </c>
    </row>
    <row r="7" ht="43.25" customHeight="1" s="30">
      <c r="A7" s="43" t="inlineStr">
        <is>
          <t>SM/INT/FORM/001</t>
        </is>
      </c>
      <c r="B7" s="44" t="inlineStr">
        <is>
          <t>Non-Conformance Report Form</t>
        </is>
      </c>
      <c r="C7" s="45" t="inlineStr">
        <is>
          <t>INT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09 - Templates and Forms</t>
        </is>
      </c>
      <c r="G7" s="44" t="inlineStr">
        <is>
          <t>9001 / 18788 / 28007 / 28000 / 45001</t>
        </is>
      </c>
      <c r="H7" s="45" t="inlineStr">
        <is>
          <t>Group Compliance Director</t>
        </is>
      </c>
      <c r="I7" s="45" t="inlineStr">
        <is>
          <t>Pavel Shparber, CEO / Darren Watts, GCD</t>
        </is>
      </c>
      <c r="J7" s="45" t="inlineStr">
        <is>
          <t>30 March 2026</t>
        </is>
      </c>
      <c r="K7" s="44" t="n"/>
    </row>
    <row r="8">
      <c r="A8" s="43" t="inlineStr">
        <is>
          <t>SM/OPS/FORM/001</t>
        </is>
      </c>
      <c r="B8" s="44" t="inlineStr">
        <is>
          <t>RUF Card</t>
        </is>
      </c>
      <c r="C8" s="45" t="inlineStr">
        <is>
          <t>OPS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02 / Operational SOPs / RUF Forms</t>
        </is>
      </c>
      <c r="G8" s="44" t="inlineStr">
        <is>
          <t>28007 / 18788</t>
        </is>
      </c>
      <c r="H8" s="45" t="inlineStr">
        <is>
          <t>Group Compliance Director</t>
        </is>
      </c>
    </row>
    <row r="9">
      <c r="A9" s="43" t="inlineStr">
        <is>
          <t>SM/OPS/FORM/002</t>
        </is>
      </c>
      <c r="B9" s="44" t="inlineStr">
        <is>
          <t>Statement of Understanding (MSO)</t>
        </is>
      </c>
      <c r="C9" s="45" t="inlineStr">
        <is>
          <t>OPS</t>
        </is>
      </c>
      <c r="D9" s="45" t="inlineStr">
        <is>
          <t>1.0</t>
        </is>
      </c>
      <c r="E9" s="45" t="inlineStr">
        <is>
          <t>Approved</t>
        </is>
      </c>
      <c r="F9" s="44" t="inlineStr">
        <is>
          <t>02 / Operational SOPs / RUF Forms</t>
        </is>
      </c>
      <c r="G9" s="44" t="inlineStr">
        <is>
          <t>28007 / 18788</t>
        </is>
      </c>
      <c r="H9" s="45" t="inlineStr">
        <is>
          <t>Group Compliance Director</t>
        </is>
      </c>
    </row>
    <row r="10">
      <c r="A10" s="43" t="inlineStr">
        <is>
          <t>SM/OPS/FORM/003</t>
        </is>
      </c>
      <c r="B10" s="44" t="inlineStr">
        <is>
          <t>Statement of Understanding (Master/OOW)</t>
        </is>
      </c>
      <c r="C10" s="45" t="inlineStr">
        <is>
          <t>OPS</t>
        </is>
      </c>
      <c r="D10" s="45" t="inlineStr">
        <is>
          <t>1.0</t>
        </is>
      </c>
      <c r="E10" s="45" t="inlineStr">
        <is>
          <t>Approved</t>
        </is>
      </c>
      <c r="F10" s="44" t="inlineStr">
        <is>
          <t>02 / Operational SOPs / RUF Forms</t>
        </is>
      </c>
      <c r="G10" s="44" t="inlineStr">
        <is>
          <t>28007 / 18788</t>
        </is>
      </c>
      <c r="H10" s="45" t="inlineStr">
        <is>
          <t>Group Compliance Director</t>
        </is>
      </c>
    </row>
    <row r="11">
      <c r="A11" s="43" t="inlineStr">
        <is>
          <t>SM/OPS/FORM/004</t>
        </is>
      </c>
      <c r="B11" s="44" t="inlineStr">
        <is>
          <t>Release Authorisation</t>
        </is>
      </c>
      <c r="C11" s="45" t="inlineStr">
        <is>
          <t>OPS</t>
        </is>
      </c>
      <c r="D11" s="45" t="inlineStr">
        <is>
          <t>1.0</t>
        </is>
      </c>
      <c r="E11" s="45" t="inlineStr">
        <is>
          <t>Approved</t>
        </is>
      </c>
      <c r="F11" s="44" t="inlineStr">
        <is>
          <t>02 / Operational SOPs / RUF Forms</t>
        </is>
      </c>
      <c r="G11" s="44" t="inlineStr">
        <is>
          <t>28007 / 18788</t>
        </is>
      </c>
      <c r="H11" s="45" t="inlineStr">
        <is>
          <t>Group Compliance Director</t>
        </is>
      </c>
    </row>
    <row r="12">
      <c r="A12" s="43" t="inlineStr">
        <is>
          <t>SM/OPS/FORM/005</t>
        </is>
      </c>
      <c r="B12" s="44" t="inlineStr">
        <is>
          <t>Incident Report</t>
        </is>
      </c>
      <c r="C12" s="45" t="inlineStr">
        <is>
          <t>OPS</t>
        </is>
      </c>
      <c r="D12" s="45" t="inlineStr">
        <is>
          <t>1.0</t>
        </is>
      </c>
      <c r="E12" s="45" t="inlineStr">
        <is>
          <t>Approved</t>
        </is>
      </c>
      <c r="F12" s="44" t="inlineStr">
        <is>
          <t>02 / Operational SOPs / RUF Forms</t>
        </is>
      </c>
      <c r="G12" s="44" t="inlineStr">
        <is>
          <t>28007 / 18788</t>
        </is>
      </c>
      <c r="H12" s="45" t="inlineStr">
        <is>
          <t>Group Compliance Director</t>
        </is>
      </c>
    </row>
    <row r="13">
      <c r="A13" s="29" t="inlineStr">
        <is>
          <t>SM/SEC/FORM/001</t>
        </is>
      </c>
      <c r="B13" s="29" t="inlineStr">
        <is>
          <t>Security Escort Vessel (SEV) Checklist</t>
        </is>
      </c>
      <c r="C13" s="29" t="inlineStr">
        <is>
          <t>SEC</t>
        </is>
      </c>
      <c r="D13" s="29" t="inlineStr">
        <is>
          <t>1.0</t>
        </is>
      </c>
      <c r="E13" s="29" t="inlineStr">
        <is>
          <t>Approved</t>
        </is>
      </c>
      <c r="F13" s="29" t="inlineStr">
        <is>
          <t>09 - Templates and Forms</t>
        </is>
      </c>
      <c r="G13" s="29" t="inlineStr">
        <is>
          <t>28007 / 18788 / 9001</t>
        </is>
      </c>
      <c r="H13" s="29" t="inlineStr">
        <is>
          <t>Group Compliance Director</t>
        </is>
      </c>
      <c r="I13" s="29" t="inlineStr">
        <is>
          <t>03/04/2026</t>
        </is>
      </c>
      <c r="J13" s="29" t="inlineStr">
        <is>
          <t>Annual</t>
        </is>
      </c>
      <c r="K13" s="29" t="n"/>
      <c r="L13" s="29" t="inlineStr">
        <is>
          <t>S26 initial build. S28 rebuilt: 27 mandatory items (V01-V27), Provider Documentation sheet (P01-P11), logos, source attribution, dashboard.</t>
        </is>
      </c>
    </row>
    <row r="14">
      <c r="A14" s="29" t="inlineStr">
        <is>
          <t>SM/SEC/FORM/002</t>
        </is>
      </c>
      <c r="B14" s="29" t="inlineStr">
        <is>
          <t>WAF Escorting Due Diligence Checklist</t>
        </is>
      </c>
      <c r="C14" s="29" t="inlineStr">
        <is>
          <t>SEC</t>
        </is>
      </c>
      <c r="D14" s="29" t="inlineStr">
        <is>
          <t>1.0</t>
        </is>
      </c>
      <c r="E14" s="29" t="inlineStr">
        <is>
          <t>Approved</t>
        </is>
      </c>
      <c r="F14" s="29" t="inlineStr">
        <is>
          <t>09 - Templates and Forms</t>
        </is>
      </c>
      <c r="G14" s="29" t="inlineStr">
        <is>
          <t>18788 / 28007 / 9001</t>
        </is>
      </c>
      <c r="H14" s="29" t="inlineStr">
        <is>
          <t>Group Compliance Director</t>
        </is>
      </c>
      <c r="I14" s="29" t="inlineStr">
        <is>
          <t>03/04/2026</t>
        </is>
      </c>
      <c r="J14" s="29" t="inlineStr">
        <is>
          <t>Annual</t>
        </is>
      </c>
      <c r="K14" s="29" t="n"/>
      <c r="L14" s="29" t="inlineStr">
        <is>
          <t>S26 initial build. S28 rebuilt: Source column added to all 8 sections (OCIMF/Shell/ISO/VPSHR attribution), logos, Remarks column, updated dashboard + instructions.</t>
        </is>
      </c>
    </row>
    <row r="15">
      <c r="A15" s="29" t="inlineStr">
        <is>
          <t>SM/INT/FORM/002</t>
        </is>
      </c>
      <c r="B15" s="29" t="inlineStr">
        <is>
          <t>New Starter Checklist</t>
        </is>
      </c>
      <c r="C15" s="29" t="inlineStr">
        <is>
          <t>INT</t>
        </is>
      </c>
      <c r="D15" s="29" t="inlineStr">
        <is>
          <t>1.0</t>
        </is>
      </c>
      <c r="E15" s="29" t="inlineStr">
        <is>
          <t>Approved</t>
        </is>
      </c>
      <c r="F15" s="29" t="inlineStr">
        <is>
          <t>09 - Templates and Forms</t>
        </is>
      </c>
      <c r="G15" s="29" t="inlineStr">
        <is>
          <t>9001 7.2 / 45001 7.2</t>
        </is>
      </c>
      <c r="H15" s="29" t="inlineStr">
        <is>
          <t>Group Compliance Director</t>
        </is>
      </c>
      <c r="I15" s="29" t="inlineStr">
        <is>
          <t>06/04/2026</t>
        </is>
      </c>
      <c r="J15" s="29" t="inlineStr">
        <is>
          <t>06/04/2027</t>
        </is>
      </c>
      <c r="K15" s="29" t="n"/>
      <c r="L15" s="29" t="inlineStr">
        <is>
          <t>Form for dept managers to track new starter onboarding</t>
        </is>
      </c>
    </row>
    <row r="16">
      <c r="A16" s="29" t="inlineStr">
        <is>
          <t>SM/INT/FORM/003</t>
        </is>
      </c>
      <c r="B16" s="29" t="inlineStr">
        <is>
          <t>Change Request Form</t>
        </is>
      </c>
      <c r="C16" s="29" t="inlineStr">
        <is>
          <t>INT</t>
        </is>
      </c>
      <c r="D16" s="29" t="inlineStr">
        <is>
          <t>1.0</t>
        </is>
      </c>
      <c r="E16" s="29" t="inlineStr">
        <is>
          <t>Approved</t>
        </is>
      </c>
      <c r="F16" s="29" t="inlineStr">
        <is>
          <t>09 - Templates and Forms</t>
        </is>
      </c>
      <c r="G16" s="29" t="inlineStr">
        <is>
          <t>9001 6.3 / 45001 8.1.3 / 18788 8.1</t>
        </is>
      </c>
      <c r="H16" s="29" t="inlineStr">
        <is>
          <t>Group Compliance Director</t>
        </is>
      </c>
      <c r="I16" s="29" t="inlineStr">
        <is>
          <t>07/04/2026</t>
        </is>
      </c>
      <c r="J16" s="29" t="inlineStr">
        <is>
          <t>07/04/2027</t>
        </is>
      </c>
      <c r="K16" s="29" t="inlineStr"/>
      <c r="L16" s="29" t="inlineStr">
        <is>
          <t>Form for raising change requests per SM/INT/PRO/013.</t>
        </is>
      </c>
    </row>
    <row r="17">
      <c r="A17" s="29" t="inlineStr">
        <is>
          <t>SM/INT/FORM/004</t>
        </is>
      </c>
      <c r="B17" s="29" t="inlineStr">
        <is>
          <t>Supplier Approval Form</t>
        </is>
      </c>
      <c r="C17" s="29" t="inlineStr">
        <is>
          <t>INT</t>
        </is>
      </c>
      <c r="D17" s="29" t="inlineStr">
        <is>
          <t>1.0</t>
        </is>
      </c>
      <c r="E17" s="29" t="inlineStr">
        <is>
          <t>Active</t>
        </is>
      </c>
      <c r="F17" s="29" t="inlineStr">
        <is>
          <t>09 - Templates and Forms</t>
        </is>
      </c>
      <c r="G17" s="29" t="inlineStr">
        <is>
          <t>45001 Cl. 8.1.4 / 9001 8.4</t>
        </is>
      </c>
      <c r="H17" s="29" t="inlineStr">
        <is>
          <t>Group Compliance Director</t>
        </is>
      </c>
      <c r="I17" s="29" t="inlineStr">
        <is>
          <t>08/04/2026</t>
        </is>
      </c>
      <c r="J17" s="29" t="inlineStr">
        <is>
          <t>08/04/2027</t>
        </is>
      </c>
      <c r="K17" s="29" t="inlineStr"/>
      <c r="L17" s="29" t="inlineStr">
        <is>
          <t>S34. Word form sent to suppliers. Clone from FORM-003.</t>
        </is>
      </c>
    </row>
    <row r="18">
      <c r="A18" s="29" t="inlineStr">
        <is>
          <t>SM/INT/FORM/005</t>
        </is>
      </c>
      <c r="B18" s="29" t="inlineStr">
        <is>
          <t>Supplier Corrective Action Report</t>
        </is>
      </c>
      <c r="C18" s="29" t="inlineStr">
        <is>
          <t>INT</t>
        </is>
      </c>
      <c r="D18" s="29" t="inlineStr">
        <is>
          <t>1.0</t>
        </is>
      </c>
      <c r="E18" s="29" t="inlineStr">
        <is>
          <t>Active</t>
        </is>
      </c>
      <c r="F18" s="29" t="inlineStr">
        <is>
          <t>09 - Templates and Forms</t>
        </is>
      </c>
      <c r="G18" s="29" t="inlineStr">
        <is>
          <t>45001 Cl. 8.1.4 / 9001 8.4</t>
        </is>
      </c>
      <c r="H18" s="29" t="inlineStr">
        <is>
          <t>Group Compliance Director</t>
        </is>
      </c>
      <c r="I18" s="29" t="inlineStr">
        <is>
          <t>08/04/2026</t>
        </is>
      </c>
      <c r="J18" s="29" t="inlineStr">
        <is>
          <t>08/04/2027</t>
        </is>
      </c>
      <c r="K18" s="29" t="inlineStr"/>
      <c r="L18" s="29" t="inlineStr">
        <is>
          <t>S34. SCAR form. Clone from FORM-003.</t>
        </is>
      </c>
    </row>
    <row r="19">
      <c r="A19" s="29" t="inlineStr">
        <is>
          <t>SM/INT/FORM/006</t>
        </is>
      </c>
      <c r="B19" s="29" t="inlineStr">
        <is>
          <t>Supplier Approval Checklist</t>
        </is>
      </c>
      <c r="C19" s="29" t="inlineStr">
        <is>
          <t>INT</t>
        </is>
      </c>
      <c r="D19" s="29" t="inlineStr">
        <is>
          <t>1.0</t>
        </is>
      </c>
      <c r="E19" s="29" t="inlineStr">
        <is>
          <t>Active</t>
        </is>
      </c>
      <c r="F19" s="29" t="inlineStr">
        <is>
          <t>09 - Templates and Forms</t>
        </is>
      </c>
      <c r="G19" s="29" t="inlineStr">
        <is>
          <t>45001 Cl. 8.1.4 / 9001 8.4</t>
        </is>
      </c>
      <c r="H19" s="29" t="inlineStr">
        <is>
          <t>Group Compliance Director</t>
        </is>
      </c>
      <c r="I19" s="29" t="inlineStr">
        <is>
          <t>08/04/2026</t>
        </is>
      </c>
      <c r="J19" s="29" t="inlineStr">
        <is>
          <t>08/04/2027</t>
        </is>
      </c>
      <c r="K19" s="29" t="inlineStr"/>
      <c r="L19" s="29" t="inlineStr">
        <is>
          <t>S34. Excel internal mirror of FORM/004.</t>
        </is>
      </c>
    </row>
    <row r="20">
      <c r="A20" s="29" t="inlineStr">
        <is>
          <t>SM/SEC/FORM/003</t>
        </is>
      </c>
      <c r="B20" s="29" t="inlineStr">
        <is>
          <t>SEV Vessel Information Form</t>
        </is>
      </c>
      <c r="C20" s="29" t="inlineStr">
        <is>
          <t>SEC</t>
        </is>
      </c>
      <c r="D20" s="29" t="inlineStr">
        <is>
          <t>1.0</t>
        </is>
      </c>
      <c r="E20" s="29" t="inlineStr">
        <is>
          <t>Active</t>
        </is>
      </c>
      <c r="F20" s="29" t="inlineStr">
        <is>
          <t>09 - Templates and Forms</t>
        </is>
      </c>
      <c r="G20" s="29" t="inlineStr">
        <is>
          <t>ISO 28007 / 18788</t>
        </is>
      </c>
      <c r="H20" s="29" t="inlineStr">
        <is>
          <t>Group Compliance Director</t>
        </is>
      </c>
      <c r="I20" s="29" t="inlineStr">
        <is>
          <t>08/04/2026</t>
        </is>
      </c>
      <c r="J20" s="29" t="inlineStr">
        <is>
          <t>08/04/2027</t>
        </is>
      </c>
      <c r="K20" s="29" t="inlineStr"/>
      <c r="L20" s="29" t="inlineStr">
        <is>
          <t>S34. Word form sent to SEV providers. One per vessel.</t>
        </is>
      </c>
    </row>
    <row r="21">
      <c r="A21" s="29" t="inlineStr">
        <is>
          <t>SM/SEC/FORM/004</t>
        </is>
      </c>
      <c r="B21" s="29" t="inlineStr">
        <is>
          <t>SEV Provider Due Diligence Form</t>
        </is>
      </c>
      <c r="C21" s="29" t="inlineStr">
        <is>
          <t>SEC</t>
        </is>
      </c>
      <c r="D21" s="29" t="inlineStr">
        <is>
          <t>1.0</t>
        </is>
      </c>
      <c r="E21" s="29" t="inlineStr">
        <is>
          <t>Active</t>
        </is>
      </c>
      <c r="F21" s="29" t="inlineStr">
        <is>
          <t>09 - Templates and Forms</t>
        </is>
      </c>
      <c r="G21" s="29" t="inlineStr">
        <is>
          <t>ISO 28007 / 18788</t>
        </is>
      </c>
      <c r="H21" s="29" t="inlineStr">
        <is>
          <t>Group Compliance Director</t>
        </is>
      </c>
      <c r="I21" s="29" t="inlineStr">
        <is>
          <t>08/04/2026</t>
        </is>
      </c>
      <c r="J21" s="29" t="inlineStr">
        <is>
          <t>08/04/2027</t>
        </is>
      </c>
      <c r="K21" s="29" t="inlineStr"/>
      <c r="L21" s="29" t="inlineStr">
        <is>
          <t>S34. Word form, 49 DD questions (corrected from PMSC framing).</t>
        </is>
      </c>
    </row>
    <row r="22">
      <c r="A22" s="29" t="inlineStr">
        <is>
          <t>SM/OPS/FORM/006</t>
        </is>
      </c>
      <c r="B22" s="29" t="inlineStr">
        <is>
          <t>Daily Report</t>
        </is>
      </c>
      <c r="C22" s="29" t="inlineStr">
        <is>
          <t>OPS</t>
        </is>
      </c>
      <c r="D22" s="29" t="inlineStr">
        <is>
          <t>1.0</t>
        </is>
      </c>
      <c r="E22" s="29" t="inlineStr">
        <is>
          <t>Approved</t>
        </is>
      </c>
      <c r="F22" s="29" t="inlineStr">
        <is>
          <t>09 - Templates and Forms/TL Forms</t>
        </is>
      </c>
      <c r="G22" s="29" t="inlineStr">
        <is>
          <t>28007 / 18788</t>
        </is>
      </c>
      <c r="H22" s="29" t="inlineStr">
        <is>
          <t>Group Compliance Director</t>
        </is>
      </c>
      <c r="I22" s="29" t="inlineStr">
        <is>
          <t>08/04/2026</t>
        </is>
      </c>
    </row>
    <row r="23">
      <c r="A23" s="29" t="inlineStr">
        <is>
          <t>SM/OPS/FORM/007</t>
        </is>
      </c>
      <c r="B23" s="29" t="inlineStr">
        <is>
          <t>Embarkation Report</t>
        </is>
      </c>
      <c r="C23" s="29" t="inlineStr">
        <is>
          <t>OPS</t>
        </is>
      </c>
      <c r="D23" s="29" t="inlineStr">
        <is>
          <t>1.0</t>
        </is>
      </c>
      <c r="E23" s="29" t="inlineStr">
        <is>
          <t>Approved</t>
        </is>
      </c>
      <c r="F23" s="29" t="inlineStr">
        <is>
          <t>09 - Templates and Forms/TL Forms</t>
        </is>
      </c>
      <c r="G23" s="29" t="inlineStr">
        <is>
          <t>28007 / 18788</t>
        </is>
      </c>
      <c r="H23" s="29" t="inlineStr">
        <is>
          <t>Group Compliance Director</t>
        </is>
      </c>
      <c r="I23" s="29" t="inlineStr">
        <is>
          <t>08/04/2026</t>
        </is>
      </c>
    </row>
    <row r="24">
      <c r="A24" s="29" t="inlineStr">
        <is>
          <t>SM/OPS/FORM/008</t>
        </is>
      </c>
      <c r="B24" s="29" t="inlineStr">
        <is>
          <t>Second Day Report</t>
        </is>
      </c>
      <c r="C24" s="29" t="inlineStr">
        <is>
          <t>OPS</t>
        </is>
      </c>
      <c r="D24" s="29" t="inlineStr">
        <is>
          <t>1.0</t>
        </is>
      </c>
      <c r="E24" s="29" t="inlineStr">
        <is>
          <t>Approved</t>
        </is>
      </c>
      <c r="F24" s="29" t="inlineStr">
        <is>
          <t>09 - Templates and Forms/TL Forms</t>
        </is>
      </c>
      <c r="G24" s="29" t="inlineStr">
        <is>
          <t>28007 / 18788</t>
        </is>
      </c>
      <c r="H24" s="29" t="inlineStr">
        <is>
          <t>Group Compliance Director</t>
        </is>
      </c>
      <c r="I24" s="29" t="inlineStr">
        <is>
          <t>08/04/2026</t>
        </is>
      </c>
    </row>
    <row r="25">
      <c r="A25" s="29" t="inlineStr">
        <is>
          <t>SM/OPS/FORM/009</t>
        </is>
      </c>
      <c r="B25" s="29" t="inlineStr">
        <is>
          <t>Crossing 60°E Report</t>
        </is>
      </c>
      <c r="C25" s="29" t="inlineStr">
        <is>
          <t>OPS</t>
        </is>
      </c>
      <c r="D25" s="29" t="inlineStr">
        <is>
          <t>1.0</t>
        </is>
      </c>
      <c r="E25" s="29" t="inlineStr">
        <is>
          <t>Approved</t>
        </is>
      </c>
      <c r="F25" s="29" t="inlineStr">
        <is>
          <t>09 - Templates and Forms/TL Forms</t>
        </is>
      </c>
      <c r="G25" s="29" t="inlineStr">
        <is>
          <t>28007 / 18788</t>
        </is>
      </c>
      <c r="H25" s="29" t="inlineStr">
        <is>
          <t>Group Compliance Director</t>
        </is>
      </c>
      <c r="I25" s="29" t="inlineStr">
        <is>
          <t>08/04/2026</t>
        </is>
      </c>
    </row>
    <row r="26">
      <c r="A26" s="29" t="inlineStr">
        <is>
          <t>SM/OPS/FORM/010</t>
        </is>
      </c>
      <c r="B26" s="29" t="inlineStr">
        <is>
          <t>Port Report</t>
        </is>
      </c>
      <c r="C26" s="29" t="inlineStr">
        <is>
          <t>OPS</t>
        </is>
      </c>
      <c r="D26" s="29" t="inlineStr">
        <is>
          <t>1.0</t>
        </is>
      </c>
      <c r="E26" s="29" t="inlineStr">
        <is>
          <t>Approved</t>
        </is>
      </c>
      <c r="F26" s="29" t="inlineStr">
        <is>
          <t>09 - Templates and Forms/TL Forms</t>
        </is>
      </c>
      <c r="G26" s="29" t="inlineStr">
        <is>
          <t>28007 / 18788</t>
        </is>
      </c>
      <c r="H26" s="29" t="inlineStr">
        <is>
          <t>Group Compliance Director</t>
        </is>
      </c>
      <c r="I26" s="29" t="inlineStr">
        <is>
          <t>08/04/2026</t>
        </is>
      </c>
    </row>
    <row r="27">
      <c r="A27" s="29" t="inlineStr">
        <is>
          <t>SM/OPS/FORM/011</t>
        </is>
      </c>
      <c r="B27" s="29" t="inlineStr">
        <is>
          <t>Exit Port Report</t>
        </is>
      </c>
      <c r="C27" s="29" t="inlineStr">
        <is>
          <t>OPS</t>
        </is>
      </c>
      <c r="D27" s="29" t="inlineStr">
        <is>
          <t>1.0</t>
        </is>
      </c>
      <c r="E27" s="29" t="inlineStr">
        <is>
          <t>Approved</t>
        </is>
      </c>
      <c r="F27" s="29" t="inlineStr">
        <is>
          <t>09 - Templates and Forms/TL Forms</t>
        </is>
      </c>
      <c r="G27" s="29" t="inlineStr">
        <is>
          <t>28007 / 18788</t>
        </is>
      </c>
      <c r="H27" s="29" t="inlineStr">
        <is>
          <t>Group Compliance Director</t>
        </is>
      </c>
      <c r="I27" s="29" t="inlineStr">
        <is>
          <t>08/04/2026</t>
        </is>
      </c>
    </row>
    <row r="28">
      <c r="A28" s="29" t="inlineStr">
        <is>
          <t>SM/OPS/FORM/012</t>
        </is>
      </c>
      <c r="B28" s="29" t="inlineStr">
        <is>
          <t>48 Hours to Disembarkation Report</t>
        </is>
      </c>
      <c r="C28" s="29" t="inlineStr">
        <is>
          <t>OPS</t>
        </is>
      </c>
      <c r="D28" s="29" t="inlineStr">
        <is>
          <t>1.0</t>
        </is>
      </c>
      <c r="E28" s="29" t="inlineStr">
        <is>
          <t>Approved</t>
        </is>
      </c>
      <c r="F28" s="29" t="inlineStr">
        <is>
          <t>09 - Templates and Forms/TL Forms</t>
        </is>
      </c>
      <c r="G28" s="29" t="inlineStr">
        <is>
          <t>28007 / 18788</t>
        </is>
      </c>
      <c r="H28" s="29" t="inlineStr">
        <is>
          <t>Group Compliance Director</t>
        </is>
      </c>
      <c r="I28" s="29" t="inlineStr">
        <is>
          <t>08/04/2026</t>
        </is>
      </c>
    </row>
    <row r="29">
      <c r="A29" s="29" t="inlineStr">
        <is>
          <t>SM/OPS/FORM/013</t>
        </is>
      </c>
      <c r="B29" s="29" t="inlineStr">
        <is>
          <t>Disembarkation Report</t>
        </is>
      </c>
      <c r="C29" s="29" t="inlineStr">
        <is>
          <t>OPS</t>
        </is>
      </c>
      <c r="D29" s="29" t="inlineStr">
        <is>
          <t>1.0</t>
        </is>
      </c>
      <c r="E29" s="29" t="inlineStr">
        <is>
          <t>Approved</t>
        </is>
      </c>
      <c r="F29" s="29" t="inlineStr">
        <is>
          <t>09 - Templates and Forms/TL Forms</t>
        </is>
      </c>
      <c r="G29" s="29" t="inlineStr">
        <is>
          <t>28007 / 18788</t>
        </is>
      </c>
      <c r="H29" s="29" t="inlineStr">
        <is>
          <t>Group Compliance Director</t>
        </is>
      </c>
      <c r="I29" s="29" t="inlineStr">
        <is>
          <t>08/04/2026</t>
        </is>
      </c>
    </row>
    <row r="30">
      <c r="A30" s="29" t="inlineStr">
        <is>
          <t>SM/OPS/FORM/014</t>
        </is>
      </c>
      <c r="B30" s="29" t="inlineStr">
        <is>
          <t>Incident Report</t>
        </is>
      </c>
      <c r="C30" s="29" t="inlineStr">
        <is>
          <t>OPS</t>
        </is>
      </c>
      <c r="D30" s="29" t="inlineStr">
        <is>
          <t>1.0</t>
        </is>
      </c>
      <c r="E30" s="29" t="inlineStr">
        <is>
          <t>Approved</t>
        </is>
      </c>
      <c r="F30" s="29" t="inlineStr">
        <is>
          <t>09 - Templates and Forms/TL Forms</t>
        </is>
      </c>
      <c r="G30" s="29" t="inlineStr">
        <is>
          <t>28007 / 18788 / 45001</t>
        </is>
      </c>
      <c r="H30" s="29" t="inlineStr">
        <is>
          <t>Group Compliance Director</t>
        </is>
      </c>
      <c r="I30" s="29" t="inlineStr">
        <is>
          <t>08/04/2026</t>
        </is>
      </c>
    </row>
    <row r="31">
      <c r="A31" s="29" t="inlineStr">
        <is>
          <t>SM/OPS/FORM/015</t>
        </is>
      </c>
      <c r="B31" s="29" t="inlineStr">
        <is>
          <t>Embarked Training Return</t>
        </is>
      </c>
      <c r="C31" s="29" t="inlineStr">
        <is>
          <t>OPS</t>
        </is>
      </c>
      <c r="D31" s="29" t="inlineStr">
        <is>
          <t>1.0</t>
        </is>
      </c>
      <c r="E31" s="29" t="inlineStr">
        <is>
          <t>Approved</t>
        </is>
      </c>
      <c r="F31" s="29" t="inlineStr">
        <is>
          <t>09 - Templates and Forms/TL Forms</t>
        </is>
      </c>
      <c r="G31" s="29" t="inlineStr">
        <is>
          <t>28007 / 45001 (7.2)</t>
        </is>
      </c>
      <c r="H31" s="29" t="inlineStr">
        <is>
          <t>Group Compliance Director</t>
        </is>
      </c>
      <c r="I31" s="29" t="inlineStr">
        <is>
          <t>08/04/2026</t>
        </is>
      </c>
    </row>
    <row r="32">
      <c r="A32" s="29" t="inlineStr">
        <is>
          <t>SM/OPS/FORM/016</t>
        </is>
      </c>
      <c r="B32" s="29" t="inlineStr">
        <is>
          <t>First Aid Kit Check</t>
        </is>
      </c>
      <c r="C32" s="29" t="inlineStr">
        <is>
          <t>OPS</t>
        </is>
      </c>
      <c r="D32" s="29" t="inlineStr">
        <is>
          <t>1.0</t>
        </is>
      </c>
      <c r="E32" s="29" t="inlineStr">
        <is>
          <t>Approved</t>
        </is>
      </c>
      <c r="F32" s="29" t="inlineStr">
        <is>
          <t>09 - Templates and Forms/TL Forms</t>
        </is>
      </c>
      <c r="G32" s="29" t="inlineStr">
        <is>
          <t>45001</t>
        </is>
      </c>
      <c r="H32" s="29" t="inlineStr">
        <is>
          <t>Group Compliance Director</t>
        </is>
      </c>
      <c r="I32" s="29" t="inlineStr">
        <is>
          <t>08/04/2026</t>
        </is>
      </c>
    </row>
    <row r="33">
      <c r="A33" s="29" t="inlineStr">
        <is>
          <t>SM/OPS/FORM/017</t>
        </is>
      </c>
      <c r="B33" s="29" t="inlineStr">
        <is>
          <t>Vessel Details Form</t>
        </is>
      </c>
      <c r="C33" s="29" t="inlineStr">
        <is>
          <t>OPS</t>
        </is>
      </c>
      <c r="D33" s="29" t="inlineStr">
        <is>
          <t>1.0</t>
        </is>
      </c>
      <c r="E33" s="29" t="inlineStr">
        <is>
          <t>Approved</t>
        </is>
      </c>
      <c r="F33" s="29" t="inlineStr">
        <is>
          <t>09 - Templates and Forms/TL Forms</t>
        </is>
      </c>
      <c r="G33" s="29" t="inlineStr">
        <is>
          <t>28007 / 18788</t>
        </is>
      </c>
      <c r="H33" s="29" t="inlineStr">
        <is>
          <t>Group Compliance Director</t>
        </is>
      </c>
      <c r="I33" s="29" t="inlineStr">
        <is>
          <t>08/04/2026</t>
        </is>
      </c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5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HR Documents</t>
        </is>
      </c>
    </row>
    <row r="2" ht="15" customHeight="1" s="30">
      <c r="C2" s="32" t="inlineStr">
        <is>
          <t>SM/INT/REG/001  |  JD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SM/INT/JD/001</t>
        </is>
      </c>
      <c r="B5" s="44" t="inlineStr">
        <is>
          <t>QHSE Manager Job Description</t>
        </is>
      </c>
      <c r="C5" s="45" t="inlineStr">
        <is>
          <t>INT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05 / Job Descriptions</t>
        </is>
      </c>
      <c r="G5" s="44" t="inlineStr">
        <is>
          <t>All</t>
        </is>
      </c>
      <c r="H5" s="45" t="inlineStr">
        <is>
          <t>Group Compliance Director</t>
        </is>
      </c>
      <c r="I5" s="45" t="inlineStr">
        <is>
          <t>06/03/2026</t>
        </is>
      </c>
      <c r="J5" s="45" t="inlineStr">
        <is>
          <t>06/03/2027</t>
        </is>
      </c>
      <c r="K5" s="44" t="inlineStr">
        <is>
          <t>SM-JD-QHSE Manager-06.03.2026</t>
        </is>
      </c>
      <c r="L5" s="44" t="n"/>
    </row>
    <row r="6" ht="43.25" customHeight="1" s="30">
      <c r="A6" s="43" t="inlineStr">
        <is>
          <t>SM/INT/JD/002</t>
        </is>
      </c>
      <c r="B6" s="44" t="inlineStr">
        <is>
          <t>Compliance Administrator Job Description</t>
        </is>
      </c>
      <c r="C6" s="45" t="inlineStr">
        <is>
          <t>INT</t>
        </is>
      </c>
      <c r="D6" s="45" t="inlineStr">
        <is>
          <t>1.0</t>
        </is>
      </c>
      <c r="E6" s="45" t="inlineStr">
        <is>
          <t>Approved</t>
        </is>
      </c>
      <c r="F6" s="44" t="inlineStr">
        <is>
          <t>05 - Human Resources / Job Descriptions</t>
        </is>
      </c>
      <c r="G6" s="44" t="inlineStr">
        <is>
          <t>All</t>
        </is>
      </c>
      <c r="H6" s="45" t="inlineStr">
        <is>
          <t>Group Compliance Director</t>
        </is>
      </c>
      <c r="I6" s="45" t="inlineStr">
        <is>
          <t>Pavel Shparber, CEO / Darren Watts, GCD</t>
        </is>
      </c>
      <c r="J6" s="45" t="inlineStr">
        <is>
          <t>30 March 2026</t>
        </is>
      </c>
      <c r="K6" s="44" t="n"/>
    </row>
    <row r="7" ht="15" customHeight="1" s="30">
      <c r="A7" s="29" t="inlineStr">
        <is>
          <t>SM/INT/JD/003</t>
        </is>
      </c>
      <c r="B7" s="29" t="inlineStr">
        <is>
          <t>QHSE Manager</t>
        </is>
      </c>
      <c r="C7" s="29" t="inlineStr">
        <is>
          <t>INT</t>
        </is>
      </c>
      <c r="D7" s="29" t="inlineStr">
        <is>
          <t>1.0</t>
        </is>
      </c>
      <c r="E7" s="29" t="inlineStr">
        <is>
          <t>Approved</t>
        </is>
      </c>
      <c r="F7" s="29" t="inlineStr">
        <is>
          <t>05 / Job Descriptions</t>
        </is>
      </c>
      <c r="G7" s="29" t="inlineStr">
        <is>
          <t>All</t>
        </is>
      </c>
      <c r="H7" s="29" t="inlineStr">
        <is>
          <t>Group Compliance Director</t>
        </is>
      </c>
      <c r="I7" s="29" t="inlineStr">
        <is>
          <t>30 March 2026</t>
        </is>
      </c>
      <c r="J7" s="29" t="inlineStr">
        <is>
          <t>As per Document Register defined review date, or upon significant change to role</t>
        </is>
      </c>
    </row>
    <row r="8" ht="15" customHeight="1" s="30">
      <c r="A8" s="29" t="inlineStr">
        <is>
          <t>SM/INT/JD/004</t>
        </is>
      </c>
      <c r="B8" s="29" t="inlineStr">
        <is>
          <t>Group Compliance Director</t>
        </is>
      </c>
      <c r="C8" s="29" t="inlineStr">
        <is>
          <t>INT</t>
        </is>
      </c>
      <c r="D8" s="29" t="inlineStr">
        <is>
          <t>1.0</t>
        </is>
      </c>
      <c r="E8" s="29" t="inlineStr">
        <is>
          <t>Approved</t>
        </is>
      </c>
      <c r="F8" s="29" t="inlineStr">
        <is>
          <t>05 / Job Descriptions</t>
        </is>
      </c>
      <c r="G8" s="29" t="inlineStr">
        <is>
          <t>All</t>
        </is>
      </c>
      <c r="H8" s="29" t="inlineStr">
        <is>
          <t>Group Compliance Director</t>
        </is>
      </c>
      <c r="I8" s="29" t="inlineStr">
        <is>
          <t>30 March 2026</t>
        </is>
      </c>
      <c r="J8" s="29" t="inlineStr">
        <is>
          <t>As per Document Register defined review date, or upon significant change to role</t>
        </is>
      </c>
    </row>
    <row r="9" ht="15" customHeight="1" s="30">
      <c r="C9" s="29" t="n"/>
      <c r="E9" s="29" t="n"/>
    </row>
    <row r="10" ht="15" customHeight="1" s="30">
      <c r="C10" s="29" t="n"/>
      <c r="E10" s="29" t="n"/>
    </row>
    <row r="11" ht="15" customHeight="1" s="30">
      <c r="C11" s="29" t="n"/>
      <c r="E11" s="29" t="n"/>
    </row>
    <row r="12" ht="15" customHeight="1" s="30">
      <c r="C12" s="29" t="n"/>
      <c r="E12" s="29" t="n"/>
    </row>
    <row r="13" ht="15" customHeight="1" s="30">
      <c r="C13" s="29" t="n"/>
      <c r="E13" s="29" t="n"/>
    </row>
    <row r="14" ht="15" customHeight="1" s="30">
      <c r="C14" s="29" t="n"/>
      <c r="E14" s="29" t="n"/>
    </row>
    <row r="15" ht="15" customHeight="1" s="30">
      <c r="C15" s="29" t="n"/>
      <c r="E15" s="29" t="n"/>
    </row>
    <row r="16" ht="15" customHeight="1" s="30">
      <c r="C16" s="29" t="n"/>
      <c r="E16" s="29" t="n"/>
    </row>
    <row r="17" ht="15" customHeight="1" s="30">
      <c r="C17" s="29" t="n"/>
      <c r="E17" s="29" t="n"/>
    </row>
    <row r="18" ht="15" customHeight="1" s="30">
      <c r="C18" s="29" t="n"/>
      <c r="E18" s="29" t="n"/>
    </row>
    <row r="19" ht="15" customHeight="1" s="30">
      <c r="C19" s="29" t="n"/>
      <c r="E19" s="29" t="n"/>
    </row>
    <row r="20" ht="15" customHeight="1" s="30">
      <c r="C20" s="29" t="n"/>
      <c r="E20" s="29" t="n"/>
    </row>
    <row r="21" ht="15" customHeight="1" s="30">
      <c r="C21" s="29" t="n"/>
      <c r="E21" s="29" t="n"/>
    </row>
    <row r="22" ht="15" customHeight="1" s="30">
      <c r="C22" s="29" t="n"/>
      <c r="E22" s="29" t="n"/>
    </row>
    <row r="23" ht="15" customHeight="1" s="30">
      <c r="C23" s="29" t="n"/>
      <c r="E23" s="29" t="n"/>
    </row>
    <row r="24" ht="15" customHeight="1" s="30">
      <c r="C24" s="29" t="n"/>
      <c r="E24" s="29" t="n"/>
    </row>
    <row r="25" ht="15" customHeight="1" s="30">
      <c r="C25" s="29" t="n"/>
      <c r="E25" s="29" t="n"/>
    </row>
    <row r="26" ht="15" customHeight="1" s="30">
      <c r="C26" s="29" t="n"/>
      <c r="E26" s="29" t="n"/>
    </row>
    <row r="27" ht="15" customHeight="1" s="30">
      <c r="C27" s="29" t="n"/>
      <c r="E27" s="29" t="n"/>
    </row>
    <row r="28" ht="15" customHeight="1" s="30">
      <c r="C28" s="29" t="n"/>
      <c r="E28" s="29" t="n"/>
    </row>
    <row r="29" ht="15" customHeight="1" s="30">
      <c r="C29" s="29" t="n"/>
      <c r="E29" s="29" t="n"/>
    </row>
    <row r="30" ht="15" customHeight="1" s="30">
      <c r="C30" s="29" t="n"/>
      <c r="E30" s="29" t="n"/>
    </row>
    <row r="31" ht="15" customHeight="1" s="30">
      <c r="C31" s="29" t="n"/>
      <c r="E31" s="29" t="n"/>
    </row>
    <row r="32" ht="15" customHeight="1" s="30">
      <c r="C32" s="29" t="n"/>
      <c r="E32" s="29" t="n"/>
    </row>
    <row r="33" ht="15" customHeight="1" s="30">
      <c r="C33" s="29" t="n"/>
      <c r="E33" s="29" t="n"/>
    </row>
    <row r="34" ht="15" customHeight="1" s="30">
      <c r="C34" s="29" t="n"/>
      <c r="E34" s="29" t="n"/>
    </row>
    <row r="35" ht="15" customHeight="1" s="30">
      <c r="C35" s="29" t="n"/>
      <c r="E35" s="29" t="n"/>
    </row>
    <row r="36" ht="15" customHeight="1" s="30">
      <c r="C36" s="29" t="n"/>
      <c r="E36" s="29" t="n"/>
    </row>
    <row r="37" ht="15" customHeight="1" s="30">
      <c r="C37" s="29" t="n"/>
      <c r="E37" s="29" t="n"/>
    </row>
    <row r="38" ht="15" customHeight="1" s="30">
      <c r="C38" s="29" t="n"/>
      <c r="E38" s="29" t="n"/>
    </row>
    <row r="39" ht="15" customHeight="1" s="30">
      <c r="C39" s="29" t="n"/>
      <c r="E39" s="29" t="n"/>
    </row>
    <row r="40" ht="15" customHeight="1" s="30">
      <c r="C40" s="29" t="n"/>
      <c r="E40" s="29" t="n"/>
    </row>
    <row r="41" ht="15" customHeight="1" s="30">
      <c r="C41" s="29" t="n"/>
      <c r="E41" s="29" t="n"/>
    </row>
    <row r="42" ht="15" customHeight="1" s="30">
      <c r="C42" s="29" t="n"/>
      <c r="E42" s="29" t="n"/>
    </row>
    <row r="43" ht="15" customHeight="1" s="30">
      <c r="C43" s="29" t="n"/>
      <c r="E43" s="29" t="n"/>
    </row>
    <row r="44" ht="15" customHeight="1" s="30">
      <c r="C44" s="29" t="n"/>
      <c r="E44" s="29" t="n"/>
    </row>
    <row r="45" ht="15" customHeight="1" s="30">
      <c r="C45" s="29" t="n"/>
      <c r="E45" s="29" t="n"/>
    </row>
    <row r="46" ht="15" customHeight="1" s="30">
      <c r="C46" s="29" t="n"/>
      <c r="E46" s="29" t="n"/>
    </row>
    <row r="47" ht="15" customHeight="1" s="30">
      <c r="C47" s="29" t="n"/>
      <c r="E47" s="29" t="n"/>
    </row>
    <row r="48" ht="15" customHeight="1" s="30">
      <c r="C48" s="29" t="n"/>
      <c r="E48" s="29" t="n"/>
    </row>
    <row r="49" ht="15" customHeight="1" s="30">
      <c r="C49" s="29" t="n"/>
      <c r="E49" s="29" t="n"/>
    </row>
    <row r="50" ht="15" customHeight="1" s="30">
      <c r="C50" s="29" t="n"/>
      <c r="E50" s="29" t="n"/>
    </row>
    <row r="51" ht="15" customHeight="1" s="30">
      <c r="C51" s="29" t="n"/>
      <c r="E51" s="29" t="n"/>
    </row>
    <row r="52" ht="15" customHeight="1" s="30">
      <c r="C52" s="29" t="n"/>
      <c r="E52" s="29" t="n"/>
    </row>
    <row r="53" ht="15" customHeight="1" s="30">
      <c r="C53" s="29" t="n"/>
      <c r="E53" s="29" t="n"/>
    </row>
    <row r="54" ht="15" customHeight="1" s="30">
      <c r="C54" s="29" t="n"/>
      <c r="E54" s="29" t="n"/>
    </row>
    <row r="55" ht="15" customHeight="1" s="30">
      <c r="C55" s="29" t="n"/>
      <c r="E55" s="29" t="n"/>
    </row>
    <row r="56" ht="15" customHeight="1" s="30">
      <c r="C56" s="29" t="n"/>
      <c r="E56" s="29" t="n"/>
    </row>
    <row r="57" ht="15" customHeight="1" s="30">
      <c r="C57" s="29" t="n"/>
      <c r="E57" s="29" t="n"/>
    </row>
    <row r="58" ht="15" customHeight="1" s="30">
      <c r="C58" s="29" t="n"/>
      <c r="E58" s="29" t="n"/>
    </row>
    <row r="59" ht="15" customHeight="1" s="30">
      <c r="C59" s="29" t="n"/>
      <c r="E59" s="29" t="n"/>
    </row>
    <row r="60" ht="15" customHeight="1" s="30">
      <c r="C60" s="29" t="n"/>
      <c r="E60" s="29" t="n"/>
    </row>
    <row r="61" ht="15" customHeight="1" s="30">
      <c r="C61" s="29" t="n"/>
      <c r="E61" s="29" t="n"/>
    </row>
    <row r="62" ht="15" customHeight="1" s="30">
      <c r="C62" s="29" t="n"/>
      <c r="E62" s="29" t="n"/>
    </row>
    <row r="63" ht="15" customHeight="1" s="30">
      <c r="C63" s="29" t="n"/>
      <c r="E63" s="29" t="n"/>
    </row>
    <row r="64" ht="15" customHeight="1" s="30">
      <c r="C64" s="29" t="n"/>
      <c r="E64" s="29" t="n"/>
    </row>
    <row r="65" ht="15" customHeight="1" s="30">
      <c r="C65" s="29" t="n"/>
      <c r="E65" s="29" t="n"/>
    </row>
    <row r="66" ht="15" customHeight="1" s="30">
      <c r="C66" s="29" t="n"/>
      <c r="E66" s="29" t="n"/>
    </row>
    <row r="67" ht="15" customHeight="1" s="30">
      <c r="C67" s="29" t="n"/>
      <c r="E67" s="29" t="n"/>
    </row>
    <row r="68" ht="15" customHeight="1" s="30">
      <c r="C68" s="29" t="n"/>
      <c r="E68" s="29" t="n"/>
    </row>
    <row r="69" ht="15" customHeight="1" s="30">
      <c r="C69" s="29" t="n"/>
      <c r="E69" s="29" t="n"/>
    </row>
    <row r="70" ht="15" customHeight="1" s="30">
      <c r="C70" s="29" t="n"/>
      <c r="E70" s="29" t="n"/>
    </row>
    <row r="71" ht="15" customHeight="1" s="30">
      <c r="C71" s="29" t="n"/>
      <c r="E71" s="29" t="n"/>
    </row>
    <row r="72" ht="15" customHeight="1" s="30">
      <c r="C72" s="29" t="n"/>
      <c r="E72" s="29" t="n"/>
    </row>
    <row r="73" ht="15" customHeight="1" s="30">
      <c r="C73" s="29" t="n"/>
      <c r="E73" s="29" t="n"/>
    </row>
    <row r="74" ht="15" customHeight="1" s="30">
      <c r="C74" s="29" t="n"/>
      <c r="E74" s="29" t="n"/>
    </row>
    <row r="75" ht="15" customHeight="1" s="30">
      <c r="C75" s="29" t="n"/>
      <c r="E75" s="29" t="n"/>
    </row>
    <row r="76" ht="15" customHeight="1" s="30">
      <c r="C76" s="29" t="n"/>
      <c r="E76" s="29" t="n"/>
    </row>
    <row r="77" ht="15" customHeight="1" s="30">
      <c r="C77" s="29" t="n"/>
      <c r="E77" s="29" t="n"/>
    </row>
    <row r="78" ht="15" customHeight="1" s="30">
      <c r="C78" s="29" t="n"/>
      <c r="E78" s="29" t="n"/>
    </row>
    <row r="79" ht="15" customHeight="1" s="30">
      <c r="C79" s="29" t="n"/>
      <c r="E79" s="29" t="n"/>
    </row>
    <row r="80" ht="15" customHeight="1" s="30">
      <c r="C80" s="29" t="n"/>
      <c r="E80" s="29" t="n"/>
    </row>
    <row r="81" ht="15" customHeight="1" s="30">
      <c r="C81" s="29" t="n"/>
      <c r="E81" s="29" t="n"/>
    </row>
    <row r="82" ht="15" customHeight="1" s="30">
      <c r="C82" s="29" t="n"/>
      <c r="E82" s="29" t="n"/>
    </row>
    <row r="83" ht="15" customHeight="1" s="30">
      <c r="C83" s="29" t="n"/>
      <c r="E83" s="29" t="n"/>
    </row>
    <row r="84" ht="15" customHeight="1" s="30">
      <c r="C84" s="29" t="n"/>
      <c r="E84" s="29" t="n"/>
    </row>
    <row r="85" ht="15" customHeight="1" s="30">
      <c r="C85" s="29" t="n"/>
      <c r="E85" s="29" t="n"/>
    </row>
    <row r="86" ht="15" customHeight="1" s="30">
      <c r="C86" s="29" t="n"/>
      <c r="E86" s="29" t="n"/>
    </row>
    <row r="87" ht="15" customHeight="1" s="30">
      <c r="C87" s="29" t="n"/>
      <c r="E87" s="29" t="n"/>
    </row>
    <row r="88" ht="15" customHeight="1" s="30">
      <c r="C88" s="29" t="n"/>
      <c r="E88" s="29" t="n"/>
    </row>
    <row r="89" ht="15" customHeight="1" s="30">
      <c r="C89" s="29" t="n"/>
      <c r="E89" s="29" t="n"/>
    </row>
    <row r="90" ht="15" customHeight="1" s="30">
      <c r="C90" s="29" t="n"/>
      <c r="E90" s="29" t="n"/>
    </row>
    <row r="91" ht="15" customHeight="1" s="30">
      <c r="C91" s="29" t="n"/>
      <c r="E91" s="29" t="n"/>
    </row>
    <row r="92" ht="15" customHeight="1" s="30">
      <c r="C92" s="29" t="n"/>
      <c r="E92" s="29" t="n"/>
    </row>
    <row r="93" ht="15" customHeight="1" s="30">
      <c r="C93" s="29" t="n"/>
      <c r="E93" s="29" t="n"/>
    </row>
    <row r="94" ht="15" customHeight="1" s="30">
      <c r="C94" s="29" t="n"/>
      <c r="E94" s="29" t="n"/>
    </row>
    <row r="95" ht="15" customHeight="1" s="30">
      <c r="C95" s="29" t="n"/>
      <c r="E95" s="29" t="n"/>
    </row>
    <row r="96" ht="15" customHeight="1" s="30">
      <c r="C96" s="29" t="n"/>
      <c r="E96" s="29" t="n"/>
    </row>
    <row r="97" ht="15" customHeight="1" s="30">
      <c r="C97" s="29" t="n"/>
      <c r="E97" s="29" t="n"/>
    </row>
    <row r="98" ht="15" customHeight="1" s="30">
      <c r="C98" s="29" t="n"/>
      <c r="E98" s="29" t="n"/>
    </row>
    <row r="99" ht="15" customHeight="1" s="30">
      <c r="C99" s="29" t="n"/>
      <c r="E99" s="29" t="n"/>
    </row>
    <row r="100" ht="15" customHeight="1" s="30">
      <c r="C100" s="29" t="n"/>
      <c r="E100" s="29" t="n"/>
    </row>
    <row r="101" ht="15" customHeight="1" s="30">
      <c r="C101" s="29" t="n"/>
      <c r="E101" s="29" t="n"/>
    </row>
    <row r="102" ht="15" customHeight="1" s="30">
      <c r="C102" s="29" t="n"/>
      <c r="E102" s="29" t="n"/>
    </row>
    <row r="103" ht="15" customHeight="1" s="30">
      <c r="C103" s="29" t="n"/>
      <c r="E103" s="29" t="n"/>
    </row>
    <row r="104" ht="15" customHeight="1" s="30">
      <c r="C104" s="29" t="n"/>
      <c r="E104" s="29" t="n"/>
    </row>
    <row r="105" ht="15" customHeight="1" s="30">
      <c r="C105" s="29" t="n"/>
      <c r="E105" s="29" t="n"/>
    </row>
    <row r="106" ht="15" customHeight="1" s="30">
      <c r="C106" s="29" t="n"/>
      <c r="E106" s="29" t="n"/>
    </row>
    <row r="107" ht="15" customHeight="1" s="30">
      <c r="C107" s="29" t="n"/>
      <c r="E107" s="29" t="n"/>
    </row>
    <row r="108" ht="15" customHeight="1" s="30">
      <c r="C108" s="29" t="n"/>
      <c r="E108" s="29" t="n"/>
    </row>
    <row r="109" ht="15" customHeight="1" s="30">
      <c r="C109" s="29" t="n"/>
      <c r="E109" s="29" t="n"/>
    </row>
    <row r="110" ht="15" customHeight="1" s="30">
      <c r="C110" s="29" t="n"/>
      <c r="E110" s="29" t="n"/>
    </row>
    <row r="111" ht="15" customHeight="1" s="30">
      <c r="C111" s="29" t="n"/>
      <c r="E111" s="29" t="n"/>
    </row>
    <row r="112" ht="15" customHeight="1" s="30">
      <c r="C112" s="29" t="n"/>
      <c r="E112" s="29" t="n"/>
    </row>
    <row r="113" ht="15" customHeight="1" s="30">
      <c r="C113" s="29" t="n"/>
      <c r="E113" s="29" t="n"/>
    </row>
    <row r="114" ht="15" customHeight="1" s="30">
      <c r="C114" s="29" t="n"/>
      <c r="E114" s="29" t="n"/>
    </row>
    <row r="115" ht="15" customHeight="1" s="30">
      <c r="C115" s="29" t="n"/>
      <c r="E115" s="29" t="n"/>
    </row>
    <row r="116" ht="15" customHeight="1" s="30">
      <c r="C116" s="29" t="n"/>
      <c r="E116" s="29" t="n"/>
    </row>
    <row r="117" ht="15" customHeight="1" s="30">
      <c r="C117" s="29" t="n"/>
      <c r="E117" s="29" t="n"/>
    </row>
    <row r="118" ht="15" customHeight="1" s="30">
      <c r="C118" s="29" t="n"/>
      <c r="E118" s="29" t="n"/>
    </row>
    <row r="119" ht="15" customHeight="1" s="30">
      <c r="C119" s="29" t="n"/>
      <c r="E119" s="29" t="n"/>
    </row>
    <row r="120" ht="15" customHeight="1" s="30">
      <c r="C120" s="29" t="n"/>
      <c r="E120" s="29" t="n"/>
    </row>
    <row r="121" ht="15" customHeight="1" s="30">
      <c r="C121" s="29" t="n"/>
      <c r="E121" s="29" t="n"/>
    </row>
    <row r="122" ht="15" customHeight="1" s="30">
      <c r="C122" s="29" t="n"/>
      <c r="E122" s="29" t="n"/>
    </row>
    <row r="123" ht="15" customHeight="1" s="30">
      <c r="C123" s="29" t="n"/>
      <c r="E123" s="29" t="n"/>
    </row>
    <row r="124" ht="15" customHeight="1" s="30">
      <c r="C124" s="29" t="n"/>
      <c r="E124" s="29" t="n"/>
    </row>
    <row r="125" ht="15" customHeight="1" s="30">
      <c r="C125" s="29" t="n"/>
      <c r="E125" s="29" t="n"/>
    </row>
    <row r="126" ht="15" customHeight="1" s="30">
      <c r="C126" s="29" t="n"/>
      <c r="E126" s="29" t="n"/>
    </row>
    <row r="127" ht="15" customHeight="1" s="30">
      <c r="C127" s="29" t="n"/>
      <c r="E127" s="29" t="n"/>
    </row>
    <row r="128" ht="15" customHeight="1" s="30">
      <c r="C128" s="29" t="n"/>
      <c r="E128" s="29" t="n"/>
    </row>
    <row r="129" ht="15" customHeight="1" s="30">
      <c r="C129" s="29" t="n"/>
      <c r="E129" s="29" t="n"/>
    </row>
    <row r="130" ht="15" customHeight="1" s="30">
      <c r="C130" s="29" t="n"/>
      <c r="E130" s="29" t="n"/>
    </row>
    <row r="131" ht="15" customHeight="1" s="30">
      <c r="C131" s="29" t="n"/>
      <c r="E131" s="29" t="n"/>
    </row>
    <row r="132" ht="15" customHeight="1" s="30">
      <c r="C132" s="29" t="n"/>
      <c r="E132" s="29" t="n"/>
    </row>
    <row r="133" ht="15" customHeight="1" s="30">
      <c r="C133" s="29" t="n"/>
      <c r="E133" s="29" t="n"/>
    </row>
    <row r="134" ht="15" customHeight="1" s="30">
      <c r="C134" s="29" t="n"/>
      <c r="E134" s="29" t="n"/>
    </row>
    <row r="135" ht="15" customHeight="1" s="30">
      <c r="C135" s="29" t="n"/>
      <c r="E135" s="29" t="n"/>
    </row>
    <row r="136" ht="15" customHeight="1" s="30">
      <c r="C136" s="29" t="n"/>
      <c r="E136" s="29" t="n"/>
    </row>
    <row r="137" ht="15" customHeight="1" s="30">
      <c r="C137" s="29" t="n"/>
      <c r="E137" s="29" t="n"/>
    </row>
    <row r="138" ht="15" customHeight="1" s="30">
      <c r="C138" s="29" t="n"/>
      <c r="E138" s="29" t="n"/>
    </row>
    <row r="139" ht="15" customHeight="1" s="30">
      <c r="C139" s="29" t="n"/>
      <c r="E139" s="29" t="n"/>
    </row>
    <row r="140" ht="15" customHeight="1" s="30">
      <c r="C140" s="29" t="n"/>
      <c r="E140" s="29" t="n"/>
    </row>
    <row r="141" ht="15" customHeight="1" s="30">
      <c r="C141" s="29" t="n"/>
      <c r="E141" s="29" t="n"/>
    </row>
    <row r="142" ht="15" customHeight="1" s="30">
      <c r="C142" s="29" t="n"/>
      <c r="E142" s="29" t="n"/>
    </row>
    <row r="143" ht="15" customHeight="1" s="30">
      <c r="C143" s="29" t="n"/>
      <c r="E143" s="29" t="n"/>
    </row>
    <row r="144" ht="15" customHeight="1" s="30">
      <c r="C144" s="29" t="n"/>
      <c r="E144" s="29" t="n"/>
    </row>
    <row r="145" ht="15" customHeight="1" s="30">
      <c r="C145" s="29" t="n"/>
      <c r="E145" s="29" t="n"/>
    </row>
    <row r="146" ht="15" customHeight="1" s="30">
      <c r="C146" s="29" t="n"/>
      <c r="E146" s="29" t="n"/>
    </row>
    <row r="147" ht="15" customHeight="1" s="30">
      <c r="C147" s="29" t="n"/>
      <c r="E147" s="29" t="n"/>
    </row>
    <row r="148" ht="15" customHeight="1" s="30">
      <c r="C148" s="29" t="n"/>
      <c r="E148" s="29" t="n"/>
    </row>
    <row r="149" ht="15" customHeight="1" s="30">
      <c r="C149" s="29" t="n"/>
      <c r="E149" s="29" t="n"/>
    </row>
    <row r="150" ht="15" customHeight="1" s="30">
      <c r="C150" s="29" t="n"/>
      <c r="E150" s="29" t="n"/>
    </row>
    <row r="151" ht="15" customHeight="1" s="30">
      <c r="C151" s="29" t="n"/>
      <c r="E151" s="29" t="n"/>
    </row>
    <row r="152" ht="15" customHeight="1" s="30">
      <c r="C152" s="29" t="n"/>
      <c r="E152" s="29" t="n"/>
    </row>
    <row r="153" ht="15" customHeight="1" s="30">
      <c r="C153" s="29" t="n"/>
      <c r="E153" s="29" t="n"/>
    </row>
    <row r="154" ht="15" customHeight="1" s="30">
      <c r="C154" s="29" t="n"/>
      <c r="E154" s="29" t="n"/>
    </row>
    <row r="155" ht="15" customHeight="1" s="30">
      <c r="C155" s="29" t="n"/>
      <c r="E155" s="29" t="n"/>
    </row>
    <row r="156" ht="15" customHeight="1" s="30">
      <c r="C156" s="29" t="n"/>
      <c r="E156" s="29" t="n"/>
    </row>
    <row r="157" ht="15" customHeight="1" s="30">
      <c r="C157" s="29" t="n"/>
      <c r="E157" s="29" t="n"/>
    </row>
    <row r="158" ht="15" customHeight="1" s="30">
      <c r="C158" s="29" t="n"/>
      <c r="E158" s="29" t="n"/>
    </row>
    <row r="159" ht="15" customHeight="1" s="30">
      <c r="C159" s="29" t="n"/>
      <c r="E159" s="29" t="n"/>
    </row>
    <row r="160" ht="15" customHeight="1" s="30">
      <c r="C160" s="29" t="n"/>
      <c r="E160" s="29" t="n"/>
    </row>
    <row r="161" ht="15" customHeight="1" s="30">
      <c r="C161" s="29" t="n"/>
      <c r="E161" s="29" t="n"/>
    </row>
    <row r="162" ht="15" customHeight="1" s="30">
      <c r="C162" s="29" t="n"/>
      <c r="E162" s="29" t="n"/>
    </row>
    <row r="163" ht="15" customHeight="1" s="30">
      <c r="C163" s="29" t="n"/>
      <c r="E163" s="29" t="n"/>
    </row>
    <row r="164" ht="15" customHeight="1" s="30">
      <c r="C164" s="29" t="n"/>
      <c r="E164" s="29" t="n"/>
    </row>
    <row r="165" ht="15" customHeight="1" s="30">
      <c r="C165" s="29" t="n"/>
      <c r="E165" s="29" t="n"/>
    </row>
    <row r="166" ht="15" customHeight="1" s="30">
      <c r="C166" s="29" t="n"/>
      <c r="E166" s="29" t="n"/>
    </row>
    <row r="167" ht="15" customHeight="1" s="30">
      <c r="C167" s="29" t="n"/>
      <c r="E167" s="29" t="n"/>
    </row>
    <row r="168" ht="15" customHeight="1" s="30">
      <c r="C168" s="29" t="n"/>
      <c r="E168" s="29" t="n"/>
    </row>
    <row r="169" ht="15" customHeight="1" s="30">
      <c r="C169" s="29" t="n"/>
      <c r="E169" s="29" t="n"/>
    </row>
    <row r="170" ht="15" customHeight="1" s="30">
      <c r="C170" s="29" t="n"/>
      <c r="E170" s="29" t="n"/>
    </row>
    <row r="171" ht="15" customHeight="1" s="30">
      <c r="C171" s="29" t="n"/>
      <c r="E171" s="29" t="n"/>
    </row>
    <row r="172" ht="15" customHeight="1" s="30">
      <c r="C172" s="29" t="n"/>
      <c r="E172" s="29" t="n"/>
    </row>
    <row r="173" ht="15" customHeight="1" s="30">
      <c r="C173" s="29" t="n"/>
      <c r="E173" s="29" t="n"/>
    </row>
    <row r="174" ht="15" customHeight="1" s="30">
      <c r="C174" s="29" t="n"/>
      <c r="E174" s="29" t="n"/>
    </row>
    <row r="175" ht="15" customHeight="1" s="30">
      <c r="C175" s="29" t="n"/>
      <c r="E175" s="29" t="n"/>
    </row>
    <row r="176" ht="15" customHeight="1" s="30">
      <c r="C176" s="29" t="n"/>
      <c r="E176" s="29" t="n"/>
    </row>
    <row r="177" ht="15" customHeight="1" s="30">
      <c r="C177" s="29" t="n"/>
      <c r="E177" s="29" t="n"/>
    </row>
    <row r="178" ht="15" customHeight="1" s="30">
      <c r="C178" s="29" t="n"/>
      <c r="E178" s="29" t="n"/>
    </row>
    <row r="179" ht="15" customHeight="1" s="30">
      <c r="C179" s="29" t="n"/>
      <c r="E179" s="29" t="n"/>
    </row>
    <row r="180" ht="15" customHeight="1" s="30">
      <c r="C180" s="29" t="n"/>
      <c r="E180" s="29" t="n"/>
    </row>
    <row r="181" ht="15" customHeight="1" s="30">
      <c r="C181" s="29" t="n"/>
      <c r="E181" s="29" t="n"/>
    </row>
    <row r="182" ht="15" customHeight="1" s="30">
      <c r="C182" s="29" t="n"/>
      <c r="E182" s="29" t="n"/>
    </row>
    <row r="183" ht="15" customHeight="1" s="30">
      <c r="C183" s="29" t="n"/>
      <c r="E183" s="29" t="n"/>
    </row>
    <row r="184" ht="15" customHeight="1" s="30">
      <c r="C184" s="29" t="n"/>
      <c r="E184" s="29" t="n"/>
    </row>
    <row r="185" ht="15" customHeight="1" s="30">
      <c r="C185" s="29" t="n"/>
      <c r="E185" s="29" t="n"/>
    </row>
    <row r="186" ht="15" customHeight="1" s="30">
      <c r="C186" s="29" t="n"/>
      <c r="E186" s="29" t="n"/>
    </row>
    <row r="187" ht="15" customHeight="1" s="30">
      <c r="C187" s="29" t="n"/>
      <c r="E187" s="29" t="n"/>
    </row>
    <row r="188" ht="15" customHeight="1" s="30">
      <c r="C188" s="29" t="n"/>
      <c r="E188" s="29" t="n"/>
    </row>
    <row r="189" ht="15" customHeight="1" s="30">
      <c r="C189" s="29" t="n"/>
      <c r="E189" s="29" t="n"/>
    </row>
    <row r="190" ht="15" customHeight="1" s="30">
      <c r="C190" s="29" t="n"/>
      <c r="E190" s="29" t="n"/>
    </row>
    <row r="191" ht="15" customHeight="1" s="30">
      <c r="C191" s="29" t="n"/>
      <c r="E191" s="29" t="n"/>
    </row>
    <row r="192" ht="15" customHeight="1" s="30">
      <c r="C192" s="29" t="n"/>
      <c r="E192" s="29" t="n"/>
    </row>
    <row r="193" ht="15" customHeight="1" s="30">
      <c r="C193" s="29" t="n"/>
      <c r="E193" s="29" t="n"/>
    </row>
    <row r="194" ht="15" customHeight="1" s="30">
      <c r="C194" s="29" t="n"/>
      <c r="E194" s="29" t="n"/>
    </row>
    <row r="195" ht="15" customHeight="1" s="30">
      <c r="C195" s="29" t="n"/>
      <c r="E195" s="29" t="n"/>
    </row>
    <row r="196" ht="15" customHeight="1" s="30">
      <c r="C196" s="29" t="n"/>
      <c r="E196" s="29" t="n"/>
    </row>
    <row r="197" ht="15" customHeight="1" s="30">
      <c r="C197" s="29" t="n"/>
      <c r="E197" s="29" t="n"/>
    </row>
    <row r="198" ht="15" customHeight="1" s="30">
      <c r="C198" s="29" t="n"/>
      <c r="E198" s="29" t="n"/>
    </row>
    <row r="199" ht="15" customHeight="1" s="30">
      <c r="C199" s="29" t="n"/>
      <c r="E199" s="29" t="n"/>
    </row>
    <row r="200" ht="15" customHeight="1" s="30">
      <c r="C200" s="29" t="n"/>
      <c r="E200" s="29" t="n"/>
    </row>
    <row r="201" ht="15" customHeight="1" s="30">
      <c r="C201" s="29" t="n"/>
      <c r="E201" s="29" t="n"/>
    </row>
    <row r="202" ht="15" customHeight="1" s="30">
      <c r="C202" s="29" t="n"/>
      <c r="E202" s="29" t="n"/>
    </row>
    <row r="203" ht="15" customHeight="1" s="30">
      <c r="C203" s="29" t="n"/>
      <c r="E203" s="29" t="n"/>
    </row>
    <row r="204" ht="15" customHeight="1" s="30">
      <c r="C204" s="29" t="n"/>
      <c r="E204" s="29" t="n"/>
    </row>
    <row r="205" ht="15" customHeight="1" s="30">
      <c r="C205" s="29" t="n"/>
      <c r="E205" s="29" t="n"/>
    </row>
    <row r="206" ht="15" customHeight="1" s="30">
      <c r="C206" s="29" t="n"/>
      <c r="E206" s="29" t="n"/>
    </row>
    <row r="207" ht="15" customHeight="1" s="30">
      <c r="C207" s="29" t="n"/>
      <c r="E207" s="29" t="n"/>
    </row>
    <row r="208" ht="15" customHeight="1" s="30">
      <c r="C208" s="29" t="n"/>
      <c r="E208" s="29" t="n"/>
    </row>
    <row r="209" ht="15" customHeight="1" s="30">
      <c r="C209" s="29" t="n"/>
      <c r="E209" s="29" t="n"/>
    </row>
    <row r="210" ht="15" customHeight="1" s="30">
      <c r="C210" s="29" t="n"/>
      <c r="E210" s="29" t="n"/>
    </row>
    <row r="211" ht="15" customHeight="1" s="30">
      <c r="C211" s="29" t="n"/>
      <c r="E211" s="29" t="n"/>
    </row>
    <row r="212" ht="15" customHeight="1" s="30">
      <c r="C212" s="29" t="n"/>
      <c r="E212" s="29" t="n"/>
    </row>
    <row r="213" ht="15" customHeight="1" s="30">
      <c r="C213" s="29" t="n"/>
      <c r="E213" s="29" t="n"/>
    </row>
    <row r="214" ht="15" customHeight="1" s="30">
      <c r="C214" s="29" t="n"/>
      <c r="E214" s="29" t="n"/>
    </row>
    <row r="215" ht="15" customHeight="1" s="30">
      <c r="C215" s="29" t="n"/>
      <c r="E215" s="29" t="n"/>
    </row>
    <row r="216" ht="15" customHeight="1" s="30">
      <c r="C216" s="29" t="n"/>
      <c r="E216" s="29" t="n"/>
    </row>
    <row r="217" ht="15" customHeight="1" s="30">
      <c r="C217" s="29" t="n"/>
      <c r="E217" s="29" t="n"/>
    </row>
    <row r="218" ht="15" customHeight="1" s="30">
      <c r="C218" s="29" t="n"/>
      <c r="E218" s="29" t="n"/>
    </row>
    <row r="219" ht="15" customHeight="1" s="30">
      <c r="C219" s="29" t="n"/>
      <c r="E219" s="29" t="n"/>
    </row>
    <row r="220" ht="15" customHeight="1" s="30">
      <c r="C220" s="29" t="n"/>
      <c r="E220" s="29" t="n"/>
    </row>
    <row r="221" ht="15" customHeight="1" s="30">
      <c r="C221" s="29" t="n"/>
      <c r="E221" s="29" t="n"/>
    </row>
    <row r="222" ht="15" customHeight="1" s="30">
      <c r="C222" s="29" t="n"/>
      <c r="E222" s="29" t="n"/>
    </row>
    <row r="223" ht="15" customHeight="1" s="30">
      <c r="C223" s="29" t="n"/>
      <c r="E223" s="29" t="n"/>
    </row>
    <row r="224" ht="15" customHeight="1" s="30">
      <c r="C224" s="29" t="n"/>
      <c r="E224" s="29" t="n"/>
    </row>
    <row r="225" ht="15" customHeight="1" s="30">
      <c r="C225" s="29" t="n"/>
      <c r="E225" s="29" t="n"/>
    </row>
    <row r="226" ht="15" customHeight="1" s="30">
      <c r="C226" s="29" t="n"/>
      <c r="E226" s="29" t="n"/>
    </row>
    <row r="227" ht="15" customHeight="1" s="30">
      <c r="C227" s="29" t="n"/>
      <c r="E227" s="29" t="n"/>
    </row>
    <row r="228" ht="15" customHeight="1" s="30">
      <c r="C228" s="29" t="n"/>
      <c r="E228" s="29" t="n"/>
    </row>
    <row r="229" ht="15" customHeight="1" s="30">
      <c r="C229" s="29" t="n"/>
      <c r="E229" s="29" t="n"/>
    </row>
    <row r="230" ht="15" customHeight="1" s="30">
      <c r="C230" s="29" t="n"/>
      <c r="E230" s="29" t="n"/>
    </row>
    <row r="231" ht="15" customHeight="1" s="30">
      <c r="C231" s="29" t="n"/>
      <c r="E231" s="29" t="n"/>
    </row>
    <row r="232" ht="15" customHeight="1" s="30">
      <c r="C232" s="29" t="n"/>
      <c r="E232" s="29" t="n"/>
    </row>
    <row r="233" ht="15" customHeight="1" s="30">
      <c r="C233" s="29" t="n"/>
      <c r="E233" s="29" t="n"/>
    </row>
    <row r="234" ht="15" customHeight="1" s="30">
      <c r="C234" s="29" t="n"/>
      <c r="E234" s="29" t="n"/>
    </row>
    <row r="235" ht="15" customHeight="1" s="30">
      <c r="C235" s="29" t="n"/>
      <c r="E235" s="29" t="n"/>
    </row>
    <row r="236" ht="15" customHeight="1" s="30">
      <c r="C236" s="29" t="n"/>
      <c r="E236" s="29" t="n"/>
    </row>
    <row r="237" ht="15" customHeight="1" s="30">
      <c r="C237" s="29" t="n"/>
      <c r="E237" s="29" t="n"/>
    </row>
    <row r="238" ht="15" customHeight="1" s="30">
      <c r="C238" s="29" t="n"/>
      <c r="E238" s="29" t="n"/>
    </row>
    <row r="239" ht="15" customHeight="1" s="30">
      <c r="C239" s="29" t="n"/>
      <c r="E239" s="29" t="n"/>
    </row>
    <row r="240" ht="15" customHeight="1" s="30">
      <c r="C240" s="29" t="n"/>
      <c r="E240" s="29" t="n"/>
    </row>
    <row r="241" ht="15" customHeight="1" s="30">
      <c r="C241" s="29" t="n"/>
      <c r="E241" s="29" t="n"/>
    </row>
    <row r="242" ht="15" customHeight="1" s="30">
      <c r="C242" s="29" t="n"/>
      <c r="E242" s="29" t="n"/>
    </row>
    <row r="243" ht="15" customHeight="1" s="30">
      <c r="C243" s="29" t="n"/>
      <c r="E243" s="29" t="n"/>
    </row>
    <row r="244" ht="15" customHeight="1" s="30">
      <c r="C244" s="29" t="n"/>
      <c r="E244" s="29" t="n"/>
    </row>
    <row r="245" ht="15" customHeight="1" s="30">
      <c r="C245" s="29" t="n"/>
      <c r="E245" s="29" t="n"/>
    </row>
    <row r="246" ht="15" customHeight="1" s="30">
      <c r="C246" s="29" t="n"/>
      <c r="E246" s="29" t="n"/>
    </row>
    <row r="247" ht="15" customHeight="1" s="30">
      <c r="C247" s="29" t="n"/>
      <c r="E247" s="29" t="n"/>
    </row>
    <row r="248" ht="15" customHeight="1" s="30">
      <c r="C248" s="29" t="n"/>
      <c r="E248" s="29" t="n"/>
    </row>
    <row r="249" ht="15" customHeight="1" s="30">
      <c r="C249" s="29" t="n"/>
      <c r="E249" s="29" t="n"/>
    </row>
    <row r="250" ht="15" customHeight="1" s="30">
      <c r="C250" s="29" t="n"/>
      <c r="E250" s="29" t="n"/>
    </row>
    <row r="251" ht="15" customHeight="1" s="30">
      <c r="C251" s="29" t="n"/>
      <c r="E251" s="29" t="n"/>
    </row>
    <row r="252" ht="15" customHeight="1" s="30">
      <c r="C252" s="29" t="n"/>
      <c r="E252" s="29" t="n"/>
    </row>
    <row r="253" ht="15" customHeight="1" s="30">
      <c r="C253" s="29" t="n"/>
      <c r="E253" s="29" t="n"/>
    </row>
    <row r="254" ht="15" customHeight="1" s="30">
      <c r="C254" s="29" t="n"/>
      <c r="E254" s="29" t="n"/>
    </row>
    <row r="255" ht="15" customHeight="1" s="30">
      <c r="C255" s="29" t="n"/>
      <c r="E255" s="29" t="n"/>
    </row>
    <row r="256" ht="15" customHeight="1" s="30">
      <c r="C256" s="29" t="n"/>
      <c r="E256" s="29" t="n"/>
    </row>
    <row r="257" ht="15" customHeight="1" s="30">
      <c r="C257" s="29" t="n"/>
      <c r="E257" s="29" t="n"/>
    </row>
    <row r="258" ht="15" customHeight="1" s="30">
      <c r="C258" s="29" t="n"/>
      <c r="E258" s="29" t="n"/>
    </row>
    <row r="259" ht="15" customHeight="1" s="30">
      <c r="C259" s="29" t="n"/>
      <c r="E259" s="29" t="n"/>
    </row>
    <row r="260" ht="15" customHeight="1" s="30">
      <c r="C260" s="29" t="n"/>
      <c r="E260" s="29" t="n"/>
    </row>
    <row r="261" ht="15" customHeight="1" s="30">
      <c r="C261" s="29" t="n"/>
      <c r="E261" s="29" t="n"/>
    </row>
    <row r="262" ht="15" customHeight="1" s="30">
      <c r="C262" s="29" t="n"/>
      <c r="E262" s="29" t="n"/>
    </row>
    <row r="263" ht="15" customHeight="1" s="30">
      <c r="C263" s="29" t="n"/>
      <c r="E263" s="29" t="n"/>
    </row>
    <row r="264" ht="15" customHeight="1" s="30">
      <c r="C264" s="29" t="n"/>
      <c r="E264" s="29" t="n"/>
    </row>
    <row r="265" ht="15" customHeight="1" s="30">
      <c r="C265" s="29" t="n"/>
      <c r="E265" s="29" t="n"/>
    </row>
    <row r="266" ht="15" customHeight="1" s="30">
      <c r="C266" s="29" t="n"/>
      <c r="E266" s="29" t="n"/>
    </row>
    <row r="267" ht="15" customHeight="1" s="30">
      <c r="C267" s="29" t="n"/>
      <c r="E267" s="29" t="n"/>
    </row>
    <row r="268" ht="15" customHeight="1" s="30">
      <c r="C268" s="29" t="n"/>
      <c r="E268" s="29" t="n"/>
    </row>
    <row r="269" ht="15" customHeight="1" s="30">
      <c r="C269" s="29" t="n"/>
      <c r="E269" s="29" t="n"/>
    </row>
    <row r="270" ht="15" customHeight="1" s="30">
      <c r="C270" s="29" t="n"/>
      <c r="E270" s="29" t="n"/>
    </row>
    <row r="271" ht="15" customHeight="1" s="30">
      <c r="C271" s="29" t="n"/>
      <c r="E271" s="29" t="n"/>
    </row>
    <row r="272" ht="15" customHeight="1" s="30">
      <c r="C272" s="29" t="n"/>
      <c r="E272" s="29" t="n"/>
    </row>
    <row r="273" ht="15" customHeight="1" s="30">
      <c r="C273" s="29" t="n"/>
      <c r="E273" s="29" t="n"/>
    </row>
    <row r="274" ht="15" customHeight="1" s="30">
      <c r="C274" s="29" t="n"/>
      <c r="E274" s="29" t="n"/>
    </row>
    <row r="275" ht="15" customHeight="1" s="30">
      <c r="C275" s="29" t="n"/>
      <c r="E275" s="29" t="n"/>
    </row>
    <row r="276" ht="15" customHeight="1" s="30">
      <c r="C276" s="29" t="n"/>
      <c r="E276" s="29" t="n"/>
    </row>
    <row r="277" ht="15" customHeight="1" s="30">
      <c r="C277" s="29" t="n"/>
      <c r="E277" s="29" t="n"/>
    </row>
    <row r="278" ht="15" customHeight="1" s="30">
      <c r="C278" s="29" t="n"/>
      <c r="E278" s="29" t="n"/>
    </row>
    <row r="279" ht="15" customHeight="1" s="30">
      <c r="C279" s="29" t="n"/>
      <c r="E279" s="29" t="n"/>
    </row>
    <row r="280" ht="15" customHeight="1" s="30">
      <c r="C280" s="29" t="n"/>
      <c r="E280" s="29" t="n"/>
    </row>
    <row r="281" ht="15" customHeight="1" s="30">
      <c r="C281" s="29" t="n"/>
      <c r="E281" s="29" t="n"/>
    </row>
    <row r="282" ht="15" customHeight="1" s="30">
      <c r="C282" s="29" t="n"/>
      <c r="E282" s="29" t="n"/>
    </row>
    <row r="283" ht="15" customHeight="1" s="30">
      <c r="C283" s="29" t="n"/>
      <c r="E283" s="29" t="n"/>
    </row>
    <row r="284" ht="15" customHeight="1" s="30">
      <c r="C284" s="29" t="n"/>
      <c r="E284" s="29" t="n"/>
    </row>
    <row r="285" ht="15" customHeight="1" s="30">
      <c r="C285" s="29" t="n"/>
      <c r="E285" s="29" t="n"/>
    </row>
    <row r="286" ht="15" customHeight="1" s="30">
      <c r="C286" s="29" t="n"/>
      <c r="E286" s="29" t="n"/>
    </row>
    <row r="287" ht="15" customHeight="1" s="30">
      <c r="C287" s="29" t="n"/>
      <c r="E287" s="29" t="n"/>
    </row>
    <row r="288" ht="15" customHeight="1" s="30">
      <c r="C288" s="29" t="n"/>
      <c r="E288" s="29" t="n"/>
    </row>
    <row r="289" ht="15" customHeight="1" s="30">
      <c r="C289" s="29" t="n"/>
      <c r="E289" s="29" t="n"/>
    </row>
    <row r="290" ht="15" customHeight="1" s="30">
      <c r="C290" s="29" t="n"/>
      <c r="E290" s="29" t="n"/>
    </row>
    <row r="291" ht="15" customHeight="1" s="30">
      <c r="C291" s="29" t="n"/>
      <c r="E291" s="29" t="n"/>
    </row>
    <row r="292" ht="15" customHeight="1" s="30">
      <c r="C292" s="29" t="n"/>
      <c r="E292" s="29" t="n"/>
    </row>
    <row r="293" ht="15" customHeight="1" s="30">
      <c r="C293" s="29" t="n"/>
      <c r="E293" s="29" t="n"/>
    </row>
    <row r="294" ht="15" customHeight="1" s="30">
      <c r="C294" s="29" t="n"/>
      <c r="E294" s="29" t="n"/>
    </row>
    <row r="295" ht="15" customHeight="1" s="30">
      <c r="C295" s="29" t="n"/>
      <c r="E295" s="29" t="n"/>
    </row>
    <row r="296" ht="15" customHeight="1" s="30">
      <c r="C296" s="29" t="n"/>
      <c r="E296" s="29" t="n"/>
    </row>
    <row r="297" ht="15" customHeight="1" s="30">
      <c r="C297" s="29" t="n"/>
      <c r="E297" s="29" t="n"/>
    </row>
    <row r="298" ht="15" customHeight="1" s="30">
      <c r="C298" s="29" t="n"/>
      <c r="E298" s="29" t="n"/>
    </row>
    <row r="299" ht="15" customHeight="1" s="30">
      <c r="C299" s="29" t="n"/>
      <c r="E299" s="29" t="n"/>
    </row>
    <row r="300" ht="15" customHeight="1" s="30">
      <c r="C300" s="29" t="n"/>
      <c r="E300" s="29" t="n"/>
    </row>
    <row r="301" ht="15" customHeight="1" s="30">
      <c r="C301" s="29" t="n"/>
      <c r="E301" s="29" t="n"/>
    </row>
    <row r="302" ht="15" customHeight="1" s="30">
      <c r="C302" s="29" t="n"/>
      <c r="E302" s="29" t="n"/>
    </row>
    <row r="303" ht="15" customHeight="1" s="30">
      <c r="C303" s="29" t="n"/>
      <c r="E303" s="29" t="n"/>
    </row>
    <row r="304" ht="15" customHeight="1" s="30">
      <c r="C304" s="29" t="n"/>
      <c r="E304" s="29" t="n"/>
    </row>
    <row r="305" ht="15" customHeight="1" s="30">
      <c r="C305" s="29" t="n"/>
      <c r="E305" s="29" t="n"/>
    </row>
    <row r="306" ht="15" customHeight="1" s="30">
      <c r="C306" s="29" t="n"/>
      <c r="E306" s="29" t="n"/>
    </row>
    <row r="307" ht="15" customHeight="1" s="30">
      <c r="C307" s="29" t="n"/>
      <c r="E307" s="29" t="n"/>
    </row>
    <row r="308" ht="15" customHeight="1" s="30">
      <c r="C308" s="29" t="n"/>
      <c r="E308" s="29" t="n"/>
    </row>
    <row r="309" ht="15" customHeight="1" s="30">
      <c r="C309" s="29" t="n"/>
      <c r="E309" s="29" t="n"/>
    </row>
    <row r="310" ht="15" customHeight="1" s="30">
      <c r="C310" s="29" t="n"/>
      <c r="E310" s="29" t="n"/>
    </row>
    <row r="311" ht="15" customHeight="1" s="30">
      <c r="C311" s="29" t="n"/>
      <c r="E311" s="29" t="n"/>
    </row>
    <row r="312" ht="15" customHeight="1" s="30">
      <c r="C312" s="29" t="n"/>
      <c r="E312" s="29" t="n"/>
    </row>
    <row r="313" ht="15" customHeight="1" s="30">
      <c r="C313" s="29" t="n"/>
      <c r="E313" s="29" t="n"/>
    </row>
    <row r="314" ht="15" customHeight="1" s="30">
      <c r="C314" s="29" t="n"/>
      <c r="E314" s="29" t="n"/>
    </row>
    <row r="315" ht="15" customHeight="1" s="30">
      <c r="C315" s="29" t="n"/>
      <c r="E315" s="29" t="n"/>
    </row>
    <row r="316" ht="15" customHeight="1" s="30">
      <c r="C316" s="29" t="n"/>
      <c r="E316" s="29" t="n"/>
    </row>
    <row r="317" ht="15" customHeight="1" s="30">
      <c r="C317" s="29" t="n"/>
      <c r="E317" s="29" t="n"/>
    </row>
    <row r="318" ht="15" customHeight="1" s="30">
      <c r="C318" s="29" t="n"/>
      <c r="E318" s="29" t="n"/>
    </row>
    <row r="319" ht="15" customHeight="1" s="30">
      <c r="C319" s="29" t="n"/>
      <c r="E319" s="29" t="n"/>
    </row>
    <row r="320" ht="15" customHeight="1" s="30">
      <c r="C320" s="29" t="n"/>
      <c r="E320" s="29" t="n"/>
    </row>
    <row r="321" ht="15" customHeight="1" s="30">
      <c r="C321" s="29" t="n"/>
      <c r="E321" s="29" t="n"/>
    </row>
    <row r="322" ht="15" customHeight="1" s="30">
      <c r="C322" s="29" t="n"/>
      <c r="E322" s="29" t="n"/>
    </row>
    <row r="323" ht="15" customHeight="1" s="30">
      <c r="C323" s="29" t="n"/>
      <c r="E323" s="29" t="n"/>
    </row>
    <row r="324" ht="15" customHeight="1" s="30">
      <c r="C324" s="29" t="n"/>
      <c r="E324" s="29" t="n"/>
    </row>
    <row r="325" ht="15" customHeight="1" s="30">
      <c r="C325" s="29" t="n"/>
      <c r="E325" s="29" t="n"/>
    </row>
    <row r="326" ht="15" customHeight="1" s="30">
      <c r="C326" s="29" t="n"/>
      <c r="E326" s="29" t="n"/>
    </row>
    <row r="327" ht="15" customHeight="1" s="30">
      <c r="C327" s="29" t="n"/>
      <c r="E327" s="29" t="n"/>
    </row>
    <row r="328" ht="15" customHeight="1" s="30">
      <c r="C328" s="29" t="n"/>
      <c r="E328" s="29" t="n"/>
    </row>
    <row r="329" ht="15" customHeight="1" s="30">
      <c r="C329" s="29" t="n"/>
      <c r="E329" s="29" t="n"/>
    </row>
    <row r="330" ht="15" customHeight="1" s="30">
      <c r="C330" s="29" t="n"/>
      <c r="E330" s="29" t="n"/>
    </row>
    <row r="331" ht="15" customHeight="1" s="30">
      <c r="C331" s="29" t="n"/>
      <c r="E331" s="29" t="n"/>
    </row>
    <row r="332" ht="15" customHeight="1" s="30">
      <c r="C332" s="29" t="n"/>
      <c r="E332" s="29" t="n"/>
    </row>
    <row r="333" ht="15" customHeight="1" s="30">
      <c r="C333" s="29" t="n"/>
      <c r="E333" s="29" t="n"/>
    </row>
    <row r="334" ht="15" customHeight="1" s="30">
      <c r="C334" s="29" t="n"/>
      <c r="E334" s="29" t="n"/>
    </row>
    <row r="335" ht="15" customHeight="1" s="30">
      <c r="C335" s="29" t="n"/>
      <c r="E335" s="29" t="n"/>
    </row>
    <row r="336" ht="15" customHeight="1" s="30">
      <c r="C336" s="29" t="n"/>
      <c r="E336" s="29" t="n"/>
    </row>
    <row r="337" ht="15" customHeight="1" s="30">
      <c r="C337" s="29" t="n"/>
      <c r="E337" s="29" t="n"/>
    </row>
    <row r="338" ht="15" customHeight="1" s="30">
      <c r="C338" s="29" t="n"/>
      <c r="E338" s="29" t="n"/>
    </row>
    <row r="339" ht="15" customHeight="1" s="30">
      <c r="C339" s="29" t="n"/>
      <c r="E339" s="29" t="n"/>
    </row>
    <row r="340" ht="15" customHeight="1" s="30">
      <c r="C340" s="29" t="n"/>
      <c r="E340" s="29" t="n"/>
    </row>
    <row r="341" ht="15" customHeight="1" s="30">
      <c r="C341" s="29" t="n"/>
      <c r="E341" s="29" t="n"/>
    </row>
    <row r="342" ht="15" customHeight="1" s="30">
      <c r="C342" s="29" t="n"/>
      <c r="E342" s="29" t="n"/>
    </row>
    <row r="343" ht="15" customHeight="1" s="30">
      <c r="C343" s="29" t="n"/>
      <c r="E343" s="29" t="n"/>
    </row>
    <row r="344" ht="15" customHeight="1" s="30">
      <c r="C344" s="29" t="n"/>
      <c r="E344" s="29" t="n"/>
    </row>
    <row r="345" ht="15" customHeight="1" s="30">
      <c r="C345" s="29" t="n"/>
      <c r="E345" s="29" t="n"/>
    </row>
    <row r="346" ht="15" customHeight="1" s="30">
      <c r="C346" s="29" t="n"/>
      <c r="E346" s="29" t="n"/>
    </row>
    <row r="347" ht="15" customHeight="1" s="30">
      <c r="C347" s="29" t="n"/>
      <c r="E347" s="29" t="n"/>
    </row>
    <row r="348" ht="15" customHeight="1" s="30">
      <c r="C348" s="29" t="n"/>
      <c r="E348" s="29" t="n"/>
    </row>
    <row r="349" ht="15" customHeight="1" s="30">
      <c r="C349" s="29" t="n"/>
      <c r="E349" s="29" t="n"/>
    </row>
    <row r="350" ht="15" customHeight="1" s="30">
      <c r="C350" s="29" t="n"/>
      <c r="E350" s="29" t="n"/>
    </row>
    <row r="351" ht="15" customHeight="1" s="30">
      <c r="C351" s="29" t="n"/>
      <c r="E351" s="29" t="n"/>
    </row>
    <row r="352" ht="15" customHeight="1" s="30">
      <c r="C352" s="29" t="n"/>
      <c r="E352" s="29" t="n"/>
    </row>
    <row r="353" ht="15" customHeight="1" s="30">
      <c r="C353" s="29" t="n"/>
      <c r="E353" s="29" t="n"/>
    </row>
    <row r="354" ht="15" customHeight="1" s="30">
      <c r="C354" s="29" t="n"/>
      <c r="E354" s="29" t="n"/>
    </row>
    <row r="355" ht="15" customHeight="1" s="30">
      <c r="C355" s="29" t="n"/>
      <c r="E355" s="29" t="n"/>
    </row>
    <row r="356" ht="15" customHeight="1" s="30">
      <c r="C356" s="29" t="n"/>
      <c r="E356" s="29" t="n"/>
    </row>
    <row r="357" ht="15" customHeight="1" s="30">
      <c r="C357" s="29" t="n"/>
      <c r="E357" s="29" t="n"/>
    </row>
    <row r="358" ht="15" customHeight="1" s="30">
      <c r="C358" s="29" t="n"/>
      <c r="E358" s="29" t="n"/>
    </row>
    <row r="359" ht="15" customHeight="1" s="30">
      <c r="C359" s="29" t="n"/>
      <c r="E359" s="29" t="n"/>
    </row>
    <row r="360" ht="15" customHeight="1" s="30">
      <c r="C360" s="29" t="n"/>
      <c r="E360" s="29" t="n"/>
    </row>
    <row r="361" ht="15" customHeight="1" s="30">
      <c r="C361" s="29" t="n"/>
      <c r="E361" s="29" t="n"/>
    </row>
    <row r="362" ht="15" customHeight="1" s="30">
      <c r="C362" s="29" t="n"/>
      <c r="E362" s="29" t="n"/>
    </row>
    <row r="363" ht="15" customHeight="1" s="30">
      <c r="C363" s="29" t="n"/>
      <c r="E363" s="29" t="n"/>
    </row>
    <row r="364" ht="15" customHeight="1" s="30">
      <c r="C364" s="29" t="n"/>
      <c r="E364" s="29" t="n"/>
    </row>
    <row r="365" ht="15" customHeight="1" s="30">
      <c r="C365" s="29" t="n"/>
      <c r="E365" s="29" t="n"/>
    </row>
    <row r="366" ht="15" customHeight="1" s="30">
      <c r="C366" s="29" t="n"/>
      <c r="E366" s="29" t="n"/>
    </row>
    <row r="367" ht="15" customHeight="1" s="30">
      <c r="C367" s="29" t="n"/>
      <c r="E367" s="29" t="n"/>
    </row>
    <row r="368" ht="15" customHeight="1" s="30">
      <c r="C368" s="29" t="n"/>
      <c r="E368" s="29" t="n"/>
    </row>
    <row r="369" ht="15" customHeight="1" s="30">
      <c r="C369" s="29" t="n"/>
      <c r="E369" s="29" t="n"/>
    </row>
    <row r="370" ht="15" customHeight="1" s="30">
      <c r="C370" s="29" t="n"/>
      <c r="E370" s="29" t="n"/>
    </row>
    <row r="371" ht="15" customHeight="1" s="30">
      <c r="C371" s="29" t="n"/>
      <c r="E371" s="29" t="n"/>
    </row>
    <row r="372" ht="15" customHeight="1" s="30">
      <c r="C372" s="29" t="n"/>
      <c r="E372" s="29" t="n"/>
    </row>
    <row r="373" ht="15" customHeight="1" s="30">
      <c r="C373" s="29" t="n"/>
      <c r="E373" s="29" t="n"/>
    </row>
    <row r="374" ht="15" customHeight="1" s="30">
      <c r="C374" s="29" t="n"/>
      <c r="E374" s="29" t="n"/>
    </row>
    <row r="375" ht="15" customHeight="1" s="30">
      <c r="C375" s="29" t="n"/>
      <c r="E375" s="29" t="n"/>
    </row>
    <row r="376" ht="15" customHeight="1" s="30">
      <c r="C376" s="29" t="n"/>
      <c r="E376" s="29" t="n"/>
    </row>
    <row r="377" ht="15" customHeight="1" s="30">
      <c r="C377" s="29" t="n"/>
      <c r="E377" s="29" t="n"/>
    </row>
    <row r="378" ht="15" customHeight="1" s="30">
      <c r="C378" s="29" t="n"/>
      <c r="E378" s="29" t="n"/>
    </row>
    <row r="379" ht="15" customHeight="1" s="30">
      <c r="C379" s="29" t="n"/>
      <c r="E379" s="29" t="n"/>
    </row>
    <row r="380" ht="15" customHeight="1" s="30">
      <c r="C380" s="29" t="n"/>
      <c r="E380" s="29" t="n"/>
    </row>
    <row r="381" ht="15" customHeight="1" s="30">
      <c r="C381" s="29" t="n"/>
      <c r="E381" s="29" t="n"/>
    </row>
    <row r="382" ht="15" customHeight="1" s="30">
      <c r="C382" s="29" t="n"/>
      <c r="E382" s="29" t="n"/>
    </row>
    <row r="383" ht="15" customHeight="1" s="30">
      <c r="C383" s="29" t="n"/>
      <c r="E383" s="29" t="n"/>
    </row>
    <row r="384" ht="15" customHeight="1" s="30">
      <c r="C384" s="29" t="n"/>
      <c r="E384" s="29" t="n"/>
    </row>
    <row r="385" ht="15" customHeight="1" s="30">
      <c r="C385" s="29" t="n"/>
      <c r="E385" s="29" t="n"/>
    </row>
    <row r="386" ht="15" customHeight="1" s="30">
      <c r="C386" s="29" t="n"/>
      <c r="E386" s="29" t="n"/>
    </row>
    <row r="387" ht="15" customHeight="1" s="30">
      <c r="C387" s="29" t="n"/>
      <c r="E387" s="29" t="n"/>
    </row>
    <row r="388" ht="15" customHeight="1" s="30">
      <c r="C388" s="29" t="n"/>
      <c r="E388" s="29" t="n"/>
    </row>
    <row r="389" ht="15" customHeight="1" s="30">
      <c r="C389" s="29" t="n"/>
      <c r="E389" s="29" t="n"/>
    </row>
    <row r="390" ht="15" customHeight="1" s="30">
      <c r="C390" s="29" t="n"/>
      <c r="E390" s="29" t="n"/>
    </row>
    <row r="391" ht="15" customHeight="1" s="30">
      <c r="C391" s="29" t="n"/>
      <c r="E391" s="29" t="n"/>
    </row>
    <row r="392" ht="15" customHeight="1" s="30">
      <c r="C392" s="29" t="n"/>
      <c r="E392" s="29" t="n"/>
    </row>
    <row r="393" ht="15" customHeight="1" s="30">
      <c r="C393" s="29" t="n"/>
      <c r="E393" s="29" t="n"/>
    </row>
    <row r="394" ht="15" customHeight="1" s="30">
      <c r="C394" s="29" t="n"/>
      <c r="E394" s="29" t="n"/>
    </row>
    <row r="395" ht="15" customHeight="1" s="30">
      <c r="C395" s="29" t="n"/>
      <c r="E395" s="29" t="n"/>
    </row>
    <row r="396" ht="15" customHeight="1" s="30">
      <c r="C396" s="29" t="n"/>
      <c r="E396" s="29" t="n"/>
    </row>
    <row r="397" ht="15" customHeight="1" s="30">
      <c r="C397" s="29" t="n"/>
      <c r="E397" s="29" t="n"/>
    </row>
    <row r="398" ht="15" customHeight="1" s="30">
      <c r="C398" s="29" t="n"/>
      <c r="E398" s="29" t="n"/>
    </row>
    <row r="399" ht="15" customHeight="1" s="30">
      <c r="C399" s="29" t="n"/>
      <c r="E399" s="29" t="n"/>
    </row>
    <row r="400" ht="15" customHeight="1" s="30">
      <c r="C400" s="29" t="n"/>
      <c r="E400" s="29" t="n"/>
    </row>
    <row r="401" ht="15" customHeight="1" s="30">
      <c r="C401" s="29" t="n"/>
      <c r="E401" s="29" t="n"/>
    </row>
    <row r="402" ht="15" customHeight="1" s="30">
      <c r="C402" s="29" t="n"/>
      <c r="E402" s="29" t="n"/>
    </row>
    <row r="403" ht="15" customHeight="1" s="30">
      <c r="C403" s="29" t="n"/>
      <c r="E403" s="29" t="n"/>
    </row>
    <row r="404" ht="15" customHeight="1" s="30">
      <c r="C404" s="29" t="n"/>
      <c r="E404" s="29" t="n"/>
    </row>
    <row r="405" ht="15" customHeight="1" s="30">
      <c r="C405" s="29" t="n"/>
      <c r="E405" s="29" t="n"/>
    </row>
    <row r="406" ht="15" customHeight="1" s="30">
      <c r="C406" s="29" t="n"/>
      <c r="E406" s="29" t="n"/>
    </row>
    <row r="407" ht="15" customHeight="1" s="30">
      <c r="C407" s="29" t="n"/>
      <c r="E407" s="29" t="n"/>
    </row>
    <row r="408" ht="15" customHeight="1" s="30">
      <c r="C408" s="29" t="n"/>
      <c r="E408" s="29" t="n"/>
    </row>
    <row r="409" ht="15" customHeight="1" s="30">
      <c r="C409" s="29" t="n"/>
      <c r="E409" s="29" t="n"/>
    </row>
    <row r="410" ht="15" customHeight="1" s="30">
      <c r="C410" s="29" t="n"/>
      <c r="E410" s="29" t="n"/>
    </row>
    <row r="411" ht="15" customHeight="1" s="30">
      <c r="C411" s="29" t="n"/>
      <c r="E411" s="29" t="n"/>
    </row>
    <row r="412" ht="15" customHeight="1" s="30">
      <c r="C412" s="29" t="n"/>
      <c r="E412" s="29" t="n"/>
    </row>
    <row r="413" ht="15" customHeight="1" s="30">
      <c r="C413" s="29" t="n"/>
      <c r="E413" s="29" t="n"/>
    </row>
    <row r="414" ht="15" customHeight="1" s="30">
      <c r="C414" s="29" t="n"/>
      <c r="E414" s="29" t="n"/>
    </row>
    <row r="415" ht="15" customHeight="1" s="30">
      <c r="C415" s="29" t="n"/>
      <c r="E415" s="29" t="n"/>
    </row>
    <row r="416" ht="15" customHeight="1" s="30">
      <c r="C416" s="29" t="n"/>
      <c r="E416" s="29" t="n"/>
    </row>
    <row r="417" ht="15" customHeight="1" s="30">
      <c r="C417" s="29" t="n"/>
      <c r="E417" s="29" t="n"/>
    </row>
    <row r="418" ht="15" customHeight="1" s="30">
      <c r="C418" s="29" t="n"/>
      <c r="E418" s="29" t="n"/>
    </row>
    <row r="419" ht="15" customHeight="1" s="30">
      <c r="C419" s="29" t="n"/>
      <c r="E419" s="29" t="n"/>
    </row>
    <row r="420" ht="15" customHeight="1" s="30">
      <c r="C420" s="29" t="n"/>
      <c r="E420" s="29" t="n"/>
    </row>
    <row r="421" ht="15" customHeight="1" s="30">
      <c r="C421" s="29" t="n"/>
      <c r="E421" s="29" t="n"/>
    </row>
    <row r="422" ht="15" customHeight="1" s="30">
      <c r="C422" s="29" t="n"/>
      <c r="E422" s="29" t="n"/>
    </row>
    <row r="423" ht="15" customHeight="1" s="30">
      <c r="C423" s="29" t="n"/>
      <c r="E423" s="29" t="n"/>
    </row>
    <row r="424" ht="15" customHeight="1" s="30">
      <c r="C424" s="29" t="n"/>
      <c r="E424" s="29" t="n"/>
    </row>
    <row r="425" ht="15" customHeight="1" s="30">
      <c r="C425" s="29" t="n"/>
      <c r="E425" s="29" t="n"/>
    </row>
    <row r="426" ht="15" customHeight="1" s="30">
      <c r="C426" s="29" t="n"/>
      <c r="E426" s="29" t="n"/>
    </row>
    <row r="427" ht="15" customHeight="1" s="30">
      <c r="C427" s="29" t="n"/>
      <c r="E427" s="29" t="n"/>
    </row>
    <row r="428" ht="15" customHeight="1" s="30">
      <c r="C428" s="29" t="n"/>
      <c r="E428" s="29" t="n"/>
    </row>
    <row r="429" ht="15" customHeight="1" s="30">
      <c r="C429" s="29" t="n"/>
      <c r="E429" s="29" t="n"/>
    </row>
    <row r="430" ht="15" customHeight="1" s="30">
      <c r="C430" s="29" t="n"/>
      <c r="E430" s="29" t="n"/>
    </row>
    <row r="431" ht="15" customHeight="1" s="30">
      <c r="C431" s="29" t="n"/>
      <c r="E431" s="29" t="n"/>
    </row>
    <row r="432" ht="15" customHeight="1" s="30">
      <c r="C432" s="29" t="n"/>
      <c r="E432" s="29" t="n"/>
    </row>
    <row r="433" ht="15" customHeight="1" s="30">
      <c r="C433" s="29" t="n"/>
      <c r="E433" s="29" t="n"/>
    </row>
    <row r="434" ht="15" customHeight="1" s="30">
      <c r="C434" s="29" t="n"/>
      <c r="E434" s="29" t="n"/>
    </row>
    <row r="435" ht="15" customHeight="1" s="30">
      <c r="C435" s="29" t="n"/>
      <c r="E435" s="29" t="n"/>
    </row>
    <row r="436" ht="15" customHeight="1" s="30">
      <c r="C436" s="29" t="n"/>
      <c r="E436" s="29" t="n"/>
    </row>
    <row r="437" ht="15" customHeight="1" s="30">
      <c r="C437" s="29" t="n"/>
      <c r="E437" s="29" t="n"/>
    </row>
    <row r="438" ht="15" customHeight="1" s="30">
      <c r="C438" s="29" t="n"/>
      <c r="E438" s="29" t="n"/>
    </row>
    <row r="439" ht="15" customHeight="1" s="30">
      <c r="C439" s="29" t="n"/>
      <c r="E439" s="29" t="n"/>
    </row>
    <row r="440" ht="15" customHeight="1" s="30">
      <c r="C440" s="29" t="n"/>
      <c r="E440" s="29" t="n"/>
    </row>
    <row r="441" ht="15" customHeight="1" s="30">
      <c r="C441" s="29" t="n"/>
      <c r="E441" s="29" t="n"/>
    </row>
    <row r="442" ht="15" customHeight="1" s="30">
      <c r="C442" s="29" t="n"/>
      <c r="E442" s="29" t="n"/>
    </row>
    <row r="443" ht="15" customHeight="1" s="30">
      <c r="C443" s="29" t="n"/>
      <c r="E443" s="29" t="n"/>
    </row>
    <row r="444" ht="15" customHeight="1" s="30">
      <c r="C444" s="29" t="n"/>
      <c r="E444" s="29" t="n"/>
    </row>
    <row r="445" ht="15" customHeight="1" s="30">
      <c r="C445" s="29" t="n"/>
      <c r="E445" s="29" t="n"/>
    </row>
    <row r="446" ht="15" customHeight="1" s="30">
      <c r="C446" s="29" t="n"/>
      <c r="E446" s="29" t="n"/>
    </row>
    <row r="447" ht="15" customHeight="1" s="30">
      <c r="C447" s="29" t="n"/>
      <c r="E447" s="29" t="n"/>
    </row>
    <row r="448" ht="15" customHeight="1" s="30">
      <c r="C448" s="29" t="n"/>
      <c r="E448" s="29" t="n"/>
    </row>
    <row r="449" ht="15" customHeight="1" s="30">
      <c r="C449" s="29" t="n"/>
      <c r="E449" s="29" t="n"/>
    </row>
    <row r="450" ht="15" customHeight="1" s="30">
      <c r="C450" s="29" t="n"/>
      <c r="E450" s="29" t="n"/>
    </row>
    <row r="451" ht="15" customHeight="1" s="30">
      <c r="C451" s="29" t="n"/>
      <c r="E451" s="29" t="n"/>
    </row>
    <row r="452" ht="15" customHeight="1" s="30">
      <c r="C452" s="29" t="n"/>
      <c r="E452" s="29" t="n"/>
    </row>
    <row r="453" ht="15" customHeight="1" s="30">
      <c r="C453" s="29" t="n"/>
      <c r="E453" s="29" t="n"/>
    </row>
    <row r="454" ht="15" customHeight="1" s="30">
      <c r="C454" s="29" t="n"/>
      <c r="E454" s="29" t="n"/>
    </row>
    <row r="455" ht="15" customHeight="1" s="30">
      <c r="C455" s="29" t="n"/>
      <c r="E455" s="29" t="n"/>
    </row>
    <row r="456" ht="15" customHeight="1" s="30">
      <c r="C456" s="29" t="n"/>
      <c r="E456" s="29" t="n"/>
    </row>
    <row r="457" ht="15" customHeight="1" s="30">
      <c r="C457" s="29" t="n"/>
      <c r="E457" s="29" t="n"/>
    </row>
    <row r="458" ht="15" customHeight="1" s="30">
      <c r="C458" s="29" t="n"/>
      <c r="E458" s="29" t="n"/>
    </row>
    <row r="459" ht="15" customHeight="1" s="30">
      <c r="C459" s="29" t="n"/>
      <c r="E459" s="29" t="n"/>
    </row>
    <row r="460" ht="15" customHeight="1" s="30">
      <c r="C460" s="29" t="n"/>
      <c r="E460" s="29" t="n"/>
    </row>
    <row r="461" ht="15" customHeight="1" s="30">
      <c r="C461" s="29" t="n"/>
      <c r="E461" s="29" t="n"/>
    </row>
    <row r="462" ht="15" customHeight="1" s="30">
      <c r="C462" s="29" t="n"/>
      <c r="E462" s="29" t="n"/>
    </row>
    <row r="463" ht="15" customHeight="1" s="30">
      <c r="C463" s="29" t="n"/>
      <c r="E463" s="29" t="n"/>
    </row>
    <row r="464" ht="15" customHeight="1" s="30">
      <c r="C464" s="29" t="n"/>
      <c r="E464" s="29" t="n"/>
    </row>
    <row r="465" ht="15" customHeight="1" s="30">
      <c r="C465" s="29" t="n"/>
      <c r="E465" s="29" t="n"/>
    </row>
    <row r="466" ht="15" customHeight="1" s="30">
      <c r="C466" s="29" t="n"/>
      <c r="E466" s="29" t="n"/>
    </row>
    <row r="467" ht="15" customHeight="1" s="30">
      <c r="C467" s="29" t="n"/>
      <c r="E467" s="29" t="n"/>
    </row>
    <row r="468" ht="15" customHeight="1" s="30">
      <c r="C468" s="29" t="n"/>
      <c r="E468" s="29" t="n"/>
    </row>
    <row r="469" ht="15" customHeight="1" s="30">
      <c r="C469" s="29" t="n"/>
      <c r="E469" s="29" t="n"/>
    </row>
    <row r="470" ht="15" customHeight="1" s="30">
      <c r="C470" s="29" t="n"/>
      <c r="E470" s="29" t="n"/>
    </row>
    <row r="471" ht="15" customHeight="1" s="30">
      <c r="C471" s="29" t="n"/>
      <c r="E471" s="29" t="n"/>
    </row>
    <row r="472" ht="15" customHeight="1" s="30">
      <c r="C472" s="29" t="n"/>
      <c r="E472" s="29" t="n"/>
    </row>
    <row r="473" ht="15" customHeight="1" s="30">
      <c r="C473" s="29" t="n"/>
      <c r="E473" s="29" t="n"/>
    </row>
    <row r="474" ht="15" customHeight="1" s="30">
      <c r="C474" s="29" t="n"/>
      <c r="E474" s="29" t="n"/>
    </row>
    <row r="475" ht="15" customHeight="1" s="30">
      <c r="C475" s="29" t="n"/>
      <c r="E475" s="29" t="n"/>
    </row>
    <row r="476" ht="15" customHeight="1" s="30">
      <c r="C476" s="29" t="n"/>
      <c r="E476" s="29" t="n"/>
    </row>
    <row r="477" ht="15" customHeight="1" s="30">
      <c r="C477" s="29" t="n"/>
      <c r="E477" s="29" t="n"/>
    </row>
    <row r="478" ht="15" customHeight="1" s="30">
      <c r="C478" s="29" t="n"/>
      <c r="E478" s="29" t="n"/>
    </row>
    <row r="479" ht="15" customHeight="1" s="30">
      <c r="C479" s="29" t="n"/>
      <c r="E479" s="29" t="n"/>
    </row>
    <row r="480" ht="15" customHeight="1" s="30">
      <c r="C480" s="29" t="n"/>
      <c r="E480" s="29" t="n"/>
    </row>
    <row r="481" ht="15" customHeight="1" s="30">
      <c r="C481" s="29" t="n"/>
      <c r="E481" s="29" t="n"/>
    </row>
    <row r="482" ht="15" customHeight="1" s="30">
      <c r="C482" s="29" t="n"/>
      <c r="E482" s="29" t="n"/>
    </row>
    <row r="483" ht="15" customHeight="1" s="30">
      <c r="C483" s="29" t="n"/>
      <c r="E483" s="29" t="n"/>
    </row>
    <row r="484" ht="15" customHeight="1" s="30">
      <c r="C484" s="29" t="n"/>
      <c r="E484" s="29" t="n"/>
    </row>
    <row r="485" ht="15" customHeight="1" s="30">
      <c r="C485" s="29" t="n"/>
      <c r="E485" s="29" t="n"/>
    </row>
    <row r="486" ht="15" customHeight="1" s="30">
      <c r="C486" s="29" t="n"/>
      <c r="E486" s="29" t="n"/>
    </row>
    <row r="487" ht="15" customHeight="1" s="30">
      <c r="C487" s="29" t="n"/>
      <c r="E487" s="29" t="n"/>
    </row>
    <row r="488" ht="15" customHeight="1" s="30">
      <c r="C488" s="29" t="n"/>
      <c r="E488" s="29" t="n"/>
    </row>
    <row r="489" ht="15" customHeight="1" s="30">
      <c r="C489" s="29" t="n"/>
      <c r="E489" s="29" t="n"/>
    </row>
    <row r="490" ht="15" customHeight="1" s="30">
      <c r="C490" s="29" t="n"/>
      <c r="E490" s="29" t="n"/>
    </row>
    <row r="491" ht="15" customHeight="1" s="30">
      <c r="C491" s="29" t="n"/>
      <c r="E491" s="29" t="n"/>
    </row>
    <row r="492" ht="15" customHeight="1" s="30">
      <c r="C492" s="29" t="n"/>
      <c r="E492" s="29" t="n"/>
    </row>
    <row r="493" ht="15" customHeight="1" s="30">
      <c r="C493" s="29" t="n"/>
      <c r="E493" s="29" t="n"/>
    </row>
    <row r="494" ht="15" customHeight="1" s="30">
      <c r="C494" s="29" t="n"/>
      <c r="E494" s="29" t="n"/>
    </row>
    <row r="495" ht="15" customHeight="1" s="30">
      <c r="C495" s="29" t="n"/>
      <c r="E495" s="29" t="n"/>
    </row>
    <row r="496" ht="15" customHeight="1" s="30">
      <c r="C496" s="29" t="n"/>
      <c r="E496" s="29" t="n"/>
    </row>
    <row r="497" ht="15" customHeight="1" s="30">
      <c r="C497" s="29" t="n"/>
      <c r="E497" s="29" t="n"/>
    </row>
    <row r="498" ht="15" customHeight="1" s="30">
      <c r="C498" s="29" t="n"/>
      <c r="E498" s="29" t="n"/>
    </row>
    <row r="499" ht="15" customHeight="1" s="30">
      <c r="C499" s="29" t="n"/>
      <c r="E499" s="29" t="n"/>
    </row>
    <row r="500" ht="15" customHeight="1" s="30">
      <c r="C500" s="29" t="n"/>
      <c r="E500" s="29" t="n"/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5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2" customWidth="1" style="29" min="2" max="2"/>
    <col width="10" customWidth="1" style="29" min="3" max="3"/>
    <col width="8" customWidth="1" style="29" min="4" max="4"/>
    <col width="12" customWidth="1" style="29" min="5" max="5"/>
    <col width="24" customWidth="1" style="29" min="6" max="6"/>
    <col width="16" customWidth="1" style="29" min="7" max="7"/>
    <col width="18" customWidth="1" style="29" min="8" max="8"/>
    <col width="12" customWidth="1" style="29" min="9" max="10"/>
    <col width="20" customWidth="1" style="29" min="11" max="11"/>
    <col width="25" customWidth="1" style="29" min="12" max="12"/>
  </cols>
  <sheetData>
    <row r="1" ht="17.35" customHeight="1" s="30">
      <c r="C1" s="31" t="inlineStr">
        <is>
          <t>Seagull Maritime — Document Register — General Documents</t>
        </is>
      </c>
    </row>
    <row r="2" ht="15" customHeight="1" s="30">
      <c r="C2" s="32" t="inlineStr">
        <is>
          <t>SM/INT/REG/001  |  DOC | MAN</t>
        </is>
      </c>
    </row>
    <row r="3" ht="6" customHeight="1" s="30"/>
    <row r="4" ht="22.35" customHeight="1" s="30">
      <c r="A4" s="42" t="inlineStr">
        <is>
          <t>Document Reference</t>
        </is>
      </c>
      <c r="B4" s="42" t="inlineStr">
        <is>
          <t>Document Title</t>
        </is>
      </c>
      <c r="C4" s="42" t="inlineStr">
        <is>
          <t>System</t>
        </is>
      </c>
      <c r="D4" s="42" t="inlineStr">
        <is>
          <t>Version</t>
        </is>
      </c>
      <c r="E4" s="42" t="inlineStr">
        <is>
          <t>Status</t>
        </is>
      </c>
      <c r="F4" s="42" t="inlineStr">
        <is>
          <t>Folder Location</t>
        </is>
      </c>
      <c r="G4" s="42" t="inlineStr">
        <is>
          <t>ISO Standard(s)</t>
        </is>
      </c>
      <c r="H4" s="42" t="inlineStr">
        <is>
          <t>Document Owner</t>
        </is>
      </c>
      <c r="I4" s="42" t="inlineStr">
        <is>
          <t>Issue Date</t>
        </is>
      </c>
      <c r="J4" s="42" t="inlineStr">
        <is>
          <t>Next Review</t>
        </is>
      </c>
      <c r="K4" s="42" t="inlineStr">
        <is>
          <t>Legacy Reference</t>
        </is>
      </c>
      <c r="L4" s="42" t="inlineStr">
        <is>
          <t>Notes</t>
        </is>
      </c>
    </row>
    <row r="5" ht="22.35" customHeight="1" s="30">
      <c r="A5" s="43" t="inlineStr">
        <is>
          <t>SM/INT/DOC/001</t>
        </is>
      </c>
      <c r="B5" s="44" t="inlineStr">
        <is>
          <t>Document Referencing and Folder Structure Guide</t>
        </is>
      </c>
      <c r="C5" s="45" t="inlineStr">
        <is>
          <t>INT</t>
        </is>
      </c>
      <c r="D5" s="45" t="inlineStr">
        <is>
          <t>1.0</t>
        </is>
      </c>
      <c r="E5" s="45" t="inlineStr">
        <is>
          <t>Approved</t>
        </is>
      </c>
      <c r="F5" s="44" t="inlineStr">
        <is>
          <t>00 - Management System Overview</t>
        </is>
      </c>
      <c r="G5" s="44" t="inlineStr">
        <is>
          <t>All</t>
        </is>
      </c>
      <c r="H5" s="45" t="inlineStr">
        <is>
          <t>Group Compliance Director</t>
        </is>
      </c>
      <c r="I5" s="45" t="inlineStr">
        <is>
          <t>23/03/2026</t>
        </is>
      </c>
      <c r="J5" s="45" t="inlineStr">
        <is>
          <t>23/03/2027</t>
        </is>
      </c>
      <c r="K5" s="44" t="n"/>
      <c r="L5" s="44" t="inlineStr">
        <is>
          <t>First document in new referencing system</t>
        </is>
      </c>
    </row>
    <row r="6" ht="43.25" customHeight="1" s="30">
      <c r="A6" s="43" t="inlineStr">
        <is>
          <t>SM/INT/DOC/002</t>
        </is>
      </c>
      <c r="B6" s="44" t="inlineStr">
        <is>
          <t>Context of the Organisation (PESTLE &amp; SWOT Analysis)</t>
        </is>
      </c>
      <c r="C6" s="45" t="inlineStr">
        <is>
          <t>INT</t>
        </is>
      </c>
      <c r="D6" s="45" t="inlineStr">
        <is>
          <t>2.0</t>
        </is>
      </c>
      <c r="E6" s="45" t="inlineStr">
        <is>
          <t>Approved</t>
        </is>
      </c>
      <c r="F6" s="44" t="inlineStr">
        <is>
          <t>01 - Policies/Context of the Organisation</t>
        </is>
      </c>
      <c r="G6" s="44" t="inlineStr">
        <is>
          <t>ISO 45001 (4.1) | ISO 18788 (4.1) | ISO 28000 (4.1) | ISO 9001 (4.1)</t>
        </is>
      </c>
      <c r="H6" s="45" t="inlineStr">
        <is>
          <t>Group Compliance Director</t>
        </is>
      </c>
      <c r="I6" s="45" t="inlineStr">
        <is>
          <t>01/03/2026</t>
        </is>
      </c>
      <c r="J6" s="45" t="inlineStr">
        <is>
          <t>01/03/2027</t>
        </is>
      </c>
      <c r="K6" s="44" t="n"/>
      <c r="L6" s="44" t="inlineStr">
        <is>
          <t>v1.0 pre-war baseline (Feb 2026). v2.0 Iran war emergency review (Mar 2026)</t>
        </is>
      </c>
    </row>
    <row r="7" ht="53.7" customHeight="1" s="30">
      <c r="A7" s="43" t="inlineStr">
        <is>
          <t>SM/CAM/BUL/001</t>
        </is>
      </c>
      <c r="B7" s="44" t="inlineStr">
        <is>
          <t>Vessel Transfers — Awareness Bulletin</t>
        </is>
      </c>
      <c r="C7" s="45" t="inlineStr">
        <is>
          <t>CAM</t>
        </is>
      </c>
      <c r="D7" s="45" t="inlineStr">
        <is>
          <t>1.0</t>
        </is>
      </c>
      <c r="E7" s="45" t="inlineStr">
        <is>
          <t>Approved</t>
        </is>
      </c>
      <c r="F7" s="44" t="inlineStr">
        <is>
          <t>13 - Campaign / Bulletins</t>
        </is>
      </c>
      <c r="G7" s="44" t="inlineStr">
        <is>
          <t>N/A — Awareness material</t>
        </is>
      </c>
      <c r="H7" s="45" t="inlineStr">
        <is>
          <t>Group Compliance Director</t>
        </is>
      </c>
      <c r="I7" s="45" t="inlineStr">
        <is>
          <t>31/03/2026</t>
        </is>
      </c>
      <c r="J7" s="45" t="inlineStr">
        <is>
          <t>31/03/2027</t>
        </is>
      </c>
      <c r="K7" s="44" t="n"/>
      <c r="L7" s="44" t="inlineStr">
        <is>
          <t>First campaign bulletin. Assess/Report/Deliver pillars. Hosted on GitHub Pages. Template for future bulletins.</t>
        </is>
      </c>
    </row>
    <row r="8" ht="53.7" customHeight="1" s="30">
      <c r="A8" s="43" t="inlineStr">
        <is>
          <t>SM/CAM/FC/001</t>
        </is>
      </c>
      <c r="B8" s="44" t="inlineStr">
        <is>
          <t>Vessel Transfers — Toolbox Talk Flash Cards</t>
        </is>
      </c>
      <c r="C8" s="45" t="inlineStr">
        <is>
          <t>CAM</t>
        </is>
      </c>
      <c r="D8" s="45" t="inlineStr">
        <is>
          <t>1.0</t>
        </is>
      </c>
      <c r="E8" s="45" t="inlineStr">
        <is>
          <t>Approved</t>
        </is>
      </c>
      <c r="F8" s="44" t="inlineStr">
        <is>
          <t>13 - Campaign / Flash Cards</t>
        </is>
      </c>
      <c r="G8" s="44" t="inlineStr">
        <is>
          <t>N/A — Awareness material</t>
        </is>
      </c>
      <c r="H8" s="45" t="inlineStr">
        <is>
          <t>Group Compliance Director</t>
        </is>
      </c>
      <c r="I8" s="45" t="inlineStr">
        <is>
          <t>31/03/2026</t>
        </is>
      </c>
      <c r="J8" s="45" t="inlineStr">
        <is>
          <t>31/03/2027</t>
        </is>
      </c>
      <c r="K8" s="44" t="n"/>
      <c r="L8" s="44" t="inlineStr">
        <is>
          <t>6 printable cards (2x3 grid). PPE, Before/During/After Transfer, Key Hazards, Stop the Transfer. Hosted on GitHub Pages.</t>
        </is>
      </c>
    </row>
    <row r="9" ht="15" customHeight="1" s="30">
      <c r="A9" s="29" t="inlineStr">
        <is>
          <t>SM/CAM/BRAG/002</t>
        </is>
      </c>
      <c r="B9" s="29" t="inlineStr">
        <is>
          <t>Security Duties – Client Vessel — Basic Risk Assessment Guide</t>
        </is>
      </c>
      <c r="C9" s="29" t="inlineStr">
        <is>
          <t>CAM</t>
        </is>
      </c>
      <c r="D9" s="29" t="inlineStr">
        <is>
          <t>1.0</t>
        </is>
      </c>
      <c r="E9" s="29" t="inlineStr">
        <is>
          <t>Approved</t>
        </is>
      </c>
      <c r="F9" s="29" t="inlineStr">
        <is>
          <t>13 - Campaign - Your Watch Our Standard/Basic Risk Assessment Guides</t>
        </is>
      </c>
      <c r="G9" s="29" t="inlineStr">
        <is>
          <t>ISO 45001</t>
        </is>
      </c>
      <c r="H9" s="29" t="inlineStr">
        <is>
          <t>Group Compliance Director</t>
        </is>
      </c>
      <c r="I9" s="29" t="inlineStr">
        <is>
          <t>31/03/2026</t>
        </is>
      </c>
      <c r="J9" s="29" t="inlineStr">
        <is>
          <t>31/03/2027</t>
        </is>
      </c>
      <c r="K9" s="29" t="inlineStr">
        <is>
          <t>SM-CAM-BRAG-002</t>
        </is>
      </c>
      <c r="L9" s="29" t="inlineStr">
        <is>
          <t>14 hazards, 2-page guide for frontline security teams</t>
        </is>
      </c>
    </row>
    <row r="10" ht="43.25" customHeight="1" s="30">
      <c r="A10" s="49" t="inlineStr">
        <is>
          <t>SM/CAM/BRAG/001</t>
        </is>
      </c>
      <c r="B10" s="49" t="inlineStr">
        <is>
          <t>Vessel Transfer Operations — Basic Risk Assessment Guide</t>
        </is>
      </c>
      <c r="C10" s="50" t="inlineStr">
        <is>
          <t>CAM</t>
        </is>
      </c>
      <c r="D10" s="50" t="inlineStr">
        <is>
          <t>1.0</t>
        </is>
      </c>
      <c r="E10" s="50" t="inlineStr">
        <is>
          <t>Approved</t>
        </is>
      </c>
      <c r="F10" s="49" t="inlineStr">
        <is>
          <t>13 - Campaign/Basic Risk Assessment Guides</t>
        </is>
      </c>
      <c r="G10" s="49" t="inlineStr">
        <is>
          <t>ISO 45001</t>
        </is>
      </c>
      <c r="H10" s="50" t="inlineStr">
        <is>
          <t>Group Compliance Director</t>
        </is>
      </c>
      <c r="I10" s="50" t="inlineStr">
        <is>
          <t>31/03/2026</t>
        </is>
      </c>
      <c r="J10" s="50" t="inlineStr">
        <is>
          <t>31/03/2027</t>
        </is>
      </c>
      <c r="K10" s="49" t="n"/>
      <c r="L10" s="49" t="inlineStr">
        <is>
          <t>14 hazards condensed from RA-002. Plain-language 2-page guide for frontline workers.</t>
        </is>
      </c>
    </row>
    <row r="11" ht="32.8" customHeight="1" s="30">
      <c r="A11" s="51" t="inlineStr">
        <is>
          <t>SM/CAM/BRAG/003</t>
        </is>
      </c>
      <c r="B11" s="51" t="inlineStr">
        <is>
          <t>Weapons Handling and Armoury Operations — Basic Risk Assessment Guide</t>
        </is>
      </c>
      <c r="C11" s="52" t="inlineStr">
        <is>
          <t>CAM</t>
        </is>
      </c>
      <c r="D11" s="52" t="inlineStr">
        <is>
          <t>1.0</t>
        </is>
      </c>
      <c r="E11" s="52" t="inlineStr">
        <is>
          <t>Approved</t>
        </is>
      </c>
      <c r="F11" s="51" t="inlineStr">
        <is>
          <t>13 - Campaign/Basic Risk Assessment Guides</t>
        </is>
      </c>
      <c r="G11" s="51" t="inlineStr">
        <is>
          <t>ISO 45001</t>
        </is>
      </c>
      <c r="H11" s="52" t="inlineStr">
        <is>
          <t>Group Compliance Director</t>
        </is>
      </c>
      <c r="I11" s="52" t="inlineStr">
        <is>
          <t>31/03/2026</t>
        </is>
      </c>
      <c r="J11" s="52" t="inlineStr">
        <is>
          <t>31/03/2027</t>
        </is>
      </c>
      <c r="K11" s="51" t="n"/>
      <c r="L11" s="51" t="inlineStr">
        <is>
          <t>12 hazards condensed from RA-004. Plain-language guide.</t>
        </is>
      </c>
    </row>
    <row r="12" ht="32.8" customHeight="1" s="30">
      <c r="A12" s="49" t="inlineStr">
        <is>
          <t>SM/CAM/BRAG/004</t>
        </is>
      </c>
      <c r="B12" s="49" t="inlineStr">
        <is>
          <t>RHIB and Craft Launch Operations — Basic Risk Assessment Guide</t>
        </is>
      </c>
      <c r="C12" s="50" t="inlineStr">
        <is>
          <t>CAM</t>
        </is>
      </c>
      <c r="D12" s="50" t="inlineStr">
        <is>
          <t>1.0</t>
        </is>
      </c>
      <c r="E12" s="50" t="inlineStr">
        <is>
          <t>Approved</t>
        </is>
      </c>
      <c r="F12" s="49" t="inlineStr">
        <is>
          <t>13 - Campaign/Basic Risk Assessment Guides</t>
        </is>
      </c>
      <c r="G12" s="49" t="inlineStr">
        <is>
          <t>ISO 45001</t>
        </is>
      </c>
      <c r="H12" s="50" t="inlineStr">
        <is>
          <t>Group Compliance Director</t>
        </is>
      </c>
      <c r="I12" s="50" t="inlineStr">
        <is>
          <t>31/03/2026</t>
        </is>
      </c>
      <c r="J12" s="50" t="inlineStr">
        <is>
          <t>31/03/2027</t>
        </is>
      </c>
      <c r="K12" s="49" t="n"/>
      <c r="L12" s="49" t="inlineStr">
        <is>
          <t>12 hazards condensed from RA-005. Plain-language guide.</t>
        </is>
      </c>
    </row>
    <row r="13" ht="32.8" customHeight="1" s="30">
      <c r="A13" s="51" t="inlineStr">
        <is>
          <t>SM/CAM/BRAG/005</t>
        </is>
      </c>
      <c r="B13" s="51" t="inlineStr">
        <is>
          <t>Vessel Routine Operations — Basic Risk Assessment Guide</t>
        </is>
      </c>
      <c r="C13" s="52" t="inlineStr">
        <is>
          <t>CAM</t>
        </is>
      </c>
      <c r="D13" s="52" t="inlineStr">
        <is>
          <t>1.0</t>
        </is>
      </c>
      <c r="E13" s="52" t="inlineStr">
        <is>
          <t>Approved</t>
        </is>
      </c>
      <c r="F13" s="51" t="inlineStr">
        <is>
          <t>13 - Campaign/Basic Risk Assessment Guides</t>
        </is>
      </c>
      <c r="G13" s="51" t="inlineStr">
        <is>
          <t>ISO 45001</t>
        </is>
      </c>
      <c r="H13" s="52" t="inlineStr">
        <is>
          <t>Group Compliance Director</t>
        </is>
      </c>
      <c r="I13" s="52" t="inlineStr">
        <is>
          <t>31/03/2026</t>
        </is>
      </c>
      <c r="J13" s="52" t="inlineStr">
        <is>
          <t>31/03/2027</t>
        </is>
      </c>
      <c r="K13" s="51" t="n"/>
      <c r="L13" s="51" t="inlineStr">
        <is>
          <t>14 hazards condensed from RA-006. Plain-language guide.</t>
        </is>
      </c>
    </row>
    <row r="14" ht="32.8" customHeight="1" s="30">
      <c r="A14" s="49" t="inlineStr">
        <is>
          <t>SM/CAM/BRAG/006</t>
        </is>
      </c>
      <c r="B14" s="49" t="inlineStr">
        <is>
          <t>Office Workplace — Basic Risk Assessment Guide</t>
        </is>
      </c>
      <c r="C14" s="50" t="inlineStr">
        <is>
          <t>CAM</t>
        </is>
      </c>
      <c r="D14" s="50" t="inlineStr">
        <is>
          <t>1.0</t>
        </is>
      </c>
      <c r="E14" s="50" t="inlineStr">
        <is>
          <t>Approved</t>
        </is>
      </c>
      <c r="F14" s="49" t="inlineStr">
        <is>
          <t>13 - Campaign/Basic Risk Assessment Guides</t>
        </is>
      </c>
      <c r="G14" s="49" t="inlineStr">
        <is>
          <t>ISO 45001</t>
        </is>
      </c>
      <c r="H14" s="50" t="inlineStr">
        <is>
          <t>Group Compliance Director</t>
        </is>
      </c>
      <c r="I14" s="50" t="inlineStr">
        <is>
          <t>31/03/2026</t>
        </is>
      </c>
      <c r="J14" s="50" t="inlineStr">
        <is>
          <t>31/03/2027</t>
        </is>
      </c>
      <c r="K14" s="49" t="n"/>
      <c r="L14" s="49" t="inlineStr">
        <is>
          <t>12 hazards condensed from RA-007. Office personnel guide.</t>
        </is>
      </c>
    </row>
    <row r="15" ht="32.8" customHeight="1" s="30">
      <c r="A15" s="51" t="inlineStr">
        <is>
          <t>SM/CAM/BRAG/007</t>
        </is>
      </c>
      <c r="B15" s="51" t="inlineStr">
        <is>
          <t>Remote Working — Basic Risk Assessment Guide</t>
        </is>
      </c>
      <c r="C15" s="52" t="inlineStr">
        <is>
          <t>CAM</t>
        </is>
      </c>
      <c r="D15" s="52" t="inlineStr">
        <is>
          <t>1.0</t>
        </is>
      </c>
      <c r="E15" s="52" t="inlineStr">
        <is>
          <t>Approved</t>
        </is>
      </c>
      <c r="F15" s="51" t="inlineStr">
        <is>
          <t>13 - Campaign/Basic Risk Assessment Guides</t>
        </is>
      </c>
      <c r="G15" s="51" t="inlineStr">
        <is>
          <t>ISO 45001</t>
        </is>
      </c>
      <c r="H15" s="52" t="inlineStr">
        <is>
          <t>Group Compliance Director</t>
        </is>
      </c>
      <c r="I15" s="52" t="inlineStr">
        <is>
          <t>31/03/2026</t>
        </is>
      </c>
      <c r="J15" s="52" t="inlineStr">
        <is>
          <t>31/03/2027</t>
        </is>
      </c>
      <c r="K15" s="51" t="n"/>
      <c r="L15" s="51" t="inlineStr">
        <is>
          <t>10 hazards condensed from RA-008. Remote worker guide.</t>
        </is>
      </c>
    </row>
    <row r="16" ht="32.8" customHeight="1" s="30">
      <c r="A16" s="49" t="inlineStr">
        <is>
          <t>SM/CAM/BRAG/008</t>
        </is>
      </c>
      <c r="B16" s="49" t="inlineStr">
        <is>
          <t>Heat Stress — Basic Risk Assessment Guide</t>
        </is>
      </c>
      <c r="C16" s="50" t="inlineStr">
        <is>
          <t>CAM</t>
        </is>
      </c>
      <c r="D16" s="50" t="inlineStr">
        <is>
          <t>1.0</t>
        </is>
      </c>
      <c r="E16" s="50" t="inlineStr">
        <is>
          <t>Approved</t>
        </is>
      </c>
      <c r="F16" s="49" t="inlineStr">
        <is>
          <t>13 - Campaign/Basic Risk Assessment Guides</t>
        </is>
      </c>
      <c r="G16" s="49" t="inlineStr">
        <is>
          <t>ISO 45001</t>
        </is>
      </c>
      <c r="H16" s="50" t="inlineStr">
        <is>
          <t>Group Compliance Director</t>
        </is>
      </c>
      <c r="I16" s="50" t="inlineStr">
        <is>
          <t>31/03/2026</t>
        </is>
      </c>
      <c r="J16" s="50" t="inlineStr">
        <is>
          <t>31/03/2027</t>
        </is>
      </c>
      <c r="K16" s="49" t="n"/>
      <c r="L16" s="49" t="inlineStr">
        <is>
          <t>10 hazards condensed from RA-009. Simple language for international crew.</t>
        </is>
      </c>
    </row>
    <row r="17" ht="15" customHeight="1" s="30">
      <c r="A17" s="29" t="inlineStr">
        <is>
          <t>SM/INT/DOC/003</t>
        </is>
      </c>
      <c r="B17" s="29" t="inlineStr">
        <is>
          <t>Risk Screening Tool — Concept and Design Specification</t>
        </is>
      </c>
      <c r="C17" s="29" t="inlineStr">
        <is>
          <t>INT</t>
        </is>
      </c>
      <c r="D17" s="29" t="inlineStr">
        <is>
          <t>1.0</t>
        </is>
      </c>
      <c r="E17" s="29" t="inlineStr">
        <is>
          <t>Approved</t>
        </is>
      </c>
      <c r="F17" s="29" t="inlineStr">
        <is>
          <t>01 - Policies</t>
        </is>
      </c>
      <c r="G17" s="29" t="inlineStr">
        <is>
          <t>ISO 45001 (6.1) / ISO 18788 (6.1) / ISO 28000 (6.1)</t>
        </is>
      </c>
      <c r="H17" s="29" t="inlineStr">
        <is>
          <t>Group Compliance Director</t>
        </is>
      </c>
    </row>
    <row r="18" ht="15" customHeight="1" s="30">
      <c r="A18" s="29" t="inlineStr">
        <is>
          <t>SM/SEC/DOC/001</t>
        </is>
      </c>
      <c r="B18" s="29" t="inlineStr">
        <is>
          <t>OCIMF PMSC Guidance Checklist — Completed Responses</t>
        </is>
      </c>
      <c r="C18" s="29" t="inlineStr">
        <is>
          <t>SEC</t>
        </is>
      </c>
      <c r="D18" s="29" t="inlineStr">
        <is>
          <t>1.0</t>
        </is>
      </c>
      <c r="E18" s="29" t="inlineStr">
        <is>
          <t>Approved</t>
        </is>
      </c>
      <c r="F18" s="29" t="inlineStr">
        <is>
          <t>06 / Due Diligence Packs</t>
        </is>
      </c>
      <c r="G18" s="29" t="inlineStr">
        <is>
          <t>ISO 28007 (4.4.6) / ISO 18788 (A.4.3.2)</t>
        </is>
      </c>
      <c r="H18" s="29" t="inlineStr">
        <is>
          <t>Group Compliance Director</t>
        </is>
      </c>
      <c r="I18" s="29" t="inlineStr">
        <is>
          <t>02/04/2026</t>
        </is>
      </c>
      <c r="J18" s="29" t="inlineStr">
        <is>
          <t>02/07/2026</t>
        </is>
      </c>
      <c r="K18" s="29" t="inlineStr">
        <is>
          <t>Supersedes legacy Malta OCIMF checklist</t>
        </is>
      </c>
    </row>
    <row r="19" ht="15" customHeight="1" s="30">
      <c r="A19" s="43" t="inlineStr">
        <is>
          <t>SM/INT/DOC/004</t>
        </is>
      </c>
      <c r="B19" s="44" t="inlineStr">
        <is>
          <t>Company Profile 2026</t>
        </is>
      </c>
      <c r="C19" s="45" t="inlineStr">
        <is>
          <t>INT</t>
        </is>
      </c>
      <c r="D19" s="45" t="inlineStr">
        <is>
          <t>1.0</t>
        </is>
      </c>
      <c r="E19" s="45" t="inlineStr">
        <is>
          <t>Approved</t>
        </is>
      </c>
      <c r="F19" s="44" t="inlineStr">
        <is>
          <t>00 - Management System Overview</t>
        </is>
      </c>
      <c r="G19" s="44" t="inlineStr">
        <is>
          <t>All</t>
        </is>
      </c>
      <c r="H19" s="45" t="inlineStr">
        <is>
          <t>Group Compliance Director</t>
        </is>
      </c>
    </row>
    <row r="20" ht="15" customHeight="1" s="30">
      <c r="A20" s="43" t="inlineStr">
        <is>
          <t>SM/INT/DOC/006</t>
        </is>
      </c>
      <c r="B20" s="44" t="inlineStr">
        <is>
          <t>MSO Course Program</t>
        </is>
      </c>
      <c r="C20" s="45" t="inlineStr">
        <is>
          <t>INT</t>
        </is>
      </c>
      <c r="D20" s="45" t="inlineStr">
        <is>
          <t>1.0</t>
        </is>
      </c>
      <c r="E20" s="45" t="inlineStr">
        <is>
          <t>Approved</t>
        </is>
      </c>
      <c r="F20" s="44" t="inlineStr">
        <is>
          <t>02 - Procedures and SOPs</t>
        </is>
      </c>
      <c r="G20" s="44" t="inlineStr">
        <is>
          <t>28007 / 18788</t>
        </is>
      </c>
      <c r="H20" s="45" t="inlineStr">
        <is>
          <t>Group Compliance Director</t>
        </is>
      </c>
    </row>
    <row r="21" ht="15" customHeight="1" s="30">
      <c r="A21" s="43" t="inlineStr">
        <is>
          <t>SM/CAM/BUL/002</t>
        </is>
      </c>
      <c r="B21" s="44" t="inlineStr">
        <is>
          <t>Due Diligence Portal — Internal Bulletin</t>
        </is>
      </c>
      <c r="C21" s="45" t="inlineStr">
        <is>
          <t>CAM</t>
        </is>
      </c>
      <c r="D21" s="45" t="inlineStr">
        <is>
          <t>1.0</t>
        </is>
      </c>
      <c r="E21" s="45" t="inlineStr">
        <is>
          <t>Approved</t>
        </is>
      </c>
      <c r="F21" s="44" t="inlineStr">
        <is>
          <t>13 - Campaign</t>
        </is>
      </c>
      <c r="G21" s="44" t="inlineStr">
        <is>
          <t>All</t>
        </is>
      </c>
      <c r="H21" s="45" t="inlineStr">
        <is>
          <t>Group Compliance Director</t>
        </is>
      </c>
    </row>
    <row r="22" ht="15" customHeight="1" s="30">
      <c r="A22" s="43" t="inlineStr">
        <is>
          <t>SM/CAM/SG/001</t>
        </is>
      </c>
      <c r="B22" s="44" t="inlineStr">
        <is>
          <t>Vessel Transfer Operations Safety Guide</t>
        </is>
      </c>
      <c r="C22" s="45" t="inlineStr">
        <is>
          <t>CAM</t>
        </is>
      </c>
      <c r="D22" s="45" t="inlineStr">
        <is>
          <t>1.0</t>
        </is>
      </c>
      <c r="E22" s="45" t="inlineStr">
        <is>
          <t>Approved</t>
        </is>
      </c>
      <c r="F22" s="44" t="inlineStr">
        <is>
          <t>13 - Campaign / Safety Guides</t>
        </is>
      </c>
      <c r="G22" s="44" t="inlineStr">
        <is>
          <t>45001</t>
        </is>
      </c>
      <c r="H22" s="45" t="inlineStr">
        <is>
          <t>Group Compliance Director</t>
        </is>
      </c>
    </row>
    <row r="23" ht="15" customHeight="1" s="30">
      <c r="C23" s="29" t="n"/>
      <c r="E23" s="29" t="n"/>
    </row>
    <row r="24" ht="15" customHeight="1" s="30">
      <c r="C24" s="29" t="n"/>
      <c r="E24" s="29" t="n"/>
    </row>
    <row r="25" ht="15" customHeight="1" s="30">
      <c r="C25" s="29" t="n"/>
      <c r="E25" s="29" t="n"/>
    </row>
    <row r="26" ht="15" customHeight="1" s="30">
      <c r="C26" s="29" t="n"/>
      <c r="E26" s="29" t="n"/>
    </row>
    <row r="27" ht="15" customHeight="1" s="30">
      <c r="C27" s="29" t="n"/>
      <c r="E27" s="29" t="n"/>
    </row>
    <row r="28" ht="15" customHeight="1" s="30">
      <c r="C28" s="29" t="n"/>
      <c r="E28" s="29" t="n"/>
    </row>
    <row r="29" ht="15" customHeight="1" s="30">
      <c r="C29" s="29" t="n"/>
      <c r="E29" s="29" t="n"/>
    </row>
    <row r="30" ht="15" customHeight="1" s="30">
      <c r="C30" s="29" t="n"/>
      <c r="E30" s="29" t="n"/>
    </row>
    <row r="31" ht="15" customHeight="1" s="30">
      <c r="C31" s="29" t="n"/>
      <c r="E31" s="29" t="n"/>
    </row>
    <row r="32" ht="15" customHeight="1" s="30">
      <c r="C32" s="29" t="n"/>
      <c r="E32" s="29" t="n"/>
    </row>
    <row r="33" ht="15" customHeight="1" s="30">
      <c r="C33" s="29" t="n"/>
      <c r="E33" s="29" t="n"/>
    </row>
    <row r="34" ht="15" customHeight="1" s="30">
      <c r="C34" s="29" t="n"/>
      <c r="E34" s="29" t="n"/>
    </row>
    <row r="35" ht="15" customHeight="1" s="30">
      <c r="C35" s="29" t="n"/>
      <c r="E35" s="29" t="n"/>
    </row>
    <row r="36" ht="15" customHeight="1" s="30">
      <c r="C36" s="29" t="n"/>
      <c r="E36" s="29" t="n"/>
    </row>
    <row r="37" ht="15" customHeight="1" s="30">
      <c r="C37" s="29" t="n"/>
      <c r="E37" s="29" t="n"/>
    </row>
    <row r="38" ht="15" customHeight="1" s="30">
      <c r="C38" s="29" t="n"/>
      <c r="E38" s="29" t="n"/>
    </row>
    <row r="39" ht="15" customHeight="1" s="30">
      <c r="C39" s="29" t="n"/>
      <c r="E39" s="29" t="n"/>
    </row>
    <row r="40" ht="15" customHeight="1" s="30">
      <c r="C40" s="29" t="n"/>
      <c r="E40" s="29" t="n"/>
    </row>
    <row r="41" ht="15" customHeight="1" s="30">
      <c r="C41" s="29" t="n"/>
      <c r="E41" s="29" t="n"/>
    </row>
    <row r="42" ht="15" customHeight="1" s="30">
      <c r="C42" s="29" t="n"/>
      <c r="E42" s="29" t="n"/>
    </row>
    <row r="43" ht="15" customHeight="1" s="30">
      <c r="C43" s="29" t="n"/>
      <c r="E43" s="29" t="n"/>
    </row>
    <row r="44" ht="15" customHeight="1" s="30">
      <c r="C44" s="29" t="n"/>
      <c r="E44" s="29" t="n"/>
    </row>
    <row r="45" ht="15" customHeight="1" s="30">
      <c r="C45" s="29" t="n"/>
      <c r="E45" s="29" t="n"/>
    </row>
    <row r="46" ht="15" customHeight="1" s="30">
      <c r="C46" s="29" t="n"/>
      <c r="E46" s="29" t="n"/>
    </row>
    <row r="47" ht="15" customHeight="1" s="30">
      <c r="C47" s="29" t="n"/>
      <c r="E47" s="29" t="n"/>
    </row>
    <row r="48" ht="15" customHeight="1" s="30">
      <c r="C48" s="29" t="n"/>
      <c r="E48" s="29" t="n"/>
    </row>
    <row r="49" ht="15" customHeight="1" s="30">
      <c r="C49" s="29" t="n"/>
      <c r="E49" s="29" t="n"/>
    </row>
    <row r="50" ht="15" customHeight="1" s="30">
      <c r="C50" s="29" t="n"/>
      <c r="E50" s="29" t="n"/>
    </row>
    <row r="51" ht="15" customHeight="1" s="30">
      <c r="C51" s="29" t="n"/>
      <c r="E51" s="29" t="n"/>
    </row>
    <row r="52" ht="15" customHeight="1" s="30">
      <c r="C52" s="29" t="n"/>
      <c r="E52" s="29" t="n"/>
    </row>
    <row r="53" ht="15" customHeight="1" s="30">
      <c r="C53" s="29" t="n"/>
      <c r="E53" s="29" t="n"/>
    </row>
    <row r="54" ht="15" customHeight="1" s="30">
      <c r="C54" s="29" t="n"/>
      <c r="E54" s="29" t="n"/>
    </row>
    <row r="55" ht="15" customHeight="1" s="30">
      <c r="C55" s="29" t="n"/>
      <c r="E55" s="29" t="n"/>
    </row>
    <row r="56" ht="15" customHeight="1" s="30">
      <c r="C56" s="29" t="n"/>
      <c r="E56" s="29" t="n"/>
    </row>
    <row r="57" ht="15" customHeight="1" s="30">
      <c r="C57" s="29" t="n"/>
      <c r="E57" s="29" t="n"/>
    </row>
    <row r="58" ht="15" customHeight="1" s="30">
      <c r="C58" s="29" t="n"/>
      <c r="E58" s="29" t="n"/>
    </row>
    <row r="59" ht="15" customHeight="1" s="30">
      <c r="C59" s="29" t="n"/>
      <c r="E59" s="29" t="n"/>
    </row>
    <row r="60" ht="15" customHeight="1" s="30">
      <c r="C60" s="29" t="n"/>
      <c r="E60" s="29" t="n"/>
    </row>
    <row r="61" ht="15" customHeight="1" s="30">
      <c r="C61" s="29" t="n"/>
      <c r="E61" s="29" t="n"/>
    </row>
    <row r="62" ht="15" customHeight="1" s="30">
      <c r="C62" s="29" t="n"/>
      <c r="E62" s="29" t="n"/>
    </row>
    <row r="63" ht="15" customHeight="1" s="30">
      <c r="C63" s="29" t="n"/>
      <c r="E63" s="29" t="n"/>
    </row>
    <row r="64" ht="15" customHeight="1" s="30">
      <c r="C64" s="29" t="n"/>
      <c r="E64" s="29" t="n"/>
    </row>
    <row r="65" ht="15" customHeight="1" s="30">
      <c r="C65" s="29" t="n"/>
      <c r="E65" s="29" t="n"/>
    </row>
    <row r="66" ht="15" customHeight="1" s="30">
      <c r="C66" s="29" t="n"/>
      <c r="E66" s="29" t="n"/>
    </row>
    <row r="67" ht="15" customHeight="1" s="30">
      <c r="C67" s="29" t="n"/>
      <c r="E67" s="29" t="n"/>
    </row>
    <row r="68" ht="15" customHeight="1" s="30">
      <c r="C68" s="29" t="n"/>
      <c r="E68" s="29" t="n"/>
    </row>
    <row r="69" ht="15" customHeight="1" s="30">
      <c r="C69" s="29" t="n"/>
      <c r="E69" s="29" t="n"/>
    </row>
    <row r="70" ht="15" customHeight="1" s="30">
      <c r="C70" s="29" t="n"/>
      <c r="E70" s="29" t="n"/>
    </row>
    <row r="71" ht="15" customHeight="1" s="30">
      <c r="C71" s="29" t="n"/>
      <c r="E71" s="29" t="n"/>
    </row>
    <row r="72" ht="15" customHeight="1" s="30">
      <c r="C72" s="29" t="n"/>
      <c r="E72" s="29" t="n"/>
    </row>
    <row r="73" ht="15" customHeight="1" s="30">
      <c r="C73" s="29" t="n"/>
      <c r="E73" s="29" t="n"/>
    </row>
    <row r="74" ht="15" customHeight="1" s="30">
      <c r="C74" s="29" t="n"/>
      <c r="E74" s="29" t="n"/>
    </row>
    <row r="75" ht="15" customHeight="1" s="30">
      <c r="C75" s="29" t="n"/>
      <c r="E75" s="29" t="n"/>
    </row>
    <row r="76" ht="15" customHeight="1" s="30">
      <c r="C76" s="29" t="n"/>
      <c r="E76" s="29" t="n"/>
    </row>
    <row r="77" ht="15" customHeight="1" s="30">
      <c r="C77" s="29" t="n"/>
      <c r="E77" s="29" t="n"/>
    </row>
    <row r="78" ht="15" customHeight="1" s="30">
      <c r="C78" s="29" t="n"/>
      <c r="E78" s="29" t="n"/>
    </row>
    <row r="79" ht="15" customHeight="1" s="30">
      <c r="C79" s="29" t="n"/>
      <c r="E79" s="29" t="n"/>
    </row>
    <row r="80" ht="15" customHeight="1" s="30">
      <c r="C80" s="29" t="n"/>
      <c r="E80" s="29" t="n"/>
    </row>
    <row r="81" ht="15" customHeight="1" s="30">
      <c r="C81" s="29" t="n"/>
      <c r="E81" s="29" t="n"/>
    </row>
    <row r="82" ht="15" customHeight="1" s="30">
      <c r="C82" s="29" t="n"/>
      <c r="E82" s="29" t="n"/>
    </row>
    <row r="83" ht="15" customHeight="1" s="30">
      <c r="C83" s="29" t="n"/>
      <c r="E83" s="29" t="n"/>
    </row>
    <row r="84" ht="15" customHeight="1" s="30">
      <c r="C84" s="29" t="n"/>
      <c r="E84" s="29" t="n"/>
    </row>
    <row r="85" ht="15" customHeight="1" s="30">
      <c r="C85" s="29" t="n"/>
      <c r="E85" s="29" t="n"/>
    </row>
    <row r="86" ht="15" customHeight="1" s="30">
      <c r="C86" s="29" t="n"/>
      <c r="E86" s="29" t="n"/>
    </row>
    <row r="87" ht="15" customHeight="1" s="30">
      <c r="C87" s="29" t="n"/>
      <c r="E87" s="29" t="n"/>
    </row>
    <row r="88" ht="15" customHeight="1" s="30">
      <c r="C88" s="29" t="n"/>
      <c r="E88" s="29" t="n"/>
    </row>
    <row r="89" ht="15" customHeight="1" s="30">
      <c r="C89" s="29" t="n"/>
      <c r="E89" s="29" t="n"/>
    </row>
    <row r="90" ht="15" customHeight="1" s="30">
      <c r="C90" s="29" t="n"/>
      <c r="E90" s="29" t="n"/>
    </row>
    <row r="91" ht="15" customHeight="1" s="30">
      <c r="C91" s="29" t="n"/>
      <c r="E91" s="29" t="n"/>
    </row>
    <row r="92" ht="15" customHeight="1" s="30">
      <c r="C92" s="29" t="n"/>
      <c r="E92" s="29" t="n"/>
    </row>
    <row r="93" ht="15" customHeight="1" s="30">
      <c r="C93" s="29" t="n"/>
      <c r="E93" s="29" t="n"/>
    </row>
    <row r="94" ht="15" customHeight="1" s="30">
      <c r="C94" s="29" t="n"/>
      <c r="E94" s="29" t="n"/>
    </row>
    <row r="95" ht="15" customHeight="1" s="30">
      <c r="C95" s="29" t="n"/>
      <c r="E95" s="29" t="n"/>
    </row>
    <row r="96" ht="15" customHeight="1" s="30">
      <c r="C96" s="29" t="n"/>
      <c r="E96" s="29" t="n"/>
    </row>
    <row r="97" ht="15" customHeight="1" s="30">
      <c r="C97" s="29" t="n"/>
      <c r="E97" s="29" t="n"/>
    </row>
    <row r="98" ht="15" customHeight="1" s="30">
      <c r="C98" s="29" t="n"/>
      <c r="E98" s="29" t="n"/>
    </row>
    <row r="99" ht="15" customHeight="1" s="30">
      <c r="C99" s="29" t="n"/>
      <c r="E99" s="29" t="n"/>
    </row>
    <row r="100" ht="15" customHeight="1" s="30">
      <c r="C100" s="29" t="n"/>
      <c r="E100" s="29" t="n"/>
    </row>
    <row r="101" ht="15" customHeight="1" s="30">
      <c r="C101" s="29" t="n"/>
      <c r="E101" s="29" t="n"/>
    </row>
    <row r="102" ht="15" customHeight="1" s="30">
      <c r="C102" s="29" t="n"/>
      <c r="E102" s="29" t="n"/>
    </row>
    <row r="103" ht="15" customHeight="1" s="30">
      <c r="C103" s="29" t="n"/>
      <c r="E103" s="29" t="n"/>
    </row>
    <row r="104" ht="15" customHeight="1" s="30">
      <c r="C104" s="29" t="n"/>
      <c r="E104" s="29" t="n"/>
    </row>
    <row r="105" ht="15" customHeight="1" s="30">
      <c r="C105" s="29" t="n"/>
      <c r="E105" s="29" t="n"/>
    </row>
    <row r="106" ht="15" customHeight="1" s="30">
      <c r="C106" s="29" t="n"/>
      <c r="E106" s="29" t="n"/>
    </row>
    <row r="107" ht="15" customHeight="1" s="30">
      <c r="C107" s="29" t="n"/>
      <c r="E107" s="29" t="n"/>
    </row>
    <row r="108" ht="15" customHeight="1" s="30">
      <c r="C108" s="29" t="n"/>
      <c r="E108" s="29" t="n"/>
    </row>
    <row r="109" ht="15" customHeight="1" s="30">
      <c r="C109" s="29" t="n"/>
      <c r="E109" s="29" t="n"/>
    </row>
    <row r="110" ht="15" customHeight="1" s="30">
      <c r="C110" s="29" t="n"/>
      <c r="E110" s="29" t="n"/>
    </row>
    <row r="111" ht="15" customHeight="1" s="30">
      <c r="C111" s="29" t="n"/>
      <c r="E111" s="29" t="n"/>
    </row>
    <row r="112" ht="15" customHeight="1" s="30">
      <c r="C112" s="29" t="n"/>
      <c r="E112" s="29" t="n"/>
    </row>
    <row r="113" ht="15" customHeight="1" s="30">
      <c r="C113" s="29" t="n"/>
      <c r="E113" s="29" t="n"/>
    </row>
    <row r="114" ht="15" customHeight="1" s="30">
      <c r="C114" s="29" t="n"/>
      <c r="E114" s="29" t="n"/>
    </row>
    <row r="115" ht="15" customHeight="1" s="30">
      <c r="C115" s="29" t="n"/>
      <c r="E115" s="29" t="n"/>
    </row>
    <row r="116" ht="15" customHeight="1" s="30">
      <c r="C116" s="29" t="n"/>
      <c r="E116" s="29" t="n"/>
    </row>
    <row r="117" ht="15" customHeight="1" s="30">
      <c r="C117" s="29" t="n"/>
      <c r="E117" s="29" t="n"/>
    </row>
    <row r="118" ht="15" customHeight="1" s="30">
      <c r="C118" s="29" t="n"/>
      <c r="E118" s="29" t="n"/>
    </row>
    <row r="119" ht="15" customHeight="1" s="30">
      <c r="C119" s="29" t="n"/>
      <c r="E119" s="29" t="n"/>
    </row>
    <row r="120" ht="15" customHeight="1" s="30">
      <c r="C120" s="29" t="n"/>
      <c r="E120" s="29" t="n"/>
    </row>
    <row r="121" ht="15" customHeight="1" s="30">
      <c r="C121" s="29" t="n"/>
      <c r="E121" s="29" t="n"/>
    </row>
    <row r="122" ht="15" customHeight="1" s="30">
      <c r="C122" s="29" t="n"/>
      <c r="E122" s="29" t="n"/>
    </row>
    <row r="123" ht="15" customHeight="1" s="30">
      <c r="C123" s="29" t="n"/>
      <c r="E123" s="29" t="n"/>
    </row>
    <row r="124" ht="15" customHeight="1" s="30">
      <c r="C124" s="29" t="n"/>
      <c r="E124" s="29" t="n"/>
    </row>
    <row r="125" ht="15" customHeight="1" s="30">
      <c r="C125" s="29" t="n"/>
      <c r="E125" s="29" t="n"/>
    </row>
    <row r="126" ht="15" customHeight="1" s="30">
      <c r="C126" s="29" t="n"/>
      <c r="E126" s="29" t="n"/>
    </row>
    <row r="127" ht="15" customHeight="1" s="30">
      <c r="C127" s="29" t="n"/>
      <c r="E127" s="29" t="n"/>
    </row>
    <row r="128" ht="15" customHeight="1" s="30">
      <c r="C128" s="29" t="n"/>
      <c r="E128" s="29" t="n"/>
    </row>
    <row r="129" ht="15" customHeight="1" s="30">
      <c r="C129" s="29" t="n"/>
      <c r="E129" s="29" t="n"/>
    </row>
    <row r="130" ht="15" customHeight="1" s="30">
      <c r="C130" s="29" t="n"/>
      <c r="E130" s="29" t="n"/>
    </row>
    <row r="131" ht="15" customHeight="1" s="30">
      <c r="C131" s="29" t="n"/>
      <c r="E131" s="29" t="n"/>
    </row>
    <row r="132" ht="15" customHeight="1" s="30">
      <c r="C132" s="29" t="n"/>
      <c r="E132" s="29" t="n"/>
    </row>
    <row r="133" ht="15" customHeight="1" s="30">
      <c r="C133" s="29" t="n"/>
      <c r="E133" s="29" t="n"/>
    </row>
    <row r="134" ht="15" customHeight="1" s="30">
      <c r="C134" s="29" t="n"/>
      <c r="E134" s="29" t="n"/>
    </row>
    <row r="135" ht="15" customHeight="1" s="30">
      <c r="C135" s="29" t="n"/>
      <c r="E135" s="29" t="n"/>
    </row>
    <row r="136" ht="15" customHeight="1" s="30">
      <c r="C136" s="29" t="n"/>
      <c r="E136" s="29" t="n"/>
    </row>
    <row r="137" ht="15" customHeight="1" s="30">
      <c r="C137" s="29" t="n"/>
      <c r="E137" s="29" t="n"/>
    </row>
    <row r="138" ht="15" customHeight="1" s="30">
      <c r="C138" s="29" t="n"/>
      <c r="E138" s="29" t="n"/>
    </row>
    <row r="139" ht="15" customHeight="1" s="30">
      <c r="C139" s="29" t="n"/>
      <c r="E139" s="29" t="n"/>
    </row>
    <row r="140" ht="15" customHeight="1" s="30">
      <c r="C140" s="29" t="n"/>
      <c r="E140" s="29" t="n"/>
    </row>
    <row r="141" ht="15" customHeight="1" s="30">
      <c r="C141" s="29" t="n"/>
      <c r="E141" s="29" t="n"/>
    </row>
    <row r="142" ht="15" customHeight="1" s="30">
      <c r="C142" s="29" t="n"/>
      <c r="E142" s="29" t="n"/>
    </row>
    <row r="143" ht="15" customHeight="1" s="30">
      <c r="C143" s="29" t="n"/>
      <c r="E143" s="29" t="n"/>
    </row>
    <row r="144" ht="15" customHeight="1" s="30">
      <c r="C144" s="29" t="n"/>
      <c r="E144" s="29" t="n"/>
    </row>
    <row r="145" ht="15" customHeight="1" s="30">
      <c r="C145" s="29" t="n"/>
      <c r="E145" s="29" t="n"/>
    </row>
    <row r="146" ht="15" customHeight="1" s="30">
      <c r="C146" s="29" t="n"/>
      <c r="E146" s="29" t="n"/>
    </row>
    <row r="147" ht="15" customHeight="1" s="30">
      <c r="C147" s="29" t="n"/>
      <c r="E147" s="29" t="n"/>
    </row>
    <row r="148" ht="15" customHeight="1" s="30">
      <c r="C148" s="29" t="n"/>
      <c r="E148" s="29" t="n"/>
    </row>
    <row r="149" ht="15" customHeight="1" s="30">
      <c r="C149" s="29" t="n"/>
      <c r="E149" s="29" t="n"/>
    </row>
    <row r="150" ht="15" customHeight="1" s="30">
      <c r="C150" s="29" t="n"/>
      <c r="E150" s="29" t="n"/>
    </row>
    <row r="151" ht="15" customHeight="1" s="30">
      <c r="C151" s="29" t="n"/>
      <c r="E151" s="29" t="n"/>
    </row>
    <row r="152" ht="15" customHeight="1" s="30">
      <c r="C152" s="29" t="n"/>
      <c r="E152" s="29" t="n"/>
    </row>
    <row r="153" ht="15" customHeight="1" s="30">
      <c r="C153" s="29" t="n"/>
      <c r="E153" s="29" t="n"/>
    </row>
    <row r="154" ht="15" customHeight="1" s="30">
      <c r="C154" s="29" t="n"/>
      <c r="E154" s="29" t="n"/>
    </row>
    <row r="155" ht="15" customHeight="1" s="30">
      <c r="C155" s="29" t="n"/>
      <c r="E155" s="29" t="n"/>
    </row>
    <row r="156" ht="15" customHeight="1" s="30">
      <c r="C156" s="29" t="n"/>
      <c r="E156" s="29" t="n"/>
    </row>
    <row r="157" ht="15" customHeight="1" s="30">
      <c r="C157" s="29" t="n"/>
      <c r="E157" s="29" t="n"/>
    </row>
    <row r="158" ht="15" customHeight="1" s="30">
      <c r="C158" s="29" t="n"/>
      <c r="E158" s="29" t="n"/>
    </row>
    <row r="159" ht="15" customHeight="1" s="30">
      <c r="C159" s="29" t="n"/>
      <c r="E159" s="29" t="n"/>
    </row>
    <row r="160" ht="15" customHeight="1" s="30">
      <c r="C160" s="29" t="n"/>
      <c r="E160" s="29" t="n"/>
    </row>
    <row r="161" ht="15" customHeight="1" s="30">
      <c r="C161" s="29" t="n"/>
      <c r="E161" s="29" t="n"/>
    </row>
    <row r="162" ht="15" customHeight="1" s="30">
      <c r="C162" s="29" t="n"/>
      <c r="E162" s="29" t="n"/>
    </row>
    <row r="163" ht="15" customHeight="1" s="30">
      <c r="C163" s="29" t="n"/>
      <c r="E163" s="29" t="n"/>
    </row>
    <row r="164" ht="15" customHeight="1" s="30">
      <c r="C164" s="29" t="n"/>
      <c r="E164" s="29" t="n"/>
    </row>
    <row r="165" ht="15" customHeight="1" s="30">
      <c r="C165" s="29" t="n"/>
      <c r="E165" s="29" t="n"/>
    </row>
    <row r="166" ht="15" customHeight="1" s="30">
      <c r="C166" s="29" t="n"/>
      <c r="E166" s="29" t="n"/>
    </row>
    <row r="167" ht="15" customHeight="1" s="30">
      <c r="C167" s="29" t="n"/>
      <c r="E167" s="29" t="n"/>
    </row>
    <row r="168" ht="15" customHeight="1" s="30">
      <c r="C168" s="29" t="n"/>
      <c r="E168" s="29" t="n"/>
    </row>
    <row r="169" ht="15" customHeight="1" s="30">
      <c r="C169" s="29" t="n"/>
      <c r="E169" s="29" t="n"/>
    </row>
    <row r="170" ht="15" customHeight="1" s="30">
      <c r="C170" s="29" t="n"/>
      <c r="E170" s="29" t="n"/>
    </row>
    <row r="171" ht="15" customHeight="1" s="30">
      <c r="C171" s="29" t="n"/>
      <c r="E171" s="29" t="n"/>
    </row>
    <row r="172" ht="15" customHeight="1" s="30">
      <c r="C172" s="29" t="n"/>
      <c r="E172" s="29" t="n"/>
    </row>
    <row r="173" ht="15" customHeight="1" s="30">
      <c r="C173" s="29" t="n"/>
      <c r="E173" s="29" t="n"/>
    </row>
    <row r="174" ht="15" customHeight="1" s="30">
      <c r="C174" s="29" t="n"/>
      <c r="E174" s="29" t="n"/>
    </row>
    <row r="175" ht="15" customHeight="1" s="30">
      <c r="C175" s="29" t="n"/>
      <c r="E175" s="29" t="n"/>
    </row>
    <row r="176" ht="15" customHeight="1" s="30">
      <c r="C176" s="29" t="n"/>
      <c r="E176" s="29" t="n"/>
    </row>
    <row r="177" ht="15" customHeight="1" s="30">
      <c r="C177" s="29" t="n"/>
      <c r="E177" s="29" t="n"/>
    </row>
    <row r="178" ht="15" customHeight="1" s="30">
      <c r="C178" s="29" t="n"/>
      <c r="E178" s="29" t="n"/>
    </row>
    <row r="179" ht="15" customHeight="1" s="30">
      <c r="C179" s="29" t="n"/>
      <c r="E179" s="29" t="n"/>
    </row>
    <row r="180" ht="15" customHeight="1" s="30">
      <c r="C180" s="29" t="n"/>
      <c r="E180" s="29" t="n"/>
    </row>
    <row r="181" ht="15" customHeight="1" s="30">
      <c r="C181" s="29" t="n"/>
      <c r="E181" s="29" t="n"/>
    </row>
    <row r="182" ht="15" customHeight="1" s="30">
      <c r="C182" s="29" t="n"/>
      <c r="E182" s="29" t="n"/>
    </row>
    <row r="183" ht="15" customHeight="1" s="30">
      <c r="C183" s="29" t="n"/>
      <c r="E183" s="29" t="n"/>
    </row>
    <row r="184" ht="15" customHeight="1" s="30">
      <c r="C184" s="29" t="n"/>
      <c r="E184" s="29" t="n"/>
    </row>
    <row r="185" ht="15" customHeight="1" s="30">
      <c r="C185" s="29" t="n"/>
      <c r="E185" s="29" t="n"/>
    </row>
    <row r="186" ht="15" customHeight="1" s="30">
      <c r="C186" s="29" t="n"/>
      <c r="E186" s="29" t="n"/>
    </row>
    <row r="187" ht="15" customHeight="1" s="30">
      <c r="C187" s="29" t="n"/>
      <c r="E187" s="29" t="n"/>
    </row>
    <row r="188" ht="15" customHeight="1" s="30">
      <c r="C188" s="29" t="n"/>
      <c r="E188" s="29" t="n"/>
    </row>
    <row r="189" ht="15" customHeight="1" s="30">
      <c r="C189" s="29" t="n"/>
      <c r="E189" s="29" t="n"/>
    </row>
    <row r="190" ht="15" customHeight="1" s="30">
      <c r="C190" s="29" t="n"/>
      <c r="E190" s="29" t="n"/>
    </row>
    <row r="191" ht="15" customHeight="1" s="30">
      <c r="C191" s="29" t="n"/>
      <c r="E191" s="29" t="n"/>
    </row>
    <row r="192" ht="15" customHeight="1" s="30">
      <c r="C192" s="29" t="n"/>
      <c r="E192" s="29" t="n"/>
    </row>
    <row r="193" ht="15" customHeight="1" s="30">
      <c r="C193" s="29" t="n"/>
      <c r="E193" s="29" t="n"/>
    </row>
    <row r="194" ht="15" customHeight="1" s="30">
      <c r="C194" s="29" t="n"/>
      <c r="E194" s="29" t="n"/>
    </row>
    <row r="195" ht="15" customHeight="1" s="30">
      <c r="C195" s="29" t="n"/>
      <c r="E195" s="29" t="n"/>
    </row>
    <row r="196" ht="15" customHeight="1" s="30">
      <c r="C196" s="29" t="n"/>
      <c r="E196" s="29" t="n"/>
    </row>
    <row r="197" ht="15" customHeight="1" s="30">
      <c r="C197" s="29" t="n"/>
      <c r="E197" s="29" t="n"/>
    </row>
    <row r="198" ht="15" customHeight="1" s="30">
      <c r="C198" s="29" t="n"/>
      <c r="E198" s="29" t="n"/>
    </row>
    <row r="199" ht="15" customHeight="1" s="30">
      <c r="C199" s="29" t="n"/>
      <c r="E199" s="29" t="n"/>
    </row>
    <row r="200" ht="15" customHeight="1" s="30">
      <c r="C200" s="29" t="n"/>
      <c r="E200" s="29" t="n"/>
    </row>
    <row r="201" ht="15" customHeight="1" s="30">
      <c r="C201" s="29" t="n"/>
      <c r="E201" s="29" t="n"/>
    </row>
    <row r="202" ht="15" customHeight="1" s="30">
      <c r="C202" s="29" t="n"/>
      <c r="E202" s="29" t="n"/>
    </row>
    <row r="203" ht="15" customHeight="1" s="30">
      <c r="C203" s="29" t="n"/>
      <c r="E203" s="29" t="n"/>
    </row>
    <row r="204" ht="15" customHeight="1" s="30">
      <c r="C204" s="29" t="n"/>
      <c r="E204" s="29" t="n"/>
    </row>
    <row r="205" ht="15" customHeight="1" s="30">
      <c r="C205" s="29" t="n"/>
      <c r="E205" s="29" t="n"/>
    </row>
    <row r="206" ht="15" customHeight="1" s="30">
      <c r="C206" s="29" t="n"/>
      <c r="E206" s="29" t="n"/>
    </row>
    <row r="207" ht="15" customHeight="1" s="30">
      <c r="C207" s="29" t="n"/>
      <c r="E207" s="29" t="n"/>
    </row>
    <row r="208" ht="15" customHeight="1" s="30">
      <c r="C208" s="29" t="n"/>
      <c r="E208" s="29" t="n"/>
    </row>
    <row r="209" ht="15" customHeight="1" s="30">
      <c r="C209" s="29" t="n"/>
      <c r="E209" s="29" t="n"/>
    </row>
    <row r="210" ht="15" customHeight="1" s="30">
      <c r="C210" s="29" t="n"/>
      <c r="E210" s="29" t="n"/>
    </row>
    <row r="211" ht="15" customHeight="1" s="30">
      <c r="C211" s="29" t="n"/>
      <c r="E211" s="29" t="n"/>
    </row>
    <row r="212" ht="15" customHeight="1" s="30">
      <c r="C212" s="29" t="n"/>
      <c r="E212" s="29" t="n"/>
    </row>
    <row r="213" ht="15" customHeight="1" s="30">
      <c r="C213" s="29" t="n"/>
      <c r="E213" s="29" t="n"/>
    </row>
    <row r="214" ht="15" customHeight="1" s="30">
      <c r="C214" s="29" t="n"/>
      <c r="E214" s="29" t="n"/>
    </row>
    <row r="215" ht="15" customHeight="1" s="30">
      <c r="C215" s="29" t="n"/>
      <c r="E215" s="29" t="n"/>
    </row>
    <row r="216" ht="15" customHeight="1" s="30">
      <c r="C216" s="29" t="n"/>
      <c r="E216" s="29" t="n"/>
    </row>
    <row r="217" ht="15" customHeight="1" s="30">
      <c r="C217" s="29" t="n"/>
      <c r="E217" s="29" t="n"/>
    </row>
    <row r="218" ht="15" customHeight="1" s="30">
      <c r="C218" s="29" t="n"/>
      <c r="E218" s="29" t="n"/>
    </row>
    <row r="219" ht="15" customHeight="1" s="30">
      <c r="C219" s="29" t="n"/>
      <c r="E219" s="29" t="n"/>
    </row>
    <row r="220" ht="15" customHeight="1" s="30">
      <c r="C220" s="29" t="n"/>
      <c r="E220" s="29" t="n"/>
    </row>
    <row r="221" ht="15" customHeight="1" s="30">
      <c r="C221" s="29" t="n"/>
      <c r="E221" s="29" t="n"/>
    </row>
    <row r="222" ht="15" customHeight="1" s="30">
      <c r="C222" s="29" t="n"/>
      <c r="E222" s="29" t="n"/>
    </row>
    <row r="223" ht="15" customHeight="1" s="30">
      <c r="C223" s="29" t="n"/>
      <c r="E223" s="29" t="n"/>
    </row>
    <row r="224" ht="15" customHeight="1" s="30">
      <c r="C224" s="29" t="n"/>
      <c r="E224" s="29" t="n"/>
    </row>
    <row r="225" ht="15" customHeight="1" s="30">
      <c r="C225" s="29" t="n"/>
      <c r="E225" s="29" t="n"/>
    </row>
    <row r="226" ht="15" customHeight="1" s="30">
      <c r="C226" s="29" t="n"/>
      <c r="E226" s="29" t="n"/>
    </row>
    <row r="227" ht="15" customHeight="1" s="30">
      <c r="C227" s="29" t="n"/>
      <c r="E227" s="29" t="n"/>
    </row>
    <row r="228" ht="15" customHeight="1" s="30">
      <c r="C228" s="29" t="n"/>
      <c r="E228" s="29" t="n"/>
    </row>
    <row r="229" ht="15" customHeight="1" s="30">
      <c r="C229" s="29" t="n"/>
      <c r="E229" s="29" t="n"/>
    </row>
    <row r="230" ht="15" customHeight="1" s="30">
      <c r="C230" s="29" t="n"/>
      <c r="E230" s="29" t="n"/>
    </row>
    <row r="231" ht="15" customHeight="1" s="30">
      <c r="C231" s="29" t="n"/>
      <c r="E231" s="29" t="n"/>
    </row>
    <row r="232" ht="15" customHeight="1" s="30">
      <c r="C232" s="29" t="n"/>
      <c r="E232" s="29" t="n"/>
    </row>
    <row r="233" ht="15" customHeight="1" s="30">
      <c r="C233" s="29" t="n"/>
      <c r="E233" s="29" t="n"/>
    </row>
    <row r="234" ht="15" customHeight="1" s="30">
      <c r="C234" s="29" t="n"/>
      <c r="E234" s="29" t="n"/>
    </row>
    <row r="235" ht="15" customHeight="1" s="30">
      <c r="C235" s="29" t="n"/>
      <c r="E235" s="29" t="n"/>
    </row>
    <row r="236" ht="15" customHeight="1" s="30">
      <c r="C236" s="29" t="n"/>
      <c r="E236" s="29" t="n"/>
    </row>
    <row r="237" ht="15" customHeight="1" s="30">
      <c r="C237" s="29" t="n"/>
      <c r="E237" s="29" t="n"/>
    </row>
    <row r="238" ht="15" customHeight="1" s="30">
      <c r="C238" s="29" t="n"/>
      <c r="E238" s="29" t="n"/>
    </row>
    <row r="239" ht="15" customHeight="1" s="30">
      <c r="C239" s="29" t="n"/>
      <c r="E239" s="29" t="n"/>
    </row>
    <row r="240" ht="15" customHeight="1" s="30">
      <c r="C240" s="29" t="n"/>
      <c r="E240" s="29" t="n"/>
    </row>
    <row r="241" ht="15" customHeight="1" s="30">
      <c r="C241" s="29" t="n"/>
      <c r="E241" s="29" t="n"/>
    </row>
    <row r="242" ht="15" customHeight="1" s="30">
      <c r="C242" s="29" t="n"/>
      <c r="E242" s="29" t="n"/>
    </row>
    <row r="243" ht="15" customHeight="1" s="30">
      <c r="C243" s="29" t="n"/>
      <c r="E243" s="29" t="n"/>
    </row>
    <row r="244" ht="15" customHeight="1" s="30">
      <c r="C244" s="29" t="n"/>
      <c r="E244" s="29" t="n"/>
    </row>
    <row r="245" ht="15" customHeight="1" s="30">
      <c r="C245" s="29" t="n"/>
      <c r="E245" s="29" t="n"/>
    </row>
    <row r="246" ht="15" customHeight="1" s="30">
      <c r="C246" s="29" t="n"/>
      <c r="E246" s="29" t="n"/>
    </row>
    <row r="247" ht="15" customHeight="1" s="30">
      <c r="C247" s="29" t="n"/>
      <c r="E247" s="29" t="n"/>
    </row>
    <row r="248" ht="15" customHeight="1" s="30">
      <c r="C248" s="29" t="n"/>
      <c r="E248" s="29" t="n"/>
    </row>
    <row r="249" ht="15" customHeight="1" s="30">
      <c r="C249" s="29" t="n"/>
      <c r="E249" s="29" t="n"/>
    </row>
    <row r="250" ht="15" customHeight="1" s="30">
      <c r="C250" s="29" t="n"/>
      <c r="E250" s="29" t="n"/>
    </row>
    <row r="251" ht="15" customHeight="1" s="30">
      <c r="C251" s="29" t="n"/>
      <c r="E251" s="29" t="n"/>
    </row>
    <row r="252" ht="15" customHeight="1" s="30">
      <c r="C252" s="29" t="n"/>
      <c r="E252" s="29" t="n"/>
    </row>
    <row r="253" ht="15" customHeight="1" s="30">
      <c r="C253" s="29" t="n"/>
      <c r="E253" s="29" t="n"/>
    </row>
    <row r="254" ht="15" customHeight="1" s="30">
      <c r="C254" s="29" t="n"/>
      <c r="E254" s="29" t="n"/>
    </row>
    <row r="255" ht="15" customHeight="1" s="30">
      <c r="C255" s="29" t="n"/>
      <c r="E255" s="29" t="n"/>
    </row>
    <row r="256" ht="15" customHeight="1" s="30">
      <c r="C256" s="29" t="n"/>
      <c r="E256" s="29" t="n"/>
    </row>
    <row r="257" ht="15" customHeight="1" s="30">
      <c r="C257" s="29" t="n"/>
      <c r="E257" s="29" t="n"/>
    </row>
    <row r="258" ht="15" customHeight="1" s="30">
      <c r="C258" s="29" t="n"/>
      <c r="E258" s="29" t="n"/>
    </row>
    <row r="259" ht="15" customHeight="1" s="30">
      <c r="C259" s="29" t="n"/>
      <c r="E259" s="29" t="n"/>
    </row>
    <row r="260" ht="15" customHeight="1" s="30">
      <c r="C260" s="29" t="n"/>
      <c r="E260" s="29" t="n"/>
    </row>
    <row r="261" ht="15" customHeight="1" s="30">
      <c r="C261" s="29" t="n"/>
      <c r="E261" s="29" t="n"/>
    </row>
    <row r="262" ht="15" customHeight="1" s="30">
      <c r="C262" s="29" t="n"/>
      <c r="E262" s="29" t="n"/>
    </row>
    <row r="263" ht="15" customHeight="1" s="30">
      <c r="C263" s="29" t="n"/>
      <c r="E263" s="29" t="n"/>
    </row>
    <row r="264" ht="15" customHeight="1" s="30">
      <c r="C264" s="29" t="n"/>
      <c r="E264" s="29" t="n"/>
    </row>
    <row r="265" ht="15" customHeight="1" s="30">
      <c r="C265" s="29" t="n"/>
      <c r="E265" s="29" t="n"/>
    </row>
    <row r="266" ht="15" customHeight="1" s="30">
      <c r="C266" s="29" t="n"/>
      <c r="E266" s="29" t="n"/>
    </row>
    <row r="267" ht="15" customHeight="1" s="30">
      <c r="C267" s="29" t="n"/>
      <c r="E267" s="29" t="n"/>
    </row>
    <row r="268" ht="15" customHeight="1" s="30">
      <c r="C268" s="29" t="n"/>
      <c r="E268" s="29" t="n"/>
    </row>
    <row r="269" ht="15" customHeight="1" s="30">
      <c r="C269" s="29" t="n"/>
      <c r="E269" s="29" t="n"/>
    </row>
    <row r="270" ht="15" customHeight="1" s="30">
      <c r="C270" s="29" t="n"/>
      <c r="E270" s="29" t="n"/>
    </row>
    <row r="271" ht="15" customHeight="1" s="30">
      <c r="C271" s="29" t="n"/>
      <c r="E271" s="29" t="n"/>
    </row>
    <row r="272" ht="15" customHeight="1" s="30">
      <c r="C272" s="29" t="n"/>
      <c r="E272" s="29" t="n"/>
    </row>
    <row r="273" ht="15" customHeight="1" s="30">
      <c r="C273" s="29" t="n"/>
      <c r="E273" s="29" t="n"/>
    </row>
    <row r="274" ht="15" customHeight="1" s="30">
      <c r="C274" s="29" t="n"/>
      <c r="E274" s="29" t="n"/>
    </row>
    <row r="275" ht="15" customHeight="1" s="30">
      <c r="C275" s="29" t="n"/>
      <c r="E275" s="29" t="n"/>
    </row>
    <row r="276" ht="15" customHeight="1" s="30">
      <c r="C276" s="29" t="n"/>
      <c r="E276" s="29" t="n"/>
    </row>
    <row r="277" ht="15" customHeight="1" s="30">
      <c r="C277" s="29" t="n"/>
      <c r="E277" s="29" t="n"/>
    </row>
    <row r="278" ht="15" customHeight="1" s="30">
      <c r="C278" s="29" t="n"/>
      <c r="E278" s="29" t="n"/>
    </row>
    <row r="279" ht="15" customHeight="1" s="30">
      <c r="C279" s="29" t="n"/>
      <c r="E279" s="29" t="n"/>
    </row>
    <row r="280" ht="15" customHeight="1" s="30">
      <c r="C280" s="29" t="n"/>
      <c r="E280" s="29" t="n"/>
    </row>
    <row r="281" ht="15" customHeight="1" s="30">
      <c r="C281" s="29" t="n"/>
      <c r="E281" s="29" t="n"/>
    </row>
    <row r="282" ht="15" customHeight="1" s="30">
      <c r="C282" s="29" t="n"/>
      <c r="E282" s="29" t="n"/>
    </row>
    <row r="283" ht="15" customHeight="1" s="30">
      <c r="C283" s="29" t="n"/>
      <c r="E283" s="29" t="n"/>
    </row>
    <row r="284" ht="15" customHeight="1" s="30">
      <c r="C284" s="29" t="n"/>
      <c r="E284" s="29" t="n"/>
    </row>
    <row r="285" ht="15" customHeight="1" s="30">
      <c r="C285" s="29" t="n"/>
      <c r="E285" s="29" t="n"/>
    </row>
    <row r="286" ht="15" customHeight="1" s="30">
      <c r="C286" s="29" t="n"/>
      <c r="E286" s="29" t="n"/>
    </row>
    <row r="287" ht="15" customHeight="1" s="30">
      <c r="C287" s="29" t="n"/>
      <c r="E287" s="29" t="n"/>
    </row>
    <row r="288" ht="15" customHeight="1" s="30">
      <c r="C288" s="29" t="n"/>
      <c r="E288" s="29" t="n"/>
    </row>
    <row r="289" ht="15" customHeight="1" s="30">
      <c r="C289" s="29" t="n"/>
      <c r="E289" s="29" t="n"/>
    </row>
    <row r="290" ht="15" customHeight="1" s="30">
      <c r="C290" s="29" t="n"/>
      <c r="E290" s="29" t="n"/>
    </row>
    <row r="291" ht="15" customHeight="1" s="30">
      <c r="C291" s="29" t="n"/>
      <c r="E291" s="29" t="n"/>
    </row>
    <row r="292" ht="15" customHeight="1" s="30">
      <c r="C292" s="29" t="n"/>
      <c r="E292" s="29" t="n"/>
    </row>
    <row r="293" ht="15" customHeight="1" s="30">
      <c r="C293" s="29" t="n"/>
      <c r="E293" s="29" t="n"/>
    </row>
    <row r="294" ht="15" customHeight="1" s="30">
      <c r="C294" s="29" t="n"/>
      <c r="E294" s="29" t="n"/>
    </row>
    <row r="295" ht="15" customHeight="1" s="30">
      <c r="C295" s="29" t="n"/>
      <c r="E295" s="29" t="n"/>
    </row>
    <row r="296" ht="15" customHeight="1" s="30">
      <c r="C296" s="29" t="n"/>
      <c r="E296" s="29" t="n"/>
    </row>
    <row r="297" ht="15" customHeight="1" s="30">
      <c r="C297" s="29" t="n"/>
      <c r="E297" s="29" t="n"/>
    </row>
    <row r="298" ht="15" customHeight="1" s="30">
      <c r="C298" s="29" t="n"/>
      <c r="E298" s="29" t="n"/>
    </row>
    <row r="299" ht="15" customHeight="1" s="30">
      <c r="C299" s="29" t="n"/>
      <c r="E299" s="29" t="n"/>
    </row>
    <row r="300" ht="15" customHeight="1" s="30">
      <c r="C300" s="29" t="n"/>
      <c r="E300" s="29" t="n"/>
    </row>
    <row r="301" ht="15" customHeight="1" s="30">
      <c r="C301" s="29" t="n"/>
      <c r="E301" s="29" t="n"/>
    </row>
    <row r="302" ht="15" customHeight="1" s="30">
      <c r="C302" s="29" t="n"/>
      <c r="E302" s="29" t="n"/>
    </row>
    <row r="303" ht="15" customHeight="1" s="30">
      <c r="C303" s="29" t="n"/>
      <c r="E303" s="29" t="n"/>
    </row>
    <row r="304" ht="15" customHeight="1" s="30">
      <c r="C304" s="29" t="n"/>
      <c r="E304" s="29" t="n"/>
    </row>
    <row r="305" ht="15" customHeight="1" s="30">
      <c r="C305" s="29" t="n"/>
      <c r="E305" s="29" t="n"/>
    </row>
    <row r="306" ht="15" customHeight="1" s="30">
      <c r="C306" s="29" t="n"/>
      <c r="E306" s="29" t="n"/>
    </row>
    <row r="307" ht="15" customHeight="1" s="30">
      <c r="C307" s="29" t="n"/>
      <c r="E307" s="29" t="n"/>
    </row>
    <row r="308" ht="15" customHeight="1" s="30">
      <c r="C308" s="29" t="n"/>
      <c r="E308" s="29" t="n"/>
    </row>
    <row r="309" ht="15" customHeight="1" s="30">
      <c r="C309" s="29" t="n"/>
      <c r="E309" s="29" t="n"/>
    </row>
    <row r="310" ht="15" customHeight="1" s="30">
      <c r="C310" s="29" t="n"/>
      <c r="E310" s="29" t="n"/>
    </row>
    <row r="311" ht="15" customHeight="1" s="30">
      <c r="C311" s="29" t="n"/>
      <c r="E311" s="29" t="n"/>
    </row>
    <row r="312" ht="15" customHeight="1" s="30">
      <c r="C312" s="29" t="n"/>
      <c r="E312" s="29" t="n"/>
    </row>
    <row r="313" ht="15" customHeight="1" s="30">
      <c r="C313" s="29" t="n"/>
      <c r="E313" s="29" t="n"/>
    </row>
    <row r="314" ht="15" customHeight="1" s="30">
      <c r="C314" s="29" t="n"/>
      <c r="E314" s="29" t="n"/>
    </row>
    <row r="315" ht="15" customHeight="1" s="30">
      <c r="C315" s="29" t="n"/>
      <c r="E315" s="29" t="n"/>
    </row>
    <row r="316" ht="15" customHeight="1" s="30">
      <c r="C316" s="29" t="n"/>
      <c r="E316" s="29" t="n"/>
    </row>
    <row r="317" ht="15" customHeight="1" s="30">
      <c r="C317" s="29" t="n"/>
      <c r="E317" s="29" t="n"/>
    </row>
    <row r="318" ht="15" customHeight="1" s="30">
      <c r="C318" s="29" t="n"/>
      <c r="E318" s="29" t="n"/>
    </row>
    <row r="319" ht="15" customHeight="1" s="30">
      <c r="C319" s="29" t="n"/>
      <c r="E319" s="29" t="n"/>
    </row>
    <row r="320" ht="15" customHeight="1" s="30">
      <c r="C320" s="29" t="n"/>
      <c r="E320" s="29" t="n"/>
    </row>
    <row r="321" ht="15" customHeight="1" s="30">
      <c r="C321" s="29" t="n"/>
      <c r="E321" s="29" t="n"/>
    </row>
    <row r="322" ht="15" customHeight="1" s="30">
      <c r="C322" s="29" t="n"/>
      <c r="E322" s="29" t="n"/>
    </row>
    <row r="323" ht="15" customHeight="1" s="30">
      <c r="C323" s="29" t="n"/>
      <c r="E323" s="29" t="n"/>
    </row>
    <row r="324" ht="15" customHeight="1" s="30">
      <c r="C324" s="29" t="n"/>
      <c r="E324" s="29" t="n"/>
    </row>
    <row r="325" ht="15" customHeight="1" s="30">
      <c r="C325" s="29" t="n"/>
      <c r="E325" s="29" t="n"/>
    </row>
    <row r="326" ht="15" customHeight="1" s="30">
      <c r="C326" s="29" t="n"/>
      <c r="E326" s="29" t="n"/>
    </row>
    <row r="327" ht="15" customHeight="1" s="30">
      <c r="C327" s="29" t="n"/>
      <c r="E327" s="29" t="n"/>
    </row>
    <row r="328" ht="15" customHeight="1" s="30">
      <c r="C328" s="29" t="n"/>
      <c r="E328" s="29" t="n"/>
    </row>
    <row r="329" ht="15" customHeight="1" s="30">
      <c r="C329" s="29" t="n"/>
      <c r="E329" s="29" t="n"/>
    </row>
    <row r="330" ht="15" customHeight="1" s="30">
      <c r="C330" s="29" t="n"/>
      <c r="E330" s="29" t="n"/>
    </row>
    <row r="331" ht="15" customHeight="1" s="30">
      <c r="C331" s="29" t="n"/>
      <c r="E331" s="29" t="n"/>
    </row>
    <row r="332" ht="15" customHeight="1" s="30">
      <c r="C332" s="29" t="n"/>
      <c r="E332" s="29" t="n"/>
    </row>
    <row r="333" ht="15" customHeight="1" s="30">
      <c r="C333" s="29" t="n"/>
      <c r="E333" s="29" t="n"/>
    </row>
    <row r="334" ht="15" customHeight="1" s="30">
      <c r="C334" s="29" t="n"/>
      <c r="E334" s="29" t="n"/>
    </row>
    <row r="335" ht="15" customHeight="1" s="30">
      <c r="C335" s="29" t="n"/>
      <c r="E335" s="29" t="n"/>
    </row>
    <row r="336" ht="15" customHeight="1" s="30">
      <c r="C336" s="29" t="n"/>
      <c r="E336" s="29" t="n"/>
    </row>
    <row r="337" ht="15" customHeight="1" s="30">
      <c r="C337" s="29" t="n"/>
      <c r="E337" s="29" t="n"/>
    </row>
    <row r="338" ht="15" customHeight="1" s="30">
      <c r="C338" s="29" t="n"/>
      <c r="E338" s="29" t="n"/>
    </row>
    <row r="339" ht="15" customHeight="1" s="30">
      <c r="C339" s="29" t="n"/>
      <c r="E339" s="29" t="n"/>
    </row>
    <row r="340" ht="15" customHeight="1" s="30">
      <c r="C340" s="29" t="n"/>
      <c r="E340" s="29" t="n"/>
    </row>
    <row r="341" ht="15" customHeight="1" s="30">
      <c r="C341" s="29" t="n"/>
      <c r="E341" s="29" t="n"/>
    </row>
    <row r="342" ht="15" customHeight="1" s="30">
      <c r="C342" s="29" t="n"/>
      <c r="E342" s="29" t="n"/>
    </row>
    <row r="343" ht="15" customHeight="1" s="30">
      <c r="C343" s="29" t="n"/>
      <c r="E343" s="29" t="n"/>
    </row>
    <row r="344" ht="15" customHeight="1" s="30">
      <c r="C344" s="29" t="n"/>
      <c r="E344" s="29" t="n"/>
    </row>
    <row r="345" ht="15" customHeight="1" s="30">
      <c r="C345" s="29" t="n"/>
      <c r="E345" s="29" t="n"/>
    </row>
    <row r="346" ht="15" customHeight="1" s="30">
      <c r="C346" s="29" t="n"/>
      <c r="E346" s="29" t="n"/>
    </row>
    <row r="347" ht="15" customHeight="1" s="30">
      <c r="C347" s="29" t="n"/>
      <c r="E347" s="29" t="n"/>
    </row>
    <row r="348" ht="15" customHeight="1" s="30">
      <c r="C348" s="29" t="n"/>
      <c r="E348" s="29" t="n"/>
    </row>
    <row r="349" ht="15" customHeight="1" s="30">
      <c r="C349" s="29" t="n"/>
      <c r="E349" s="29" t="n"/>
    </row>
    <row r="350" ht="15" customHeight="1" s="30">
      <c r="C350" s="29" t="n"/>
      <c r="E350" s="29" t="n"/>
    </row>
    <row r="351" ht="15" customHeight="1" s="30">
      <c r="C351" s="29" t="n"/>
      <c r="E351" s="29" t="n"/>
    </row>
    <row r="352" ht="15" customHeight="1" s="30">
      <c r="C352" s="29" t="n"/>
      <c r="E352" s="29" t="n"/>
    </row>
    <row r="353" ht="15" customHeight="1" s="30">
      <c r="C353" s="29" t="n"/>
      <c r="E353" s="29" t="n"/>
    </row>
    <row r="354" ht="15" customHeight="1" s="30">
      <c r="C354" s="29" t="n"/>
      <c r="E354" s="29" t="n"/>
    </row>
    <row r="355" ht="15" customHeight="1" s="30">
      <c r="C355" s="29" t="n"/>
      <c r="E355" s="29" t="n"/>
    </row>
    <row r="356" ht="15" customHeight="1" s="30">
      <c r="C356" s="29" t="n"/>
      <c r="E356" s="29" t="n"/>
    </row>
    <row r="357" ht="15" customHeight="1" s="30">
      <c r="C357" s="29" t="n"/>
      <c r="E357" s="29" t="n"/>
    </row>
    <row r="358" ht="15" customHeight="1" s="30">
      <c r="C358" s="29" t="n"/>
      <c r="E358" s="29" t="n"/>
    </row>
    <row r="359" ht="15" customHeight="1" s="30">
      <c r="C359" s="29" t="n"/>
      <c r="E359" s="29" t="n"/>
    </row>
    <row r="360" ht="15" customHeight="1" s="30">
      <c r="C360" s="29" t="n"/>
      <c r="E360" s="29" t="n"/>
    </row>
    <row r="361" ht="15" customHeight="1" s="30">
      <c r="C361" s="29" t="n"/>
      <c r="E361" s="29" t="n"/>
    </row>
    <row r="362" ht="15" customHeight="1" s="30">
      <c r="C362" s="29" t="n"/>
      <c r="E362" s="29" t="n"/>
    </row>
    <row r="363" ht="15" customHeight="1" s="30">
      <c r="C363" s="29" t="n"/>
      <c r="E363" s="29" t="n"/>
    </row>
    <row r="364" ht="15" customHeight="1" s="30">
      <c r="C364" s="29" t="n"/>
      <c r="E364" s="29" t="n"/>
    </row>
    <row r="365" ht="15" customHeight="1" s="30">
      <c r="C365" s="29" t="n"/>
      <c r="E365" s="29" t="n"/>
    </row>
    <row r="366" ht="15" customHeight="1" s="30">
      <c r="C366" s="29" t="n"/>
      <c r="E366" s="29" t="n"/>
    </row>
    <row r="367" ht="15" customHeight="1" s="30">
      <c r="C367" s="29" t="n"/>
      <c r="E367" s="29" t="n"/>
    </row>
    <row r="368" ht="15" customHeight="1" s="30">
      <c r="C368" s="29" t="n"/>
      <c r="E368" s="29" t="n"/>
    </row>
    <row r="369" ht="15" customHeight="1" s="30">
      <c r="C369" s="29" t="n"/>
      <c r="E369" s="29" t="n"/>
    </row>
    <row r="370" ht="15" customHeight="1" s="30">
      <c r="C370" s="29" t="n"/>
      <c r="E370" s="29" t="n"/>
    </row>
    <row r="371" ht="15" customHeight="1" s="30">
      <c r="C371" s="29" t="n"/>
      <c r="E371" s="29" t="n"/>
    </row>
    <row r="372" ht="15" customHeight="1" s="30">
      <c r="C372" s="29" t="n"/>
      <c r="E372" s="29" t="n"/>
    </row>
    <row r="373" ht="15" customHeight="1" s="30">
      <c r="C373" s="29" t="n"/>
      <c r="E373" s="29" t="n"/>
    </row>
    <row r="374" ht="15" customHeight="1" s="30">
      <c r="C374" s="29" t="n"/>
      <c r="E374" s="29" t="n"/>
    </row>
    <row r="375" ht="15" customHeight="1" s="30">
      <c r="C375" s="29" t="n"/>
      <c r="E375" s="29" t="n"/>
    </row>
    <row r="376" ht="15" customHeight="1" s="30">
      <c r="C376" s="29" t="n"/>
      <c r="E376" s="29" t="n"/>
    </row>
    <row r="377" ht="15" customHeight="1" s="30">
      <c r="C377" s="29" t="n"/>
      <c r="E377" s="29" t="n"/>
    </row>
    <row r="378" ht="15" customHeight="1" s="30">
      <c r="C378" s="29" t="n"/>
      <c r="E378" s="29" t="n"/>
    </row>
    <row r="379" ht="15" customHeight="1" s="30">
      <c r="C379" s="29" t="n"/>
      <c r="E379" s="29" t="n"/>
    </row>
    <row r="380" ht="15" customHeight="1" s="30">
      <c r="C380" s="29" t="n"/>
      <c r="E380" s="29" t="n"/>
    </row>
    <row r="381" ht="15" customHeight="1" s="30">
      <c r="C381" s="29" t="n"/>
      <c r="E381" s="29" t="n"/>
    </row>
    <row r="382" ht="15" customHeight="1" s="30">
      <c r="C382" s="29" t="n"/>
      <c r="E382" s="29" t="n"/>
    </row>
    <row r="383" ht="15" customHeight="1" s="30">
      <c r="C383" s="29" t="n"/>
      <c r="E383" s="29" t="n"/>
    </row>
    <row r="384" ht="15" customHeight="1" s="30">
      <c r="C384" s="29" t="n"/>
      <c r="E384" s="29" t="n"/>
    </row>
    <row r="385" ht="15" customHeight="1" s="30">
      <c r="C385" s="29" t="n"/>
      <c r="E385" s="29" t="n"/>
    </row>
    <row r="386" ht="15" customHeight="1" s="30">
      <c r="C386" s="29" t="n"/>
      <c r="E386" s="29" t="n"/>
    </row>
    <row r="387" ht="15" customHeight="1" s="30">
      <c r="C387" s="29" t="n"/>
      <c r="E387" s="29" t="n"/>
    </row>
    <row r="388" ht="15" customHeight="1" s="30">
      <c r="C388" s="29" t="n"/>
      <c r="E388" s="29" t="n"/>
    </row>
    <row r="389" ht="15" customHeight="1" s="30">
      <c r="C389" s="29" t="n"/>
      <c r="E389" s="29" t="n"/>
    </row>
    <row r="390" ht="15" customHeight="1" s="30">
      <c r="C390" s="29" t="n"/>
      <c r="E390" s="29" t="n"/>
    </row>
    <row r="391" ht="15" customHeight="1" s="30">
      <c r="C391" s="29" t="n"/>
      <c r="E391" s="29" t="n"/>
    </row>
    <row r="392" ht="15" customHeight="1" s="30">
      <c r="C392" s="29" t="n"/>
      <c r="E392" s="29" t="n"/>
    </row>
    <row r="393" ht="15" customHeight="1" s="30">
      <c r="C393" s="29" t="n"/>
      <c r="E393" s="29" t="n"/>
    </row>
    <row r="394" ht="15" customHeight="1" s="30">
      <c r="C394" s="29" t="n"/>
      <c r="E394" s="29" t="n"/>
    </row>
    <row r="395" ht="15" customHeight="1" s="30">
      <c r="C395" s="29" t="n"/>
      <c r="E395" s="29" t="n"/>
    </row>
    <row r="396" ht="15" customHeight="1" s="30">
      <c r="C396" s="29" t="n"/>
      <c r="E396" s="29" t="n"/>
    </row>
    <row r="397" ht="15" customHeight="1" s="30">
      <c r="C397" s="29" t="n"/>
      <c r="E397" s="29" t="n"/>
    </row>
    <row r="398" ht="15" customHeight="1" s="30">
      <c r="C398" s="29" t="n"/>
      <c r="E398" s="29" t="n"/>
    </row>
    <row r="399" ht="15" customHeight="1" s="30">
      <c r="C399" s="29" t="n"/>
      <c r="E399" s="29" t="n"/>
    </row>
    <row r="400" ht="15" customHeight="1" s="30">
      <c r="C400" s="29" t="n"/>
      <c r="E400" s="29" t="n"/>
    </row>
    <row r="401" ht="15" customHeight="1" s="30">
      <c r="C401" s="29" t="n"/>
      <c r="E401" s="29" t="n"/>
    </row>
    <row r="402" ht="15" customHeight="1" s="30">
      <c r="C402" s="29" t="n"/>
      <c r="E402" s="29" t="n"/>
    </row>
    <row r="403" ht="15" customHeight="1" s="30">
      <c r="C403" s="29" t="n"/>
      <c r="E403" s="29" t="n"/>
    </row>
    <row r="404" ht="15" customHeight="1" s="30">
      <c r="C404" s="29" t="n"/>
      <c r="E404" s="29" t="n"/>
    </row>
    <row r="405" ht="15" customHeight="1" s="30">
      <c r="C405" s="29" t="n"/>
      <c r="E405" s="29" t="n"/>
    </row>
    <row r="406" ht="15" customHeight="1" s="30">
      <c r="C406" s="29" t="n"/>
      <c r="E406" s="29" t="n"/>
    </row>
    <row r="407" ht="15" customHeight="1" s="30">
      <c r="C407" s="29" t="n"/>
      <c r="E407" s="29" t="n"/>
    </row>
    <row r="408" ht="15" customHeight="1" s="30">
      <c r="C408" s="29" t="n"/>
      <c r="E408" s="29" t="n"/>
    </row>
    <row r="409" ht="15" customHeight="1" s="30">
      <c r="C409" s="29" t="n"/>
      <c r="E409" s="29" t="n"/>
    </row>
    <row r="410" ht="15" customHeight="1" s="30">
      <c r="C410" s="29" t="n"/>
      <c r="E410" s="29" t="n"/>
    </row>
    <row r="411" ht="15" customHeight="1" s="30">
      <c r="C411" s="29" t="n"/>
      <c r="E411" s="29" t="n"/>
    </row>
    <row r="412" ht="15" customHeight="1" s="30">
      <c r="C412" s="29" t="n"/>
      <c r="E412" s="29" t="n"/>
    </row>
    <row r="413" ht="15" customHeight="1" s="30">
      <c r="C413" s="29" t="n"/>
      <c r="E413" s="29" t="n"/>
    </row>
    <row r="414" ht="15" customHeight="1" s="30">
      <c r="C414" s="29" t="n"/>
      <c r="E414" s="29" t="n"/>
    </row>
    <row r="415" ht="15" customHeight="1" s="30">
      <c r="C415" s="29" t="n"/>
      <c r="E415" s="29" t="n"/>
    </row>
    <row r="416" ht="15" customHeight="1" s="30">
      <c r="C416" s="29" t="n"/>
      <c r="E416" s="29" t="n"/>
    </row>
    <row r="417" ht="15" customHeight="1" s="30">
      <c r="C417" s="29" t="n"/>
      <c r="E417" s="29" t="n"/>
    </row>
    <row r="418" ht="15" customHeight="1" s="30">
      <c r="C418" s="29" t="n"/>
      <c r="E418" s="29" t="n"/>
    </row>
    <row r="419" ht="15" customHeight="1" s="30">
      <c r="C419" s="29" t="n"/>
      <c r="E419" s="29" t="n"/>
    </row>
    <row r="420" ht="15" customHeight="1" s="30">
      <c r="C420" s="29" t="n"/>
      <c r="E420" s="29" t="n"/>
    </row>
    <row r="421" ht="15" customHeight="1" s="30">
      <c r="C421" s="29" t="n"/>
      <c r="E421" s="29" t="n"/>
    </row>
    <row r="422" ht="15" customHeight="1" s="30">
      <c r="C422" s="29" t="n"/>
      <c r="E422" s="29" t="n"/>
    </row>
    <row r="423" ht="15" customHeight="1" s="30">
      <c r="C423" s="29" t="n"/>
      <c r="E423" s="29" t="n"/>
    </row>
    <row r="424" ht="15" customHeight="1" s="30">
      <c r="C424" s="29" t="n"/>
      <c r="E424" s="29" t="n"/>
    </row>
    <row r="425" ht="15" customHeight="1" s="30">
      <c r="C425" s="29" t="n"/>
      <c r="E425" s="29" t="n"/>
    </row>
    <row r="426" ht="15" customHeight="1" s="30">
      <c r="C426" s="29" t="n"/>
      <c r="E426" s="29" t="n"/>
    </row>
    <row r="427" ht="15" customHeight="1" s="30">
      <c r="C427" s="29" t="n"/>
      <c r="E427" s="29" t="n"/>
    </row>
    <row r="428" ht="15" customHeight="1" s="30">
      <c r="C428" s="29" t="n"/>
      <c r="E428" s="29" t="n"/>
    </row>
    <row r="429" ht="15" customHeight="1" s="30">
      <c r="C429" s="29" t="n"/>
      <c r="E429" s="29" t="n"/>
    </row>
    <row r="430" ht="15" customHeight="1" s="30">
      <c r="C430" s="29" t="n"/>
      <c r="E430" s="29" t="n"/>
    </row>
    <row r="431" ht="15" customHeight="1" s="30">
      <c r="C431" s="29" t="n"/>
      <c r="E431" s="29" t="n"/>
    </row>
    <row r="432" ht="15" customHeight="1" s="30">
      <c r="C432" s="29" t="n"/>
      <c r="E432" s="29" t="n"/>
    </row>
    <row r="433" ht="15" customHeight="1" s="30">
      <c r="C433" s="29" t="n"/>
      <c r="E433" s="29" t="n"/>
    </row>
    <row r="434" ht="15" customHeight="1" s="30">
      <c r="C434" s="29" t="n"/>
      <c r="E434" s="29" t="n"/>
    </row>
    <row r="435" ht="15" customHeight="1" s="30">
      <c r="C435" s="29" t="n"/>
      <c r="E435" s="29" t="n"/>
    </row>
    <row r="436" ht="15" customHeight="1" s="30">
      <c r="C436" s="29" t="n"/>
      <c r="E436" s="29" t="n"/>
    </row>
    <row r="437" ht="15" customHeight="1" s="30">
      <c r="C437" s="29" t="n"/>
      <c r="E437" s="29" t="n"/>
    </row>
    <row r="438" ht="15" customHeight="1" s="30">
      <c r="C438" s="29" t="n"/>
      <c r="E438" s="29" t="n"/>
    </row>
    <row r="439" ht="15" customHeight="1" s="30">
      <c r="C439" s="29" t="n"/>
      <c r="E439" s="29" t="n"/>
    </row>
    <row r="440" ht="15" customHeight="1" s="30">
      <c r="C440" s="29" t="n"/>
      <c r="E440" s="29" t="n"/>
    </row>
    <row r="441" ht="15" customHeight="1" s="30">
      <c r="C441" s="29" t="n"/>
      <c r="E441" s="29" t="n"/>
    </row>
    <row r="442" ht="15" customHeight="1" s="30">
      <c r="C442" s="29" t="n"/>
      <c r="E442" s="29" t="n"/>
    </row>
    <row r="443" ht="15" customHeight="1" s="30">
      <c r="C443" s="29" t="n"/>
      <c r="E443" s="29" t="n"/>
    </row>
    <row r="444" ht="15" customHeight="1" s="30">
      <c r="C444" s="29" t="n"/>
      <c r="E444" s="29" t="n"/>
    </row>
    <row r="445" ht="15" customHeight="1" s="30">
      <c r="C445" s="29" t="n"/>
      <c r="E445" s="29" t="n"/>
    </row>
    <row r="446" ht="15" customHeight="1" s="30">
      <c r="C446" s="29" t="n"/>
      <c r="E446" s="29" t="n"/>
    </row>
    <row r="447" ht="15" customHeight="1" s="30">
      <c r="C447" s="29" t="n"/>
      <c r="E447" s="29" t="n"/>
    </row>
    <row r="448" ht="15" customHeight="1" s="30">
      <c r="C448" s="29" t="n"/>
      <c r="E448" s="29" t="n"/>
    </row>
    <row r="449" ht="15" customHeight="1" s="30">
      <c r="C449" s="29" t="n"/>
      <c r="E449" s="29" t="n"/>
    </row>
    <row r="450" ht="15" customHeight="1" s="30">
      <c r="C450" s="29" t="n"/>
      <c r="E450" s="29" t="n"/>
    </row>
    <row r="451" ht="15" customHeight="1" s="30">
      <c r="C451" s="29" t="n"/>
      <c r="E451" s="29" t="n"/>
    </row>
    <row r="452" ht="15" customHeight="1" s="30">
      <c r="C452" s="29" t="n"/>
      <c r="E452" s="29" t="n"/>
    </row>
    <row r="453" ht="15" customHeight="1" s="30">
      <c r="C453" s="29" t="n"/>
      <c r="E453" s="29" t="n"/>
    </row>
    <row r="454" ht="15" customHeight="1" s="30">
      <c r="C454" s="29" t="n"/>
      <c r="E454" s="29" t="n"/>
    </row>
    <row r="455" ht="15" customHeight="1" s="30">
      <c r="C455" s="29" t="n"/>
      <c r="E455" s="29" t="n"/>
    </row>
    <row r="456" ht="15" customHeight="1" s="30">
      <c r="C456" s="29" t="n"/>
      <c r="E456" s="29" t="n"/>
    </row>
    <row r="457" ht="15" customHeight="1" s="30">
      <c r="C457" s="29" t="n"/>
      <c r="E457" s="29" t="n"/>
    </row>
    <row r="458" ht="15" customHeight="1" s="30">
      <c r="C458" s="29" t="n"/>
      <c r="E458" s="29" t="n"/>
    </row>
    <row r="459" ht="15" customHeight="1" s="30">
      <c r="C459" s="29" t="n"/>
      <c r="E459" s="29" t="n"/>
    </row>
    <row r="460" ht="15" customHeight="1" s="30">
      <c r="C460" s="29" t="n"/>
      <c r="E460" s="29" t="n"/>
    </row>
    <row r="461" ht="15" customHeight="1" s="30">
      <c r="C461" s="29" t="n"/>
      <c r="E461" s="29" t="n"/>
    </row>
    <row r="462" ht="15" customHeight="1" s="30">
      <c r="C462" s="29" t="n"/>
      <c r="E462" s="29" t="n"/>
    </row>
    <row r="463" ht="15" customHeight="1" s="30">
      <c r="C463" s="29" t="n"/>
      <c r="E463" s="29" t="n"/>
    </row>
    <row r="464" ht="15" customHeight="1" s="30">
      <c r="C464" s="29" t="n"/>
      <c r="E464" s="29" t="n"/>
    </row>
    <row r="465" ht="15" customHeight="1" s="30">
      <c r="C465" s="29" t="n"/>
      <c r="E465" s="29" t="n"/>
    </row>
    <row r="466" ht="15" customHeight="1" s="30">
      <c r="C466" s="29" t="n"/>
      <c r="E466" s="29" t="n"/>
    </row>
    <row r="467" ht="15" customHeight="1" s="30">
      <c r="C467" s="29" t="n"/>
      <c r="E467" s="29" t="n"/>
    </row>
    <row r="468" ht="15" customHeight="1" s="30">
      <c r="C468" s="29" t="n"/>
      <c r="E468" s="29" t="n"/>
    </row>
    <row r="469" ht="15" customHeight="1" s="30">
      <c r="C469" s="29" t="n"/>
      <c r="E469" s="29" t="n"/>
    </row>
    <row r="470" ht="15" customHeight="1" s="30">
      <c r="C470" s="29" t="n"/>
      <c r="E470" s="29" t="n"/>
    </row>
    <row r="471" ht="15" customHeight="1" s="30">
      <c r="C471" s="29" t="n"/>
      <c r="E471" s="29" t="n"/>
    </row>
    <row r="472" ht="15" customHeight="1" s="30">
      <c r="C472" s="29" t="n"/>
      <c r="E472" s="29" t="n"/>
    </row>
    <row r="473" ht="15" customHeight="1" s="30">
      <c r="C473" s="29" t="n"/>
      <c r="E473" s="29" t="n"/>
    </row>
    <row r="474" ht="15" customHeight="1" s="30">
      <c r="C474" s="29" t="n"/>
      <c r="E474" s="29" t="n"/>
    </row>
    <row r="475" ht="15" customHeight="1" s="30">
      <c r="C475" s="29" t="n"/>
      <c r="E475" s="29" t="n"/>
    </row>
    <row r="476" ht="15" customHeight="1" s="30">
      <c r="C476" s="29" t="n"/>
      <c r="E476" s="29" t="n"/>
    </row>
    <row r="477" ht="15" customHeight="1" s="30">
      <c r="C477" s="29" t="n"/>
      <c r="E477" s="29" t="n"/>
    </row>
    <row r="478" ht="15" customHeight="1" s="30">
      <c r="C478" s="29" t="n"/>
      <c r="E478" s="29" t="n"/>
    </row>
    <row r="479" ht="15" customHeight="1" s="30">
      <c r="C479" s="29" t="n"/>
      <c r="E479" s="29" t="n"/>
    </row>
    <row r="480" ht="15" customHeight="1" s="30">
      <c r="C480" s="29" t="n"/>
      <c r="E480" s="29" t="n"/>
    </row>
    <row r="481" ht="15" customHeight="1" s="30">
      <c r="C481" s="29" t="n"/>
      <c r="E481" s="29" t="n"/>
    </row>
    <row r="482" ht="15" customHeight="1" s="30">
      <c r="C482" s="29" t="n"/>
      <c r="E482" s="29" t="n"/>
    </row>
    <row r="483" ht="15" customHeight="1" s="30">
      <c r="C483" s="29" t="n"/>
      <c r="E483" s="29" t="n"/>
    </row>
    <row r="484" ht="15" customHeight="1" s="30">
      <c r="C484" s="29" t="n"/>
      <c r="E484" s="29" t="n"/>
    </row>
    <row r="485" ht="15" customHeight="1" s="30">
      <c r="C485" s="29" t="n"/>
      <c r="E485" s="29" t="n"/>
    </row>
    <row r="486" ht="15" customHeight="1" s="30">
      <c r="C486" s="29" t="n"/>
      <c r="E486" s="29" t="n"/>
    </row>
    <row r="487" ht="15" customHeight="1" s="30">
      <c r="C487" s="29" t="n"/>
      <c r="E487" s="29" t="n"/>
    </row>
    <row r="488" ht="15" customHeight="1" s="30">
      <c r="C488" s="29" t="n"/>
      <c r="E488" s="29" t="n"/>
    </row>
    <row r="489" ht="15" customHeight="1" s="30">
      <c r="C489" s="29" t="n"/>
      <c r="E489" s="29" t="n"/>
    </row>
    <row r="490" ht="15" customHeight="1" s="30">
      <c r="C490" s="29" t="n"/>
      <c r="E490" s="29" t="n"/>
    </row>
    <row r="491" ht="15" customHeight="1" s="30">
      <c r="C491" s="29" t="n"/>
      <c r="E491" s="29" t="n"/>
    </row>
    <row r="492" ht="15" customHeight="1" s="30">
      <c r="C492" s="29" t="n"/>
      <c r="E492" s="29" t="n"/>
    </row>
    <row r="493" ht="15" customHeight="1" s="30">
      <c r="C493" s="29" t="n"/>
      <c r="E493" s="29" t="n"/>
    </row>
    <row r="494" ht="15" customHeight="1" s="30">
      <c r="C494" s="29" t="n"/>
      <c r="E494" s="29" t="n"/>
    </row>
    <row r="495" ht="15" customHeight="1" s="30">
      <c r="C495" s="29" t="n"/>
      <c r="E495" s="29" t="n"/>
    </row>
    <row r="496" ht="15" customHeight="1" s="30">
      <c r="C496" s="29" t="n"/>
      <c r="E496" s="29" t="n"/>
    </row>
    <row r="497" ht="15" customHeight="1" s="30">
      <c r="C497" s="29" t="n"/>
      <c r="E497" s="29" t="n"/>
    </row>
    <row r="498" ht="15" customHeight="1" s="30">
      <c r="C498" s="29" t="n"/>
      <c r="E498" s="29" t="n"/>
    </row>
    <row r="499" ht="15" customHeight="1" s="30">
      <c r="C499" s="29" t="n"/>
      <c r="E499" s="29" t="n"/>
    </row>
    <row r="500" ht="15" customHeight="1" s="30">
      <c r="C500" s="29" t="n"/>
      <c r="E500" s="29" t="n"/>
    </row>
    <row r="501">
      <c r="A501" s="53" t="inlineStr">
        <is>
          <t>SM/CAM/BRAG/009</t>
        </is>
      </c>
      <c r="B501" s="54" t="inlineStr">
        <is>
          <t>Night Operations Basic Risk Assessment Guide</t>
        </is>
      </c>
      <c r="C501" s="53" t="inlineStr">
        <is>
          <t>CAM</t>
        </is>
      </c>
      <c r="D501" s="53" t="inlineStr">
        <is>
          <t>1.0</t>
        </is>
      </c>
      <c r="E501" s="53" t="inlineStr">
        <is>
          <t>Approved</t>
        </is>
      </c>
      <c r="F501" s="54" t="inlineStr">
        <is>
          <t>03 - Risk Assessments/RA-003 Series (HS - ISO 45001)</t>
        </is>
      </c>
      <c r="G501" s="54" t="inlineStr">
        <is>
          <t>ISO 45001 (7.3)</t>
        </is>
      </c>
      <c r="H501" s="53" t="inlineStr">
        <is>
          <t>Group Compliance Director</t>
        </is>
      </c>
      <c r="I501" s="53" t="inlineStr">
        <is>
          <t>01/04/2026</t>
        </is>
      </c>
      <c r="J501" s="53" t="inlineStr">
        <is>
          <t>01/10/2026</t>
        </is>
      </c>
      <c r="K501" s="53" t="n"/>
      <c r="L501" s="54" t="inlineStr">
        <is>
          <t>Plain-language 2-page guide. 10 hazards distilled from SM/HSE/RA/010.</t>
        </is>
      </c>
    </row>
    <row r="502">
      <c r="A502" s="53" t="inlineStr">
        <is>
          <t>SM/TRG/DOC/001</t>
        </is>
      </c>
      <c r="B502" s="54" t="inlineStr">
        <is>
          <t>Human Rights in Maritime Security Operations — PCASP Training</t>
        </is>
      </c>
      <c r="C502" s="53" t="inlineStr">
        <is>
          <t>TRG</t>
        </is>
      </c>
      <c r="D502" s="53" t="inlineStr">
        <is>
          <t>1.0</t>
        </is>
      </c>
      <c r="E502" s="53" t="inlineStr">
        <is>
          <t>Approved</t>
        </is>
      </c>
      <c r="F502" s="54" t="inlineStr">
        <is>
          <t>13 - Campaign - Your Watch Our Standard</t>
        </is>
      </c>
      <c r="G502" s="54" t="inlineStr">
        <is>
          <t>ICoCA / VPSHR / 18788 / 28007</t>
        </is>
      </c>
      <c r="H502" s="53" t="inlineStr">
        <is>
          <t>Group Compliance Director</t>
        </is>
      </c>
      <c r="I502" s="53" t="inlineStr">
        <is>
          <t>03/04/2026</t>
        </is>
      </c>
      <c r="J502" s="53" t="inlineStr">
        <is>
          <t>03/10/2026</t>
        </is>
      </c>
      <c r="K502" s="53" t="n"/>
      <c r="L502" s="54" t="inlineStr">
        <is>
          <t>28-slide PPT training course. 3-layer framework (UDHR/VPSHR/ICoCA). For PCASP deployed personnel.</t>
        </is>
      </c>
    </row>
    <row r="503">
      <c r="A503" s="53" t="inlineStr">
        <is>
          <t>SM/TRG/DOC/002</t>
        </is>
      </c>
      <c r="B503" s="54" t="inlineStr">
        <is>
          <t>Human Rights in Maritime Security Operations — Staff and Management Training</t>
        </is>
      </c>
      <c r="C503" s="53" t="inlineStr">
        <is>
          <t>TRG</t>
        </is>
      </c>
      <c r="D503" s="53" t="inlineStr">
        <is>
          <t>1.0</t>
        </is>
      </c>
      <c r="E503" s="53" t="inlineStr">
        <is>
          <t>Approved</t>
        </is>
      </c>
      <c r="F503" s="54" t="inlineStr">
        <is>
          <t>13 - Campaign - Your Watch Our Standard</t>
        </is>
      </c>
      <c r="G503" s="54" t="inlineStr">
        <is>
          <t>ICoCA / VPSHR / 18788 / 28007</t>
        </is>
      </c>
      <c r="H503" s="53" t="inlineStr">
        <is>
          <t>Group Compliance Director</t>
        </is>
      </c>
      <c r="I503" s="53" t="inlineStr">
        <is>
          <t>03/04/2026</t>
        </is>
      </c>
      <c r="J503" s="53" t="inlineStr">
        <is>
          <t>03/10/2026</t>
        </is>
      </c>
      <c r="K503" s="53" t="n"/>
      <c r="L503" s="54" t="inlineStr">
        <is>
          <t>28-slide PPT training course. Reframed for shore-based staff/management oversight perspective.</t>
        </is>
      </c>
    </row>
    <row r="504">
      <c r="A504" s="53" t="inlineStr">
        <is>
          <t>SM/SEC/DOC/002</t>
        </is>
      </c>
      <c r="B504" s="54" t="inlineStr">
        <is>
          <t>WAF OCIMF Due Diligence Checklist</t>
        </is>
      </c>
      <c r="C504" s="53" t="inlineStr">
        <is>
          <t>SEC</t>
        </is>
      </c>
      <c r="D504" s="53" t="inlineStr">
        <is>
          <t>1.0</t>
        </is>
      </c>
      <c r="E504" s="53" t="inlineStr">
        <is>
          <t>Approved</t>
        </is>
      </c>
      <c r="F504" s="54" t="inlineStr">
        <is>
          <t>06 - Client and Commercial / Due Diligence Packs</t>
        </is>
      </c>
      <c r="G504" s="54" t="inlineStr">
        <is>
          <t>ISO 28007 (4.4.6) / OCIMF</t>
        </is>
      </c>
      <c r="H504" s="53" t="inlineStr">
        <is>
          <t>Group Compliance Director</t>
        </is>
      </c>
      <c r="I504" s="53" t="inlineStr">
        <is>
          <t>04/04/2026</t>
        </is>
      </c>
      <c r="J504" s="53" t="inlineStr">
        <is>
          <t>Annual</t>
        </is>
      </c>
      <c r="K504" s="53" t="n"/>
      <c r="L504" s="54" t="inlineStr">
        <is>
          <t>S28 Word format (docx-js). 52 questions, 8 sections. Matches IOR DOC-001 5-column layout. PDF on WAF DD portal.</t>
        </is>
      </c>
    </row>
    <row r="505">
      <c r="A505" s="53" t="inlineStr">
        <is>
          <t>SM/INT/DOC/005</t>
        </is>
      </c>
      <c r="B505" s="54" t="inlineStr">
        <is>
          <t>Roles, Responsibilities and Authorities Matrix (RACI)</t>
        </is>
      </c>
      <c r="C505" s="53" t="inlineStr">
        <is>
          <t>INT</t>
        </is>
      </c>
      <c r="D505" s="53" t="inlineStr">
        <is>
          <t>1.0</t>
        </is>
      </c>
      <c r="E505" s="53" t="inlineStr">
        <is>
          <t>Approved</t>
        </is>
      </c>
      <c r="F505" s="54" t="inlineStr">
        <is>
          <t>00 - Management System Overview</t>
        </is>
      </c>
      <c r="G505" s="54" t="inlineStr">
        <is>
          <t>45001 (5.3) / 18788 (5.3)</t>
        </is>
      </c>
      <c r="H505" s="53" t="inlineStr">
        <is>
          <t>Group Compliance Director</t>
        </is>
      </c>
      <c r="I505" s="53" t="inlineStr">
        <is>
          <t>08/04/2026</t>
        </is>
      </c>
      <c r="J505" s="53" t="inlineStr">
        <is>
          <t>08/04/2027</t>
        </is>
      </c>
      <c r="K505" s="53" t="n"/>
    </row>
  </sheetData>
  <mergeCells count="2">
    <mergeCell ref="C2:H2"/>
    <mergeCell ref="C1:H1"/>
  </mergeCells>
  <dataValidations count="2">
    <dataValidation sqref="C5:C500" showDropDown="0" showInputMessage="0" showErrorMessage="0" allowBlank="1" error="Select a valid system code" type="list" errorStyle="stop" operator="between">
      <formula1>"SEC,QMS,HSE,INT,OPS,OFF,SMS"</formula1>
      <formula2>0</formula2>
    </dataValidation>
    <dataValidation sqref="E5:E500" showDropDown="0" showInputMessage="0" showErrorMessage="0" allowBlank="1" error="Select a valid status" type="list" errorStyle="stop" operator="between">
      <formula1>"Draft,Under Review,Approved,Superseded,Retired"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29" min="1" max="1"/>
    <col width="20" customWidth="1" style="29" min="2" max="2"/>
    <col width="40" customWidth="1" style="29" min="3" max="3"/>
    <col width="14" customWidth="1" style="29" min="4" max="4"/>
    <col width="28" customWidth="1" style="29" min="5" max="6"/>
  </cols>
  <sheetData>
    <row r="1" ht="17.35" customHeight="1" s="30">
      <c r="A1" s="31" t="inlineStr">
        <is>
          <t>Legacy to New Reference Mapping</t>
        </is>
      </c>
    </row>
    <row r="2" ht="6" customHeight="1" s="30"/>
    <row r="3" ht="22.35" customHeight="1" s="30">
      <c r="A3" s="42" t="inlineStr">
        <is>
          <t>Legacy Reference</t>
        </is>
      </c>
      <c r="B3" s="42" t="inlineStr">
        <is>
          <t>New Reference</t>
        </is>
      </c>
      <c r="C3" s="42" t="inlineStr">
        <is>
          <t>Document Title</t>
        </is>
      </c>
      <c r="D3" s="42" t="inlineStr">
        <is>
          <t>Migration Status</t>
        </is>
      </c>
      <c r="E3" s="42" t="inlineStr">
        <is>
          <t>Migration Trigger</t>
        </is>
      </c>
      <c r="F3" s="42" t="inlineStr">
        <is>
          <t>Notes</t>
        </is>
      </c>
    </row>
    <row r="4" ht="22.35" customHeight="1" s="30">
      <c r="A4" s="38" t="inlineStr">
        <is>
          <t>SMS/SOP/IO/001</t>
        </is>
      </c>
      <c r="B4" s="38" t="inlineStr">
        <is>
          <t>SM/OPS/SOP/001</t>
        </is>
      </c>
      <c r="C4" s="44" t="inlineStr">
        <is>
          <t>Indian Ocean Piracy Operations SOP</t>
        </is>
      </c>
      <c r="D4" s="44" t="inlineStr">
        <is>
          <t>Pending</t>
        </is>
      </c>
      <c r="E4" s="44" t="inlineStr">
        <is>
          <t>Shell findings amendment</t>
        </is>
      </c>
      <c r="F4" s="44" t="inlineStr">
        <is>
          <t>Ref changes when SOP is amended</t>
        </is>
      </c>
    </row>
    <row r="5" ht="22.35" customHeight="1" s="30">
      <c r="A5" s="36" t="inlineStr">
        <is>
          <t>SM SOP - PG</t>
        </is>
      </c>
      <c r="B5" s="36" t="inlineStr">
        <is>
          <t>SM/OPS/SOP/002</t>
        </is>
      </c>
      <c r="C5" s="47" t="inlineStr">
        <is>
          <t>Persian Gulf Vessel Evacuation and Guarding SOP</t>
        </is>
      </c>
      <c r="D5" s="47" t="inlineStr">
        <is>
          <t>Pending</t>
        </is>
      </c>
      <c r="E5" s="47" t="inlineStr">
        <is>
          <t>Next amendment</t>
        </is>
      </c>
      <c r="F5" s="47" t="n"/>
    </row>
    <row r="6" ht="15" customHeight="1" s="30">
      <c r="A6" s="38" t="inlineStr">
        <is>
          <t>SM RA-003</t>
        </is>
      </c>
      <c r="B6" s="38" t="inlineStr">
        <is>
          <t>SM/HSE/RA/001</t>
        </is>
      </c>
      <c r="C6" s="44" t="inlineStr">
        <is>
          <t>Vessel Evacuation and Guarding H&amp;S RA</t>
        </is>
      </c>
      <c r="D6" s="44" t="inlineStr">
        <is>
          <t>Mapped</t>
        </is>
      </c>
      <c r="E6" s="44" t="inlineStr">
        <is>
          <t>Already in new system</t>
        </is>
      </c>
      <c r="F6" s="44" t="inlineStr">
        <is>
          <t>RA-003 pattern retained</t>
        </is>
      </c>
    </row>
    <row r="7" ht="15" customHeight="1" s="30">
      <c r="A7" s="36" t="inlineStr">
        <is>
          <t>SM RA-004 IOR</t>
        </is>
      </c>
      <c r="B7" s="36" t="inlineStr">
        <is>
          <t>SM/SEC/RA/001</t>
        </is>
      </c>
      <c r="C7" s="47" t="inlineStr">
        <is>
          <t>IOR Piracy Operations Security &amp; Business RA</t>
        </is>
      </c>
      <c r="D7" s="47" t="inlineStr">
        <is>
          <t>Mapped</t>
        </is>
      </c>
      <c r="E7" s="47" t="inlineStr">
        <is>
          <t>Already in new system</t>
        </is>
      </c>
      <c r="F7" s="47" t="inlineStr">
        <is>
          <t>RA-004 pattern retained</t>
        </is>
      </c>
    </row>
    <row r="8" ht="15" customHeight="1" s="30">
      <c r="A8" s="38" t="inlineStr">
        <is>
          <t>SM RA-004 WAF</t>
        </is>
      </c>
      <c r="B8" s="38" t="inlineStr">
        <is>
          <t>SM/SEC/RA/002</t>
        </is>
      </c>
      <c r="C8" s="44" t="inlineStr">
        <is>
          <t>WAF GOG Operations Security &amp; Business RA</t>
        </is>
      </c>
      <c r="D8" s="44" t="inlineStr">
        <is>
          <t>Mapped</t>
        </is>
      </c>
      <c r="E8" s="44" t="inlineStr">
        <is>
          <t>Already in new system</t>
        </is>
      </c>
      <c r="F8" s="44" t="inlineStr">
        <is>
          <t>RA-004 pattern retained</t>
        </is>
      </c>
    </row>
    <row r="9" ht="22.35" customHeight="1" s="30">
      <c r="A9" s="36" t="inlineStr">
        <is>
          <t>SM RA-004 PG</t>
        </is>
      </c>
      <c r="B9" s="36" t="inlineStr">
        <is>
          <t>SM/SEC/RA/003</t>
        </is>
      </c>
      <c r="C9" s="47" t="inlineStr">
        <is>
          <t>PG Vessel Evacuation and Guarding Security &amp; Business RA</t>
        </is>
      </c>
      <c r="D9" s="47" t="inlineStr">
        <is>
          <t>Mapped</t>
        </is>
      </c>
      <c r="E9" s="47" t="inlineStr">
        <is>
          <t>Already in new system</t>
        </is>
      </c>
      <c r="F9" s="47" t="inlineStr">
        <is>
          <t>RA-004 pattern retained</t>
        </is>
      </c>
    </row>
    <row r="10" ht="15" customHeight="1" s="30">
      <c r="A10" s="38" t="inlineStr">
        <is>
          <t>SM PRO-SEV-RA-001</t>
        </is>
      </c>
      <c r="B10" s="38" t="inlineStr">
        <is>
          <t>SM/OFF/PRO/001</t>
        </is>
      </c>
      <c r="C10" s="44" t="inlineStr">
        <is>
          <t>SEV Critical Spares RA Procedure</t>
        </is>
      </c>
      <c r="D10" s="44" t="inlineStr">
        <is>
          <t>Mapped</t>
        </is>
      </c>
      <c r="E10" s="44" t="inlineStr">
        <is>
          <t>Already in new system</t>
        </is>
      </c>
      <c r="F10" s="44" t="n"/>
    </row>
    <row r="11" ht="15" customHeight="1" s="30">
      <c r="A11" s="36" t="inlineStr">
        <is>
          <t>SM RA-SEV MED4 001</t>
        </is>
      </c>
      <c r="B11" s="36" t="inlineStr">
        <is>
          <t>SM/OFF/RA/001</t>
        </is>
      </c>
      <c r="C11" s="47" t="inlineStr">
        <is>
          <t>Critical Spares RA - MV Mediator IV</t>
        </is>
      </c>
      <c r="D11" s="47" t="inlineStr">
        <is>
          <t>Mapped</t>
        </is>
      </c>
      <c r="E11" s="47" t="inlineStr">
        <is>
          <t>Already in new system</t>
        </is>
      </c>
      <c r="F11" s="47" t="n"/>
    </row>
    <row r="12" ht="22.35" customHeight="1" s="30">
      <c r="A12" s="38" t="inlineStr">
        <is>
          <t>SM-JD-QHSE Manager-06.03.2026</t>
        </is>
      </c>
      <c r="B12" s="38" t="inlineStr">
        <is>
          <t>SM/INT/JD/001</t>
        </is>
      </c>
      <c r="C12" s="44" t="inlineStr">
        <is>
          <t>QHSE Manager Job Description</t>
        </is>
      </c>
      <c r="D12" s="44" t="inlineStr">
        <is>
          <t>Mapped</t>
        </is>
      </c>
      <c r="E12" s="44" t="inlineStr">
        <is>
          <t>Already in new system</t>
        </is>
      </c>
      <c r="F12" s="44" t="n"/>
    </row>
    <row r="13" ht="22.35" customHeight="1" s="30">
      <c r="A13" s="36" t="inlineStr">
        <is>
          <t>MSP-A series</t>
        </is>
      </c>
      <c r="B13" s="36" t="inlineStr">
        <is>
          <t>TBD</t>
        </is>
      </c>
      <c r="C13" s="47" t="inlineStr">
        <is>
          <t>Legacy management system procedures (various)</t>
        </is>
      </c>
      <c r="D13" s="47" t="inlineStr">
        <is>
          <t>Pending</t>
        </is>
      </c>
      <c r="E13" s="47" t="inlineStr">
        <is>
          <t>Review and update cycle</t>
        </is>
      </c>
      <c r="F13" s="47" t="inlineStr">
        <is>
          <t>Map individually when amended</t>
        </is>
      </c>
    </row>
    <row r="14" ht="22.35" customHeight="1" s="30">
      <c r="A14" s="38" t="inlineStr">
        <is>
          <t>MSP-B series</t>
        </is>
      </c>
      <c r="B14" s="38" t="inlineStr">
        <is>
          <t>TBD</t>
        </is>
      </c>
      <c r="C14" s="44" t="inlineStr">
        <is>
          <t>Legacy management system procedures (various)</t>
        </is>
      </c>
      <c r="D14" s="44" t="inlineStr">
        <is>
          <t>Pending</t>
        </is>
      </c>
      <c r="E14" s="44" t="inlineStr">
        <is>
          <t>Review and update cycle</t>
        </is>
      </c>
      <c r="F14" s="44" t="inlineStr">
        <is>
          <t>Map individually when amended</t>
        </is>
      </c>
    </row>
    <row r="15" ht="22.35" customHeight="1" s="30">
      <c r="A15" s="38" t="inlineStr">
        <is>
          <t>MSP-A-01 / OHSP14 / SOP-1001</t>
        </is>
      </c>
      <c r="B15" s="38" t="inlineStr">
        <is>
          <t>SM/PRO/DOC/001</t>
        </is>
      </c>
      <c r="C15" s="44" t="inlineStr">
        <is>
          <t>Control of Documents</t>
        </is>
      </c>
      <c r="D15" s="44" t="inlineStr">
        <is>
          <t>Complete</t>
        </is>
      </c>
      <c r="E15" s="44" t="inlineStr">
        <is>
          <t>Session 11 rebuild</t>
        </is>
      </c>
      <c r="F15" s="44" t="inlineStr">
        <is>
          <t>Multiple legacy procs superseded</t>
        </is>
      </c>
    </row>
  </sheetData>
  <mergeCells count="1">
    <mergeCell ref="A1:D1"/>
  </mergeCells>
  <dataValidations count="1">
    <dataValidation sqref="D4:D200" showDropDown="0" showInputMessage="0" showErrorMessage="0" allowBlank="1" type="list" errorStyle="stop" operator="between">
      <formula1>"Mapped,Pending,In Progress,Complete"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9" min="1" max="1"/>
    <col width="40" customWidth="1" style="29" min="2" max="2"/>
    <col width="10" customWidth="1" style="29" min="3" max="3"/>
    <col width="20" customWidth="1" style="29" min="4" max="4"/>
    <col width="12" customWidth="1" style="29" min="5" max="5"/>
    <col width="32" customWidth="1" style="29" min="6" max="6"/>
  </cols>
  <sheetData>
    <row r="1" ht="17.35" customHeight="1" s="30">
      <c r="A1" s="31" t="inlineStr">
        <is>
          <t>Archived / Superseded Documents</t>
        </is>
      </c>
    </row>
    <row r="2" ht="6" customHeight="1" s="30"/>
    <row r="3" ht="22.35" customHeight="1" s="30">
      <c r="A3" s="42" t="inlineStr">
        <is>
          <t>Document Reference</t>
        </is>
      </c>
      <c r="B3" s="42" t="inlineStr">
        <is>
          <t>Document Title</t>
        </is>
      </c>
      <c r="C3" s="42" t="inlineStr">
        <is>
          <t>Final Version</t>
        </is>
      </c>
      <c r="D3" s="42" t="inlineStr">
        <is>
          <t>Superseded By</t>
        </is>
      </c>
      <c r="E3" s="42" t="inlineStr">
        <is>
          <t>Archive Date</t>
        </is>
      </c>
      <c r="F3" s="42" t="inlineStr">
        <is>
          <t>Reason</t>
        </is>
      </c>
    </row>
    <row r="4">
      <c r="A4" s="46" t="inlineStr">
        <is>
          <t>SM/SEC/RA/003</t>
        </is>
      </c>
      <c r="B4" s="47" t="inlineStr">
        <is>
          <t>PG Vessel Evacuation and Guarding Security &amp; Business RA</t>
        </is>
      </c>
      <c r="C4" s="48" t="inlineStr">
        <is>
          <t>SEC</t>
        </is>
      </c>
      <c r="D4" s="48" t="inlineStr">
        <is>
          <t>1.0</t>
        </is>
      </c>
      <c r="E4" s="48" t="inlineStr">
        <is>
          <t>Archived</t>
        </is>
      </c>
      <c r="F4" s="47" t="inlineStr">
        <is>
          <t>03 / RA-004 Series</t>
        </is>
      </c>
      <c r="G4" s="47" t="inlineStr">
        <is>
          <t>18788 / 28000</t>
        </is>
      </c>
      <c r="H4" s="48" t="inlineStr">
        <is>
          <t>Group Compliance Director</t>
        </is>
      </c>
      <c r="I4" s="48" t="inlineStr">
        <is>
          <t>2026</t>
        </is>
      </c>
      <c r="J4" s="48" t="inlineStr">
        <is>
          <t>2027</t>
        </is>
      </c>
      <c r="K4" s="47" t="inlineStr">
        <is>
          <t>SM RA-004 PG</t>
        </is>
      </c>
      <c r="L4" s="47" t="inlineStr">
        <is>
          <t>PG operations never actioned. Files in Misc. Archived S28.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9" min="1" max="2"/>
    <col width="16" customWidth="1" style="29" min="3" max="3"/>
    <col width="45" customWidth="1" style="29" min="4" max="4"/>
  </cols>
  <sheetData>
    <row r="1" ht="17.35" customHeight="1" s="30">
      <c r="A1" s="31" t="inlineStr">
        <is>
          <t>Document Sequence Tracker</t>
        </is>
      </c>
    </row>
    <row r="2" ht="15" customHeight="1" s="30">
      <c r="A2" s="32" t="inlineStr">
        <is>
          <t>Next available sequence number per system/type combination</t>
        </is>
      </c>
    </row>
    <row r="3" ht="6" customHeight="1" s="30"/>
    <row r="4" ht="15" customHeight="1" s="30">
      <c r="A4" s="42" t="inlineStr">
        <is>
          <t>System</t>
        </is>
      </c>
      <c r="B4" s="42" t="inlineStr">
        <is>
          <t>Type</t>
        </is>
      </c>
      <c r="C4" s="42" t="inlineStr">
        <is>
          <t>Next Sequence</t>
        </is>
      </c>
      <c r="D4" s="42" t="inlineStr">
        <is>
          <t>Last Document Created</t>
        </is>
      </c>
    </row>
    <row r="5" ht="15" customHeight="1" s="30">
      <c r="A5" s="58" t="inlineStr">
        <is>
          <t>INT</t>
        </is>
      </c>
      <c r="B5" s="58" t="inlineStr">
        <is>
          <t>DOC</t>
        </is>
      </c>
      <c r="C5" s="59" t="inlineStr">
        <is>
          <t>007</t>
        </is>
      </c>
      <c r="D5" s="44" t="inlineStr">
        <is>
          <t>SM/INT/DOC/006 - MSO Course Program</t>
        </is>
      </c>
    </row>
    <row r="6" ht="15" customHeight="1" s="30">
      <c r="A6" s="60" t="inlineStr">
        <is>
          <t>INT</t>
        </is>
      </c>
      <c r="B6" s="60" t="inlineStr">
        <is>
          <t>REG</t>
        </is>
      </c>
      <c r="C6" s="59" t="n">
        <v>11</v>
      </c>
      <c r="D6" s="47" t="inlineStr">
        <is>
          <t>SM/INT/REG/010</t>
        </is>
      </c>
    </row>
    <row r="7" ht="15" customHeight="1" s="30">
      <c r="A7" s="58" t="inlineStr">
        <is>
          <t>INT</t>
        </is>
      </c>
      <c r="B7" s="58" t="inlineStr">
        <is>
          <t>CPP</t>
        </is>
      </c>
      <c r="C7" s="59" t="inlineStr">
        <is>
          <t>002</t>
        </is>
      </c>
      <c r="D7" s="44" t="inlineStr">
        <is>
          <t>SM/INT/CPP/001 - MV Vladimir Boarding CPP</t>
        </is>
      </c>
    </row>
    <row r="8" ht="15" customHeight="1" s="30">
      <c r="A8" s="60" t="inlineStr">
        <is>
          <t>INT</t>
        </is>
      </c>
      <c r="B8" s="60" t="inlineStr">
        <is>
          <t>SOW</t>
        </is>
      </c>
      <c r="C8" s="59" t="inlineStr">
        <is>
          <t>002</t>
        </is>
      </c>
      <c r="D8" s="47" t="inlineStr">
        <is>
          <t>SM/INT/SOW/001 - MV Vladimir SOW</t>
        </is>
      </c>
    </row>
    <row r="9" ht="15" customHeight="1" s="30">
      <c r="A9" s="58" t="inlineStr">
        <is>
          <t>INT</t>
        </is>
      </c>
      <c r="B9" s="58" t="inlineStr">
        <is>
          <t>TPL</t>
        </is>
      </c>
      <c r="C9" s="59" t="inlineStr">
        <is>
          <t>003</t>
        </is>
      </c>
      <c r="D9" s="44" t="inlineStr">
        <is>
          <t>SM/INT/TPL/002 - Procedure Template</t>
        </is>
      </c>
    </row>
    <row r="10" ht="15" customHeight="1" s="30">
      <c r="A10" s="60" t="inlineStr">
        <is>
          <t>INT</t>
        </is>
      </c>
      <c r="B10" s="60" t="inlineStr">
        <is>
          <t>JD</t>
        </is>
      </c>
      <c r="C10" s="59" t="inlineStr">
        <is>
          <t>005</t>
        </is>
      </c>
      <c r="D10" s="47" t="inlineStr">
        <is>
          <t>SM/INT/JD/004 - Group Compliance Director JD</t>
        </is>
      </c>
    </row>
    <row r="11" ht="15" customHeight="1" s="30">
      <c r="A11" s="58" t="inlineStr">
        <is>
          <t>SEC</t>
        </is>
      </c>
      <c r="B11" s="58" t="inlineStr">
        <is>
          <t>RA</t>
        </is>
      </c>
      <c r="C11" s="59" t="inlineStr">
        <is>
          <t>004</t>
        </is>
      </c>
      <c r="D11" s="44" t="inlineStr">
        <is>
          <t>SM/SEC/RA/002 - WAF GOG Operations Security RA (003 PG Archived)</t>
        </is>
      </c>
    </row>
    <row r="12" ht="15" customHeight="1" s="30">
      <c r="A12" s="29" t="inlineStr">
        <is>
          <t>SEC</t>
        </is>
      </c>
      <c r="B12" s="29" t="inlineStr">
        <is>
          <t>PRO</t>
        </is>
      </c>
      <c r="C12" s="29" t="inlineStr">
        <is>
          <t>006</t>
        </is>
      </c>
      <c r="D12" s="29" t="inlineStr">
        <is>
          <t>SM/SEC/PRO/005 - Supplier Approval SEV Providers</t>
        </is>
      </c>
    </row>
    <row r="13" ht="15" customHeight="1" s="30">
      <c r="A13" s="60" t="inlineStr">
        <is>
          <t>HSE</t>
        </is>
      </c>
      <c r="B13" s="60" t="inlineStr">
        <is>
          <t>RA</t>
        </is>
      </c>
      <c r="C13" s="59" t="inlineStr">
        <is>
          <t>011</t>
        </is>
      </c>
      <c r="D13" s="47" t="inlineStr">
        <is>
          <t>SM/HSE/RA/010 - Night Operations H&amp;S RA</t>
        </is>
      </c>
    </row>
    <row r="14" ht="15" customHeight="1" s="30">
      <c r="A14" s="58" t="inlineStr">
        <is>
          <t>OPS</t>
        </is>
      </c>
      <c r="B14" s="58" t="inlineStr">
        <is>
          <t>SOP</t>
        </is>
      </c>
      <c r="C14" s="59" t="inlineStr">
        <is>
          <t>003</t>
        </is>
      </c>
      <c r="D14" s="44" t="inlineStr">
        <is>
          <t>SM/OPS/SOP/002 - WAF SEV Operations</t>
        </is>
      </c>
    </row>
    <row r="15" ht="15" customHeight="1" s="30">
      <c r="A15" s="60" t="inlineStr">
        <is>
          <t>OFF</t>
        </is>
      </c>
      <c r="B15" s="60" t="inlineStr">
        <is>
          <t>PRO</t>
        </is>
      </c>
      <c r="C15" s="59" t="inlineStr">
        <is>
          <t>002</t>
        </is>
      </c>
      <c r="D15" s="47" t="inlineStr">
        <is>
          <t>SM/OFF/PRO/001 - SEV Critical Spares Procedure</t>
        </is>
      </c>
    </row>
    <row r="16" ht="15" customHeight="1" s="30">
      <c r="A16" s="58" t="inlineStr">
        <is>
          <t>OFF</t>
        </is>
      </c>
      <c r="B16" s="58" t="inlineStr">
        <is>
          <t>RA</t>
        </is>
      </c>
      <c r="C16" s="59" t="inlineStr">
        <is>
          <t>002</t>
        </is>
      </c>
      <c r="D16" s="44" t="inlineStr">
        <is>
          <t>SM/OFF/RA/001 - Critical Spares RA Mediator IV</t>
        </is>
      </c>
    </row>
    <row r="17" ht="15" customHeight="1" s="30">
      <c r="A17" s="58" t="inlineStr">
        <is>
          <t>INT</t>
        </is>
      </c>
      <c r="B17" s="58" t="inlineStr">
        <is>
          <t>RPT</t>
        </is>
      </c>
      <c r="C17" s="59" t="inlineStr">
        <is>
          <t>002</t>
        </is>
      </c>
      <c r="D17" s="44" t="inlineStr">
        <is>
          <t>SM/INT/RPT/001 - IA Programme Review</t>
        </is>
      </c>
    </row>
    <row r="18" ht="15" customHeight="1" s="30">
      <c r="A18" s="58" t="inlineStr">
        <is>
          <t>INT</t>
        </is>
      </c>
      <c r="B18" s="58" t="inlineStr">
        <is>
          <t>CMP</t>
        </is>
      </c>
      <c r="C18" s="59" t="inlineStr">
        <is>
          <t>003</t>
        </is>
      </c>
      <c r="D18" s="44" t="inlineStr">
        <is>
          <t>SM/INT/CMP/002 - Combined Work Programme</t>
        </is>
      </c>
    </row>
    <row r="19" ht="15" customHeight="1" s="30">
      <c r="A19" s="58" t="inlineStr">
        <is>
          <t>SEC</t>
        </is>
      </c>
      <c r="B19" s="58" t="inlineStr">
        <is>
          <t>RPT</t>
        </is>
      </c>
      <c r="C19" s="59" t="inlineStr">
        <is>
          <t>003</t>
        </is>
      </c>
      <c r="D19" s="44" t="inlineStr">
        <is>
          <t>SM/SEC/RPT/002 - Risk Management Audit Report</t>
        </is>
      </c>
    </row>
    <row r="20" ht="15" customHeight="1" s="30">
      <c r="A20" s="58" t="inlineStr">
        <is>
          <t>INT</t>
        </is>
      </c>
      <c r="B20" s="58" t="inlineStr">
        <is>
          <t>PRO</t>
        </is>
      </c>
      <c r="C20" s="59" t="inlineStr">
        <is>
          <t>022</t>
        </is>
      </c>
      <c r="D20" s="44" t="inlineStr">
        <is>
          <t>SM/INT/PRO/021 - D&amp;A Testing Procedure</t>
        </is>
      </c>
    </row>
    <row r="21" ht="15" customHeight="1" s="30">
      <c r="A21" s="58" t="inlineStr">
        <is>
          <t>INT</t>
        </is>
      </c>
      <c r="B21" s="58" t="inlineStr">
        <is>
          <t>FORM</t>
        </is>
      </c>
      <c r="C21" s="59" t="n">
        <v>7</v>
      </c>
      <c r="D21" s="44" t="inlineStr">
        <is>
          <t>SM/INT/FORM/006</t>
        </is>
      </c>
    </row>
    <row r="22" ht="15" customHeight="1" s="30">
      <c r="A22" s="29" t="inlineStr">
        <is>
          <t>HSE</t>
        </is>
      </c>
      <c r="B22" s="29" t="inlineStr">
        <is>
          <t>DOC</t>
        </is>
      </c>
      <c r="C22" s="29" t="inlineStr">
        <is>
          <t>002</t>
        </is>
      </c>
      <c r="D22" s="29" t="inlineStr">
        <is>
          <t>SM/HSE/DOC/001 - OH&amp;S Scope Statement</t>
        </is>
      </c>
    </row>
    <row r="23" ht="15" customHeight="1" s="30">
      <c r="A23" s="29" t="inlineStr">
        <is>
          <t>HSE</t>
        </is>
      </c>
      <c r="B23" s="29" t="inlineStr">
        <is>
          <t>POL</t>
        </is>
      </c>
      <c r="C23" s="29" t="inlineStr">
        <is>
          <t>003</t>
        </is>
      </c>
      <c r="D23" s="29" t="inlineStr">
        <is>
          <t>SM/HSE/POL/002 - Environmental Policy</t>
        </is>
      </c>
    </row>
    <row r="24" ht="15" customHeight="1" s="30">
      <c r="A24" s="29" t="inlineStr">
        <is>
          <t>HSE</t>
        </is>
      </c>
      <c r="B24" s="29" t="inlineStr">
        <is>
          <t>REG</t>
        </is>
      </c>
      <c r="C24" s="29" t="inlineStr">
        <is>
          <t>003</t>
        </is>
      </c>
      <c r="D24" s="29" t="inlineStr">
        <is>
          <t>SM/HSE/REG/002 - Legal and Regulatory Requirements Register</t>
        </is>
      </c>
    </row>
    <row r="25" ht="15" customHeight="1" s="30">
      <c r="A25" s="29" t="inlineStr">
        <is>
          <t>HSE</t>
        </is>
      </c>
      <c r="B25" s="29" t="inlineStr">
        <is>
          <t>PRO</t>
        </is>
      </c>
      <c r="C25" s="29" t="inlineStr">
        <is>
          <t>004</t>
        </is>
      </c>
      <c r="D25" s="29" t="inlineStr">
        <is>
          <t>SM/HSE/PRO/003 - Emergency Preparedness and Response</t>
        </is>
      </c>
    </row>
    <row r="26" ht="15" customHeight="1" s="30">
      <c r="A26" s="29" t="inlineStr">
        <is>
          <t>CAM</t>
        </is>
      </c>
      <c r="B26" s="29" t="inlineStr">
        <is>
          <t>BUL</t>
        </is>
      </c>
      <c r="C26" s="29" t="inlineStr">
        <is>
          <t>003</t>
        </is>
      </c>
      <c r="D26" s="29" t="inlineStr">
        <is>
          <t>SM/CAM/BUL/002 - DD Portal Bulletin</t>
        </is>
      </c>
    </row>
    <row r="27" ht="15" customHeight="1" s="30">
      <c r="A27" s="29" t="inlineStr">
        <is>
          <t>CAM</t>
        </is>
      </c>
      <c r="B27" s="29" t="inlineStr">
        <is>
          <t>FC</t>
        </is>
      </c>
      <c r="C27" s="29" t="inlineStr">
        <is>
          <t>002</t>
        </is>
      </c>
      <c r="D27" s="29" t="inlineStr">
        <is>
          <t>SM/CAM/FC/001 - Vessel Transfers Toolbox Talk Flash Cards</t>
        </is>
      </c>
    </row>
    <row r="28" ht="15" customHeight="1" s="30">
      <c r="A28" s="29" t="inlineStr">
        <is>
          <t>CAM</t>
        </is>
      </c>
      <c r="B28" s="29" t="inlineStr">
        <is>
          <t>BRAG</t>
        </is>
      </c>
      <c r="C28" s="29" t="inlineStr">
        <is>
          <t>010</t>
        </is>
      </c>
      <c r="D28" s="29" t="inlineStr">
        <is>
          <t>SM/CAM/BRAG/009 - Night Operations BRAG</t>
        </is>
      </c>
    </row>
    <row r="29">
      <c r="A29" s="29" t="inlineStr">
        <is>
          <t>SEC</t>
        </is>
      </c>
      <c r="B29" s="29" t="inlineStr">
        <is>
          <t>REG</t>
        </is>
      </c>
      <c r="C29" s="29" t="inlineStr">
        <is>
          <t>002</t>
        </is>
      </c>
      <c r="D29" s="29" t="inlineStr">
        <is>
          <t>SM/SEC/REG/001 - Flag State Requirements Register</t>
        </is>
      </c>
    </row>
    <row r="30">
      <c r="A30" s="29" t="inlineStr">
        <is>
          <t>SEC</t>
        </is>
      </c>
      <c r="B30" s="29" t="inlineStr">
        <is>
          <t>DOC</t>
        </is>
      </c>
      <c r="C30" s="29" t="inlineStr">
        <is>
          <t>003</t>
        </is>
      </c>
      <c r="D30" s="29" t="inlineStr">
        <is>
          <t>SM/SEC/DOC/002 - WAF OCIMF Due Diligence Checklist</t>
        </is>
      </c>
    </row>
    <row r="31">
      <c r="A31" s="29" t="inlineStr">
        <is>
          <t>OPS</t>
        </is>
      </c>
      <c r="B31" s="29" t="inlineStr">
        <is>
          <t>PRO</t>
        </is>
      </c>
      <c r="C31" s="29" t="inlineStr">
        <is>
          <t>002</t>
        </is>
      </c>
      <c r="D31" s="29" t="inlineStr">
        <is>
          <t>SM/OPS/PRO/001 - Rules on the Use of Force (legacy, see SEC/PRO/003)</t>
        </is>
      </c>
    </row>
    <row r="32">
      <c r="A32" s="29" t="inlineStr">
        <is>
          <t>CAM</t>
        </is>
      </c>
      <c r="B32" s="29" t="inlineStr">
        <is>
          <t>SG</t>
        </is>
      </c>
      <c r="C32" s="29" t="inlineStr">
        <is>
          <t>002</t>
        </is>
      </c>
      <c r="D32" s="29" t="inlineStr">
        <is>
          <t>SM/CAM/SG/001 - Vessel Transfer Operations Safety Guide</t>
        </is>
      </c>
    </row>
    <row r="33">
      <c r="A33" s="29" t="inlineStr">
        <is>
          <t>OPS</t>
        </is>
      </c>
      <c r="B33" s="29" t="inlineStr">
        <is>
          <t>SOP-ANN</t>
        </is>
      </c>
      <c r="C33" s="29" t="inlineStr">
        <is>
          <t>H</t>
        </is>
      </c>
      <c r="D33" s="29" t="inlineStr">
        <is>
          <t>SM/OPS/SOP/001-H - Disembarkation and Post Transit</t>
        </is>
      </c>
    </row>
    <row r="34">
      <c r="A34" s="29" t="inlineStr">
        <is>
          <t>TRG</t>
        </is>
      </c>
      <c r="B34" s="29" t="inlineStr">
        <is>
          <t>DOC</t>
        </is>
      </c>
      <c r="C34" s="29" t="inlineStr">
        <is>
          <t>003</t>
        </is>
      </c>
      <c r="D34" s="29" t="inlineStr">
        <is>
          <t>SM/TRG/DOC/002 - Staff and Management Training</t>
        </is>
      </c>
    </row>
    <row r="35">
      <c r="A35" s="29" t="inlineStr">
        <is>
          <t>SEC</t>
        </is>
      </c>
      <c r="B35" s="29" t="inlineStr">
        <is>
          <t>FORM</t>
        </is>
      </c>
      <c r="C35" s="29" t="n">
        <v>5</v>
      </c>
      <c r="D35" s="29" t="inlineStr">
        <is>
          <t>SM/SEC/FORM/004</t>
        </is>
      </c>
    </row>
    <row r="36">
      <c r="A36" s="29" t="inlineStr">
        <is>
          <t>OPS</t>
        </is>
      </c>
      <c r="B36" s="29" t="inlineStr">
        <is>
          <t>FORM</t>
        </is>
      </c>
      <c r="C36" s="29" t="inlineStr">
        <is>
          <t>018</t>
        </is>
      </c>
      <c r="D36" s="29" t="inlineStr">
        <is>
          <t>SM/OPS/FORM/017 - Vessel Details Form</t>
        </is>
      </c>
    </row>
    <row r="37">
      <c r="A37" s="29" t="inlineStr">
        <is>
          <t>INT</t>
        </is>
      </c>
      <c r="B37" s="29" t="inlineStr">
        <is>
          <t>POL</t>
        </is>
      </c>
      <c r="C37" s="29" t="inlineStr">
        <is>
          <t>011</t>
        </is>
      </c>
      <c r="D37" s="29" t="inlineStr">
        <is>
          <t>SM/INT/POL/010 - Drugs and Alcohol Policy</t>
        </is>
      </c>
    </row>
    <row r="38">
      <c r="A38" s="29" t="inlineStr">
        <is>
          <t>HSE</t>
        </is>
      </c>
      <c r="B38" s="29" t="inlineStr">
        <is>
          <t>RPT</t>
        </is>
      </c>
      <c r="C38" s="29" t="inlineStr">
        <is>
          <t>002</t>
        </is>
      </c>
      <c r="D38" s="29" t="inlineStr">
        <is>
          <t>SM/HSE/RPT/001 - IRT Exercise Report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2026-03-23T12:15:13Z</dcterms:created>
  <dcterms:modified xmlns:dcterms="http://purl.org/dc/terms/" xmlns:xsi="http://www.w3.org/2001/XMLSchema-instance" xsi:type="dcterms:W3CDTF">2026-04-10T04:43:37Z</dcterms:modified>
  <cp:revision>0</cp:revision>
</cp:coreProperties>
</file>