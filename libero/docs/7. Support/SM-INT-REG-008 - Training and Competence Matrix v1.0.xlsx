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bcad5c95b35c585/Documents/Claude - Work/Projects/Seagull Maritime/Seagull Maritime Management System/04 - Registers and Trackers/"/>
    </mc:Choice>
  </mc:AlternateContent>
  <xr:revisionPtr revIDLastSave="0" documentId="11_A5A93809FD25E1F50F6EF7C9A4E1D79D88771717" xr6:coauthVersionLast="47" xr6:coauthVersionMax="47" xr10:uidLastSave="{00000000-0000-0000-0000-000000000000}"/>
  <bookViews>
    <workbookView xWindow="-120" yWindow="-120" windowWidth="77040" windowHeight="21120" tabRatio="500" xr2:uid="{00000000-000D-0000-FFFF-FFFF00000000}"/>
  </bookViews>
  <sheets>
    <sheet name="Training Matrix" sheetId="1" r:id="rId1"/>
    <sheet name="Personnel Requirements" sheetId="2" r:id="rId2"/>
    <sheet name="Course Detail" sheetId="3" r:id="rId3"/>
    <sheet name="Instruction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9" i="2" l="1"/>
  <c r="Y49" i="2"/>
  <c r="X49" i="2"/>
  <c r="W49" i="2"/>
  <c r="V49" i="2"/>
  <c r="U49" i="2"/>
  <c r="T49" i="2"/>
  <c r="S49" i="2"/>
  <c r="R49" i="2"/>
  <c r="Q49" i="2"/>
  <c r="P49" i="2"/>
  <c r="O49" i="2"/>
  <c r="N49" i="2"/>
  <c r="M49" i="2"/>
  <c r="L49" i="2"/>
  <c r="K49" i="2"/>
  <c r="J49" i="2"/>
  <c r="I49" i="2"/>
  <c r="H49" i="2"/>
  <c r="G49" i="2"/>
  <c r="AB47" i="2"/>
  <c r="AA47" i="2"/>
  <c r="AB46" i="2"/>
  <c r="AA46" i="2"/>
  <c r="AB45" i="2"/>
  <c r="AA45" i="2"/>
  <c r="AB44" i="2"/>
  <c r="AA44" i="2"/>
  <c r="AB43" i="2"/>
  <c r="AA43" i="2"/>
  <c r="AB42" i="2"/>
  <c r="AA42" i="2"/>
  <c r="AB41" i="2"/>
  <c r="AA41" i="2"/>
  <c r="AB40" i="2"/>
  <c r="AA40" i="2"/>
  <c r="AB39" i="2"/>
  <c r="AA39" i="2"/>
  <c r="AB38" i="2"/>
  <c r="AA38" i="2"/>
  <c r="AB37" i="2"/>
  <c r="AA37" i="2"/>
  <c r="AB36" i="2"/>
  <c r="AA36" i="2"/>
  <c r="AB35" i="2"/>
  <c r="AA35" i="2"/>
  <c r="AB34" i="2"/>
  <c r="AA34" i="2"/>
  <c r="AB33" i="2"/>
  <c r="AA33" i="2"/>
  <c r="AB32" i="2"/>
  <c r="AA32" i="2"/>
  <c r="AB31" i="2"/>
  <c r="AA31" i="2"/>
  <c r="AB30" i="2"/>
  <c r="AA30" i="2"/>
  <c r="AB29" i="2"/>
  <c r="AA29" i="2"/>
  <c r="AB28" i="2"/>
  <c r="AA28" i="2"/>
  <c r="AB27" i="2"/>
  <c r="AA27" i="2"/>
  <c r="AB26" i="2"/>
  <c r="AA26" i="2"/>
  <c r="AB25" i="2"/>
  <c r="AA25" i="2"/>
  <c r="AB24" i="2"/>
  <c r="AA24" i="2"/>
  <c r="AB23" i="2"/>
  <c r="AA23" i="2"/>
  <c r="AB22" i="2"/>
  <c r="AA22" i="2"/>
  <c r="AB21" i="2"/>
  <c r="AA21" i="2"/>
  <c r="AB20" i="2"/>
  <c r="AA20" i="2"/>
  <c r="AB19" i="2"/>
  <c r="AA19" i="2"/>
  <c r="AB18" i="2"/>
  <c r="AA18" i="2"/>
  <c r="AB17" i="2"/>
  <c r="AA17" i="2"/>
  <c r="AB16" i="2"/>
  <c r="AA16" i="2"/>
  <c r="AB15" i="2"/>
  <c r="AA15" i="2"/>
  <c r="AB14" i="2"/>
  <c r="AA14" i="2"/>
  <c r="AB13" i="2"/>
  <c r="AA13" i="2"/>
  <c r="AB12" i="2"/>
  <c r="AA12" i="2"/>
  <c r="AB11" i="2"/>
  <c r="AA11" i="2"/>
  <c r="AB10" i="2"/>
  <c r="AA10" i="2"/>
  <c r="AB9" i="2"/>
  <c r="AA9" i="2"/>
  <c r="AB8" i="2"/>
  <c r="AA8" i="2"/>
  <c r="AB7" i="2"/>
  <c r="AA7" i="2"/>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7" i="1"/>
  <c r="J7" i="1"/>
</calcChain>
</file>

<file path=xl/sharedStrings.xml><?xml version="1.0" encoding="utf-8"?>
<sst xmlns="http://schemas.openxmlformats.org/spreadsheetml/2006/main" count="1283" uniqueCount="263">
  <si>
    <t>Training and Competence Matrix</t>
  </si>
  <si>
    <t>SM/INT/PRO/010 — Training Requirements by Role Category</t>
  </si>
  <si>
    <t>M = Mandatory  |  R = Recommended  |  Blank = Not Applicable</t>
  </si>
  <si>
    <t>ID</t>
  </si>
  <si>
    <t>Course / Module</t>
  </si>
  <si>
    <t>SM/ Reference</t>
  </si>
  <si>
    <t>Delivery Method</t>
  </si>
  <si>
    <t>Frequency</t>
  </si>
  <si>
    <t>Category</t>
  </si>
  <si>
    <t>Management &amp; Compliance</t>
  </si>
  <si>
    <t>Operations (Staff)</t>
  </si>
  <si>
    <t>Support (Staff)</t>
  </si>
  <si>
    <t>Total M</t>
  </si>
  <si>
    <t>Total R</t>
  </si>
  <si>
    <t>C01a</t>
  </si>
  <si>
    <t>PCASP Management System Awareness</t>
  </si>
  <si>
    <t>SM/TRG/DOC/003</t>
  </si>
  <si>
    <t>Online Platform (PPT)</t>
  </si>
  <si>
    <t>Induction + annual</t>
  </si>
  <si>
    <t>Induction</t>
  </si>
  <si>
    <t>M</t>
  </si>
  <si>
    <t>R</t>
  </si>
  <si>
    <t>C01b</t>
  </si>
  <si>
    <t>New Staff MS Induction</t>
  </si>
  <si>
    <t>SM/TRG/DOC/004</t>
  </si>
  <si>
    <t>C01c</t>
  </si>
  <si>
    <t>Existing Staff MS Awareness</t>
  </si>
  <si>
    <t>SM/TRG/DOC/005</t>
  </si>
  <si>
    <t>On change</t>
  </si>
  <si>
    <t>Awareness</t>
  </si>
  <si>
    <t>C01d</t>
  </si>
  <si>
    <t>ISO 45001 Awareness</t>
  </si>
  <si>
    <t>SM/TRG/DOC/006</t>
  </si>
  <si>
    <t>C02</t>
  </si>
  <si>
    <t>OH&amp;S Policy Awareness</t>
  </si>
  <si>
    <t>SM/HSE/POL/001</t>
  </si>
  <si>
    <t>Online Platform</t>
  </si>
  <si>
    <t>Annual</t>
  </si>
  <si>
    <t>Policy</t>
  </si>
  <si>
    <t>C03</t>
  </si>
  <si>
    <t>Code of Conduct</t>
  </si>
  <si>
    <t>SM/INT/POL/002</t>
  </si>
  <si>
    <t>C04</t>
  </si>
  <si>
    <t>Security Management Policy</t>
  </si>
  <si>
    <t>SM/SEC/POL/001</t>
  </si>
  <si>
    <t>C05</t>
  </si>
  <si>
    <t>Training Policy Awareness</t>
  </si>
  <si>
    <t>SM/INT/POL/009</t>
  </si>
  <si>
    <t>C06</t>
  </si>
  <si>
    <t>Document Control Awareness</t>
  </si>
  <si>
    <t>SM/INT/PRO/002</t>
  </si>
  <si>
    <t>Induction + on change</t>
  </si>
  <si>
    <t>Operational</t>
  </si>
  <si>
    <t>C07</t>
  </si>
  <si>
    <t>Risk Management — H&amp;S Methodology</t>
  </si>
  <si>
    <t>SM/TRG/DOC/007</t>
  </si>
  <si>
    <t>C08</t>
  </si>
  <si>
    <t>Risk Management — Security &amp; Business</t>
  </si>
  <si>
    <t>SM/TRG/DOC/008</t>
  </si>
  <si>
    <t>C09</t>
  </si>
  <si>
    <t>Incident Reporting &amp; HSE App</t>
  </si>
  <si>
    <t>SM/TRG/DOC/009</t>
  </si>
  <si>
    <t>Online Platform + App</t>
  </si>
  <si>
    <t>C10</t>
  </si>
  <si>
    <t>Human Rights in Maritime Security</t>
  </si>
  <si>
    <t>SM/TRG/DOC/001</t>
  </si>
  <si>
    <t>PPT (Online Platform)</t>
  </si>
  <si>
    <t>Compliance</t>
  </si>
  <si>
    <t>C11</t>
  </si>
  <si>
    <t>Due Diligence &amp; Client Vetting</t>
  </si>
  <si>
    <t>SM/SEC/PRO/002</t>
  </si>
  <si>
    <t>Induction (Commercial)</t>
  </si>
  <si>
    <t>C12</t>
  </si>
  <si>
    <t>Office &amp; Workplace H&amp;S</t>
  </si>
  <si>
    <t>SM/CAM/BRAG/006</t>
  </si>
  <si>
    <t>BRAG + Online</t>
  </si>
  <si>
    <t>H&amp;S</t>
  </si>
  <si>
    <t>C13</t>
  </si>
  <si>
    <t>Remote Working H&amp;S</t>
  </si>
  <si>
    <t>SM/CAM/BRAG/007</t>
  </si>
  <si>
    <t>C14</t>
  </si>
  <si>
    <t>Heat Stress Awareness</t>
  </si>
  <si>
    <t>SM/CAM/BRAG/008</t>
  </si>
  <si>
    <t>Annual (field staff)</t>
  </si>
  <si>
    <t>C17</t>
  </si>
  <si>
    <t>Legal &amp; Regulatory Compliance</t>
  </si>
  <si>
    <t>SM/TRG/DOC/011</t>
  </si>
  <si>
    <t>Management</t>
  </si>
  <si>
    <t>C18</t>
  </si>
  <si>
    <t>Management Review Participation</t>
  </si>
  <si>
    <t>SM/TRG/DOC/012</t>
  </si>
  <si>
    <t>Briefing</t>
  </si>
  <si>
    <t>Before first MR</t>
  </si>
  <si>
    <t>C19</t>
  </si>
  <si>
    <t>NCR/OFI/CAPA Process</t>
  </si>
  <si>
    <t>SM/INT/PRO/001</t>
  </si>
  <si>
    <t>C20</t>
  </si>
  <si>
    <t>Whistleblowing &amp; Grievance</t>
  </si>
  <si>
    <t>SM/INT/POL/004</t>
  </si>
  <si>
    <t>Personnel Training Requirements</t>
  </si>
  <si>
    <t>Shore-Based Personnel — Required Courses per SM/INT/PRO/010</t>
  </si>
  <si>
    <t>M = Mandatory  |  R = Recommended  |  Blank = Not Applicable  |  Green = Mandatory course  |  Yellow = Recommended course</t>
  </si>
  <si>
    <t>#</t>
  </si>
  <si>
    <t>Name</t>
  </si>
  <si>
    <t>Title</t>
  </si>
  <si>
    <t>Department</t>
  </si>
  <si>
    <t>Country</t>
  </si>
  <si>
    <t>Role Category</t>
  </si>
  <si>
    <t>C01
Management System Orientation</t>
  </si>
  <si>
    <t>C02
OH&amp;S Policy Awareness</t>
  </si>
  <si>
    <t>C03
Code of Conduct</t>
  </si>
  <si>
    <t>C04
Security Management Policy</t>
  </si>
  <si>
    <t>C05
Training Policy Awareness</t>
  </si>
  <si>
    <t>C06
Document Control Awareness</t>
  </si>
  <si>
    <t>C07
Risk Management — H&amp;S Methodology</t>
  </si>
  <si>
    <t>C08
Risk Management — Security &amp; Business</t>
  </si>
  <si>
    <t>C09
Incident Reporting &amp; HSE App</t>
  </si>
  <si>
    <t>C10
Human Rights in Maritime Security</t>
  </si>
  <si>
    <t>C11
Due Diligence &amp; Client Vetting</t>
  </si>
  <si>
    <t>C12
Office &amp; Workplace H&amp;S</t>
  </si>
  <si>
    <t>C13
Remote Working H&amp;S</t>
  </si>
  <si>
    <t>C14
Heat Stress Awareness</t>
  </si>
  <si>
    <t>C15
Internal Audit Competence</t>
  </si>
  <si>
    <t>C16
ISO Standards Awareness</t>
  </si>
  <si>
    <t>C17
Legal &amp; Regulatory Compliance</t>
  </si>
  <si>
    <t>C18
Management Review Participation</t>
  </si>
  <si>
    <t>C19
NCR/OFI/CAPA Process</t>
  </si>
  <si>
    <t>C20
Whistleblowing &amp; Grievance</t>
  </si>
  <si>
    <t>Mandatory
Count</t>
  </si>
  <si>
    <t>Recommended
Count</t>
  </si>
  <si>
    <t>Angela Virasekara</t>
  </si>
  <si>
    <t>Commercial Executive</t>
  </si>
  <si>
    <t>Commercial</t>
  </si>
  <si>
    <t>Ukraine</t>
  </si>
  <si>
    <t>Support</t>
  </si>
  <si>
    <t>Deniz Ozer Liami</t>
  </si>
  <si>
    <t>Sales Manager</t>
  </si>
  <si>
    <t>Greece</t>
  </si>
  <si>
    <t>Dominic Gwillim</t>
  </si>
  <si>
    <t>Commercials</t>
  </si>
  <si>
    <t>UK</t>
  </si>
  <si>
    <t>Jenia Pyatnitski</t>
  </si>
  <si>
    <t>Associate Director Sales &amp; Commercial</t>
  </si>
  <si>
    <t>Israel</t>
  </si>
  <si>
    <t>Jhea Shah</t>
  </si>
  <si>
    <t>India</t>
  </si>
  <si>
    <t>Kyriakos Spiliopoulos</t>
  </si>
  <si>
    <t>Account Manager</t>
  </si>
  <si>
    <t>Manos Plaitis</t>
  </si>
  <si>
    <t>Maria Kyriakou</t>
  </si>
  <si>
    <t>Senior Account Manager</t>
  </si>
  <si>
    <t>Michaela Dimitriadi</t>
  </si>
  <si>
    <t>Commercial &amp; Operations Coordinator</t>
  </si>
  <si>
    <t>Randy Sudarshana</t>
  </si>
  <si>
    <t>Sales Manager - MENA</t>
  </si>
  <si>
    <t>UAE</t>
  </si>
  <si>
    <t>Shivank Mahajan</t>
  </si>
  <si>
    <t>Sophia Panagiotaki</t>
  </si>
  <si>
    <t>Uliana Wanzura</t>
  </si>
  <si>
    <t>Commercial Manager</t>
  </si>
  <si>
    <t>Yana Murga</t>
  </si>
  <si>
    <t>Yurii Dekhtiaruk</t>
  </si>
  <si>
    <t>Account Executive</t>
  </si>
  <si>
    <t>Jamie Seagull</t>
  </si>
  <si>
    <t>Darren Watts</t>
  </si>
  <si>
    <t>Group Compliance Director</t>
  </si>
  <si>
    <t>Eugene Lukshin</t>
  </si>
  <si>
    <t>Compliance Administrator</t>
  </si>
  <si>
    <t>Alona Yakson</t>
  </si>
  <si>
    <t>Head of Accounts</t>
  </si>
  <si>
    <t>Finance</t>
  </si>
  <si>
    <t>Liza Yakson</t>
  </si>
  <si>
    <t>Accounts</t>
  </si>
  <si>
    <t>Lyudmila Dzherdzh</t>
  </si>
  <si>
    <t>Revenue Analyst</t>
  </si>
  <si>
    <t>Maria Isenko</t>
  </si>
  <si>
    <t>Accountant</t>
  </si>
  <si>
    <t>Melwin Fernandes</t>
  </si>
  <si>
    <t>Accounts Manager</t>
  </si>
  <si>
    <t>Praveen Kumar</t>
  </si>
  <si>
    <t>Business and Revenue Analyst</t>
  </si>
  <si>
    <t>Sahila M. Sudheer</t>
  </si>
  <si>
    <t>Collection Agent</t>
  </si>
  <si>
    <t>Ivan Savkun</t>
  </si>
  <si>
    <t>Recruitment Manager</t>
  </si>
  <si>
    <t>HR &amp; Training</t>
  </si>
  <si>
    <t>Oleksii Yurasov</t>
  </si>
  <si>
    <t>Head of HR &amp; Training</t>
  </si>
  <si>
    <t>Oleh Pastukhov</t>
  </si>
  <si>
    <t>Training Manager</t>
  </si>
  <si>
    <t>Artem Dermenzhi</t>
  </si>
  <si>
    <t>Operation Coordinator - IO</t>
  </si>
  <si>
    <t>IO Operations</t>
  </si>
  <si>
    <t>Operations</t>
  </si>
  <si>
    <t>Dmytro Trebukh</t>
  </si>
  <si>
    <t>Senior Operations Manager - IO</t>
  </si>
  <si>
    <t>Irina Drach</t>
  </si>
  <si>
    <t>Julia Tsibenko</t>
  </si>
  <si>
    <t>Kateryna Didenko</t>
  </si>
  <si>
    <t>Khrystyna Drypa</t>
  </si>
  <si>
    <t>Operations Manager - IO</t>
  </si>
  <si>
    <t>Natali Bolgar</t>
  </si>
  <si>
    <t>Olawale Alo</t>
  </si>
  <si>
    <t>Country Ops Manager - Nigeria</t>
  </si>
  <si>
    <t>Nigeria</t>
  </si>
  <si>
    <t>Valeriia Babicheva</t>
  </si>
  <si>
    <t>Vladlena Grechko</t>
  </si>
  <si>
    <t>Vladyslav Kalinin</t>
  </si>
  <si>
    <t>Tejinder Bhatia</t>
  </si>
  <si>
    <t>IT Administrator</t>
  </si>
  <si>
    <t>IT</t>
  </si>
  <si>
    <t>Denis Ponomarchuk</t>
  </si>
  <si>
    <t>Intelligence Department</t>
  </si>
  <si>
    <t>Intelligence</t>
  </si>
  <si>
    <t>TOTALS — Mandatory per course</t>
  </si>
  <si>
    <t>Course Catalogue</t>
  </si>
  <si>
    <t>Training courses derived from SM/INT/PRO/010 — Training and Competence Management Procedure</t>
  </si>
  <si>
    <t>Notes</t>
  </si>
  <si>
    <t>KISS overview for PCASP — responsibilities, BRAGs, Safety App, audit readiness</t>
  </si>
  <si>
    <t>Full MS overview for new joiners — structure, standards, document hierarchy, key tools</t>
  </si>
  <si>
    <t>Refresh for existing staff — what has changed, new tools, updated responsibilities</t>
  </si>
  <si>
    <t>Dedicated 45001 course — PDCA, risk assessment, worker consultation, reporting obligations</t>
  </si>
  <si>
    <t>SM/HSE/POL/001 — annual awareness refresh for all staff</t>
  </si>
  <si>
    <t>Rebuilt S24 with tracked changes — VPSHR, legislation, sanctions content</t>
  </si>
  <si>
    <t>Security, VPSHR, and ICoCA policy content — more relevant for ops/management</t>
  </si>
  <si>
    <t>Understanding training obligations and platform usage</t>
  </si>
  <si>
    <t>Document register, naming conventions, version control, Google Drive structure</t>
  </si>
  <si>
    <t>RA-003 pattern (5×5 matrix), 8 H&amp;S RAs, BRAG methodology</t>
  </si>
  <si>
    <t>RA-004 pattern (PESTLE, 6 sub-categories), security/business risk approach</t>
  </si>
  <si>
    <t>Using report.seagullmaritimeltd.com — incident types, near-miss reporting, BRAG access</t>
  </si>
  <si>
    <t>THE COURSE WE JUST BUILT — 3-layer VPSHR/ICoCA/HR framework. PPT upload to Emergent.</t>
  </si>
  <si>
    <t>SM/SEC/PRO/002 + SM/SEC/DOC/001 — OCIMF checklist, client vetting process</t>
  </si>
  <si>
    <t>BRAG-006 — office hazards, ergonomics, fire safety, first aid</t>
  </si>
  <si>
    <t>BRAG-007 — remote working risks, DSE, lone working, mental health</t>
  </si>
  <si>
    <t>BRAG-008 — heat illness recognition, hydration, work-rest cycles. Field/UAE staff priority.</t>
  </si>
  <si>
    <t>C15</t>
  </si>
  <si>
    <t>Internal Audit Competence</t>
  </si>
  <si>
    <t>SM/TRG/DOC/010</t>
  </si>
  <si>
    <t>Before first audit</t>
  </si>
  <si>
    <t>Audit methodology, non-conformance grading, evidence collection, report writing</t>
  </si>
  <si>
    <t>Legal register (SM/HSE/REG/002), flag requirements (SM/SEC/REG/001), compliance obligations</t>
  </si>
  <si>
    <t>How MR works, inputs/outputs, role in continual improvement cycle</t>
  </si>
  <si>
    <t>NCR/OFI/CAPA process, register usage, evidence requirements, closure</t>
  </si>
  <si>
    <t>SM/INT/POL/004 — whistleblowing protections, grievance mechanism, ICoCA Art. 66-68</t>
  </si>
  <si>
    <t>Training and Competence Matrix — Instructions</t>
  </si>
  <si>
    <t>This workbook supports SM/INT/PRO/010 — Training and Competence Management Procedure.</t>
  </si>
  <si>
    <t>ROLE CATEGORIES</t>
  </si>
  <si>
    <t>All shore-based personnel are assigned to one of three role categories. This determines which training courses are mandatory, recommended, or not applicable.</t>
  </si>
  <si>
    <t>Management &amp; Compliance — Senior managers, department heads, compliance, and anyone who participates in management reviews, audits, or certification decisions. These roles carry the full training load because their decisions directly affect the management system and certification status.</t>
  </si>
  <si>
    <t>Operations (Staff) — Personnel who directly support operational delivery: operations coordinators, intelligence, and anyone whose daily work involves coordinating deployments, managing PCASP tasking, or liaising with vessels and field teams. Their work interfaces with security operations even though they are shore-based, so they need to understand the operational context including risk methodology, human rights obligations, and incident reporting.</t>
  </si>
  <si>
    <t>Support (Staff) — Commercial, finance, IT, and other roles that support the business but do not directly interface with security operations or deployment decisions. They still receive core training (policies, code of conduct, incident reporting, H&amp;S, whistleblowing) but operational and compliance-specific modules are recommended rather than mandatory.</t>
  </si>
  <si>
    <t>HOW TO USE THIS WORKBOOK</t>
  </si>
  <si>
    <t>Tab 1: Training Matrix — Shows all 20 training courses mapped against the 3 role categories. M = Mandatory, R = Recommended, Blank = Not Applicable.</t>
  </si>
  <si>
    <t>Tab 2: Personnel Requirements — Lists all active shore-based personnel with their assigned courses based on role category. Green cells = Mandatory. Yellow cells = Recommended. Summary columns show mandatory and recommended counts per person. The bottom row shows how many personnel require each course.</t>
  </si>
  <si>
    <t>Tab 3: Course Detail — Full course catalogue with SM/ references, delivery methods, frequency, and implementation notes.</t>
  </si>
  <si>
    <t>IMPORTANT NOTES</t>
  </si>
  <si>
    <t>Role category assignments should be reviewed and confirmed by department heads. If a person's role category is wrong, change the value in column F and update the course cells in their row accordingly.</t>
  </si>
  <si>
    <t>This matrix covers SHORE-BASED personnel only. PCASP and MSO training is managed separately via SM/INT/PRO/007 (Induction and Deployment) and SM/INT/PRO/009 (Firearms Competency).</t>
  </si>
  <si>
    <t>Course content is delivered via the Emergent online training platform (learn.seagullmaritimeltd.com). BRAGs are also distributed via the Seagull Safety Reporting App (report.seagullmaritimeltd.com).</t>
  </si>
  <si>
    <t>Document Reference: SM/INT/REG/008</t>
  </si>
  <si>
    <t>Owner: Group Compliance Director</t>
  </si>
  <si>
    <t>Generated: 3 April 2026</t>
  </si>
  <si>
    <t>Source: SM/INT/PRO/010 + Campaign Distribution List (Eugene Lukshin, 30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</si>
</sst>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20"/>
      <color rgb="FF003C72"/>
      <name val="Avenir Next LT Pro"/>
      <charset val="1"/>
    </font>
    <font>
      <b/>
      <sz val="12"/>
      <color rgb="FF003C72"/>
      <name val="Avenir Next LT Pro"/>
      <charset val="1"/>
    </font>
    <font>
      <i/>
      <sz val="8"/>
      <color rgb="FF5A6A7A"/>
      <name val="Aptos"/>
      <charset val="1"/>
    </font>
    <font>
      <b/>
      <sz val="9"/>
      <color rgb="FFFFFFFF"/>
      <name val="Aptos"/>
      <charset val="1"/>
    </font>
    <font>
      <sz val="9"/>
      <name val="Aptos"/>
      <charset val="1"/>
    </font>
    <font>
      <b/>
      <sz val="9"/>
      <color rgb="FF2E7D32"/>
      <name val="Aptos"/>
      <charset val="1"/>
    </font>
    <font>
      <b/>
      <sz val="9"/>
      <name val="Aptos"/>
      <charset val="1"/>
    </font>
    <font>
      <b/>
      <sz val="9"/>
      <color rgb="FFF57F17"/>
      <name val="Aptos"/>
      <charset val="1"/>
    </font>
    <font>
      <b/>
      <sz val="7"/>
      <color rgb="FFFFFFFF"/>
      <name val="Aptos"/>
      <charset val="1"/>
    </font>
    <font>
      <b/>
      <sz val="8"/>
      <color rgb="FF2E7D32"/>
      <name val="Aptos"/>
      <charset val="1"/>
    </font>
    <font>
      <b/>
      <sz val="8"/>
      <color rgb="FFF57F17"/>
      <name val="Aptos"/>
      <charset val="1"/>
    </font>
    <font>
      <b/>
      <sz val="8"/>
      <name val="Aptos"/>
      <charset val="1"/>
    </font>
    <font>
      <b/>
      <sz val="8"/>
      <color rgb="FFFFFFFF"/>
      <name val="Aptos"/>
      <charset val="1"/>
    </font>
  </fonts>
  <fills count="9">
    <fill>
      <patternFill patternType="none"/>
    </fill>
    <fill>
      <patternFill patternType="gray125"/>
    </fill>
    <fill>
      <patternFill patternType="solid">
        <fgColor rgb="FF003C72"/>
        <bgColor rgb="FF333399"/>
      </patternFill>
    </fill>
    <fill>
      <patternFill patternType="solid">
        <fgColor rgb="FFE6EDF5"/>
        <bgColor rgb="FFE8EAF6"/>
      </patternFill>
    </fill>
    <fill>
      <patternFill patternType="solid">
        <fgColor rgb="FFDCEDC8"/>
        <bgColor rgb="FFE0F2F1"/>
      </patternFill>
    </fill>
    <fill>
      <patternFill patternType="solid">
        <fgColor rgb="FFFFFFFF"/>
        <bgColor rgb="FFE6EDF5"/>
      </patternFill>
    </fill>
    <fill>
      <patternFill patternType="solid">
        <fgColor rgb="FFFFF9C4"/>
        <bgColor rgb="FFFFFF99"/>
      </patternFill>
    </fill>
    <fill>
      <patternFill patternType="solid">
        <fgColor rgb="FFE8EAF6"/>
        <bgColor rgb="FFE6EDF5"/>
      </patternFill>
    </fill>
    <fill>
      <patternFill patternType="solid">
        <fgColor rgb="FFE0F2F1"/>
        <bgColor rgb="FFE6EDF5"/>
      </patternFill>
    </fill>
  </fills>
  <borders count="2">
    <border>
      <left/>
      <right/>
      <top/>
      <bottom/>
      <diagonal/>
    </border>
    <border>
      <left style="thin">
        <color rgb="FF003C72"/>
      </left>
      <right style="thin">
        <color rgb="FF003C72"/>
      </right>
      <top style="thin">
        <color rgb="FF003C72"/>
      </top>
      <bottom style="thin">
        <color rgb="FF003C72"/>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2" borderId="1" xfId="0" applyFont="1" applyFill="1" applyBorder="1" applyAlignment="1">
      <alignment horizontal="center" wrapText="1"/>
    </xf>
    <xf numFmtId="0" fontId="7" fillId="3"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0" borderId="0" xfId="0" applyFont="1"/>
    <xf numFmtId="0" fontId="13" fillId="2" borderId="1" xfId="0" applyFont="1" applyFill="1" applyBorder="1" applyAlignment="1">
      <alignment horizontal="center" vertical="center" wrapText="1"/>
    </xf>
    <xf numFmtId="0" fontId="5" fillId="0" borderId="0" xfId="0" applyFont="1"/>
    <xf numFmtId="0" fontId="2" fillId="0" borderId="0" xfId="0" applyFont="1"/>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E0F2F1"/>
      <rgbColor rgb="FF660066"/>
      <rgbColor rgb="FFFF8080"/>
      <rgbColor rgb="FF0066CC"/>
      <rgbColor rgb="FFE8EAF6"/>
      <rgbColor rgb="FF000080"/>
      <rgbColor rgb="FFFF00FF"/>
      <rgbColor rgb="FFFFFF00"/>
      <rgbColor rgb="FF00FFFF"/>
      <rgbColor rgb="FF800080"/>
      <rgbColor rgb="FF800000"/>
      <rgbColor rgb="FF008080"/>
      <rgbColor rgb="FF0000FF"/>
      <rgbColor rgb="FF00CCFF"/>
      <rgbColor rgb="FFE6EDF5"/>
      <rgbColor rgb="FFDCEDC8"/>
      <rgbColor rgb="FFFFFF99"/>
      <rgbColor rgb="FF99CCFF"/>
      <rgbColor rgb="FFFF99CC"/>
      <rgbColor rgb="FFCC99FF"/>
      <rgbColor rgb="FFFFCC99"/>
      <rgbColor rgb="FF3366FF"/>
      <rgbColor rgb="FF33CCCC"/>
      <rgbColor rgb="FF99CC00"/>
      <rgbColor rgb="FFFFCC00"/>
      <rgbColor rgb="FFFF9900"/>
      <rgbColor rgb="FFF57F17"/>
      <rgbColor rgb="FF5A6A7A"/>
      <rgbColor rgb="FF969696"/>
      <rgbColor rgb="FF003C72"/>
      <rgbColor rgb="FF2E7D32"/>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showGridLines="0" tabSelected="1" zoomScaleNormal="100" workbookViewId="0">
      <selection activeCell="C43" sqref="C43"/>
    </sheetView>
  </sheetViews>
  <sheetFormatPr defaultColWidth="8.7109375" defaultRowHeight="15" x14ac:dyDescent="0.25"/>
  <cols>
    <col min="1" max="1" width="5" customWidth="1"/>
    <col min="2" max="2" width="35" customWidth="1"/>
    <col min="3" max="3" width="22" customWidth="1"/>
    <col min="4" max="4" width="20" customWidth="1"/>
    <col min="5" max="5" width="22" customWidth="1"/>
    <col min="6" max="6" width="14" customWidth="1"/>
    <col min="7" max="8" width="18" customWidth="1"/>
    <col min="9" max="9" width="14" customWidth="1"/>
    <col min="10" max="11" width="8" customWidth="1"/>
  </cols>
  <sheetData>
    <row r="1" spans="1:12" ht="30" customHeight="1" x14ac:dyDescent="0.4">
      <c r="A1" s="26" t="s">
        <v>0</v>
      </c>
      <c r="B1" s="25"/>
      <c r="C1" s="25"/>
      <c r="D1" s="25"/>
      <c r="E1" s="25"/>
      <c r="F1" s="25"/>
      <c r="G1" s="25"/>
      <c r="H1" s="25"/>
      <c r="I1" s="25"/>
      <c r="J1" s="25"/>
      <c r="K1" s="25"/>
      <c r="L1" s="25"/>
    </row>
    <row r="2" spans="1:12" ht="4.5" customHeight="1" x14ac:dyDescent="0.25"/>
    <row r="3" spans="1:12" ht="19.5" customHeight="1" x14ac:dyDescent="0.25">
      <c r="A3" s="24" t="s">
        <v>1</v>
      </c>
      <c r="B3" s="25"/>
      <c r="C3" s="25"/>
      <c r="D3" s="25"/>
      <c r="E3" s="25"/>
      <c r="F3" s="25"/>
      <c r="G3" s="25"/>
      <c r="H3" s="25"/>
      <c r="I3" s="25"/>
      <c r="J3" s="25"/>
      <c r="K3" s="25"/>
      <c r="L3" s="25"/>
    </row>
    <row r="4" spans="1:12" ht="18" customHeight="1" x14ac:dyDescent="0.25">
      <c r="A4" s="27" t="s">
        <v>2</v>
      </c>
      <c r="B4" s="25"/>
      <c r="C4" s="25"/>
      <c r="D4" s="25"/>
      <c r="E4" s="25"/>
      <c r="F4" s="25"/>
      <c r="G4" s="25"/>
      <c r="H4" s="25"/>
      <c r="I4" s="25"/>
      <c r="J4" s="25"/>
      <c r="K4" s="25"/>
      <c r="L4" s="25"/>
    </row>
    <row r="6" spans="1:12" ht="21.75" customHeight="1" x14ac:dyDescent="0.25">
      <c r="A6" s="3" t="s">
        <v>3</v>
      </c>
      <c r="B6" s="3" t="s">
        <v>4</v>
      </c>
      <c r="C6" s="3" t="s">
        <v>5</v>
      </c>
      <c r="D6" s="3" t="s">
        <v>6</v>
      </c>
      <c r="E6" s="3" t="s">
        <v>7</v>
      </c>
      <c r="F6" s="3" t="s">
        <v>8</v>
      </c>
      <c r="G6" s="3" t="s">
        <v>9</v>
      </c>
      <c r="H6" s="3" t="s">
        <v>10</v>
      </c>
      <c r="I6" s="3" t="s">
        <v>11</v>
      </c>
      <c r="J6" s="3" t="s">
        <v>12</v>
      </c>
      <c r="K6" s="3" t="s">
        <v>13</v>
      </c>
    </row>
    <row r="7" spans="1:12" ht="15" customHeight="1" x14ac:dyDescent="0.25">
      <c r="A7" s="4" t="s">
        <v>14</v>
      </c>
      <c r="B7" s="4" t="s">
        <v>15</v>
      </c>
      <c r="C7" s="4" t="s">
        <v>16</v>
      </c>
      <c r="D7" s="4" t="s">
        <v>17</v>
      </c>
      <c r="E7" s="4" t="s">
        <v>18</v>
      </c>
      <c r="F7" s="4" t="s">
        <v>19</v>
      </c>
      <c r="G7" s="5" t="s">
        <v>20</v>
      </c>
      <c r="H7" s="5" t="s">
        <v>21</v>
      </c>
      <c r="I7" s="5" t="s">
        <v>20</v>
      </c>
      <c r="J7" s="6">
        <f>COUNTIF(G7:I7,"M")</f>
        <v>2</v>
      </c>
      <c r="K7" s="7">
        <f>COUNTIF(G7:I7,"R")</f>
        <v>1</v>
      </c>
    </row>
    <row r="8" spans="1:12" ht="15" customHeight="1" x14ac:dyDescent="0.25">
      <c r="A8" s="4" t="s">
        <v>22</v>
      </c>
      <c r="B8" s="4" t="s">
        <v>23</v>
      </c>
      <c r="C8" s="4" t="s">
        <v>24</v>
      </c>
      <c r="D8" s="4" t="s">
        <v>17</v>
      </c>
      <c r="E8" s="4" t="s">
        <v>19</v>
      </c>
      <c r="F8" s="4" t="s">
        <v>19</v>
      </c>
      <c r="G8" s="5" t="s">
        <v>20</v>
      </c>
      <c r="H8" s="5" t="s">
        <v>20</v>
      </c>
      <c r="I8" s="5" t="s">
        <v>21</v>
      </c>
      <c r="J8" s="6"/>
      <c r="K8" s="7"/>
    </row>
    <row r="9" spans="1:12" ht="15" customHeight="1" x14ac:dyDescent="0.25">
      <c r="A9" s="4" t="s">
        <v>25</v>
      </c>
      <c r="B9" s="4" t="s">
        <v>26</v>
      </c>
      <c r="C9" s="4" t="s">
        <v>27</v>
      </c>
      <c r="D9" s="4" t="s">
        <v>17</v>
      </c>
      <c r="E9" s="4" t="s">
        <v>28</v>
      </c>
      <c r="F9" s="4" t="s">
        <v>29</v>
      </c>
      <c r="G9" s="5" t="s">
        <v>20</v>
      </c>
      <c r="H9" s="5" t="s">
        <v>20</v>
      </c>
      <c r="I9" s="5" t="s">
        <v>21</v>
      </c>
      <c r="J9" s="6"/>
      <c r="K9" s="7"/>
    </row>
    <row r="10" spans="1:12" ht="15" customHeight="1" x14ac:dyDescent="0.25">
      <c r="A10" s="4" t="s">
        <v>30</v>
      </c>
      <c r="B10" s="4" t="s">
        <v>31</v>
      </c>
      <c r="C10" s="4" t="s">
        <v>32</v>
      </c>
      <c r="D10" s="4" t="s">
        <v>17</v>
      </c>
      <c r="E10" s="4" t="s">
        <v>18</v>
      </c>
      <c r="F10" s="4" t="s">
        <v>29</v>
      </c>
      <c r="G10" s="5" t="s">
        <v>20</v>
      </c>
      <c r="H10" s="5" t="s">
        <v>20</v>
      </c>
      <c r="I10" s="5" t="s">
        <v>20</v>
      </c>
      <c r="J10" s="6"/>
      <c r="K10" s="7"/>
    </row>
    <row r="11" spans="1:12" ht="15" customHeight="1" x14ac:dyDescent="0.25">
      <c r="A11" s="8" t="s">
        <v>33</v>
      </c>
      <c r="B11" s="8" t="s">
        <v>34</v>
      </c>
      <c r="C11" s="8" t="s">
        <v>35</v>
      </c>
      <c r="D11" s="8" t="s">
        <v>36</v>
      </c>
      <c r="E11" s="8" t="s">
        <v>37</v>
      </c>
      <c r="F11" s="8" t="s">
        <v>38</v>
      </c>
      <c r="G11" s="5" t="s">
        <v>20</v>
      </c>
      <c r="H11" s="5" t="s">
        <v>20</v>
      </c>
      <c r="I11" s="5" t="s">
        <v>20</v>
      </c>
      <c r="J11" s="9">
        <f t="shared" ref="J11:J23" si="0">COUNTIF(G8:I8,"M")</f>
        <v>2</v>
      </c>
      <c r="K11" s="10">
        <f t="shared" ref="K11:K23" si="1">COUNTIF(G8:I8,"R")</f>
        <v>1</v>
      </c>
    </row>
    <row r="12" spans="1:12" ht="15" customHeight="1" x14ac:dyDescent="0.25">
      <c r="A12" s="4" t="s">
        <v>39</v>
      </c>
      <c r="B12" s="4" t="s">
        <v>40</v>
      </c>
      <c r="C12" s="4" t="s">
        <v>41</v>
      </c>
      <c r="D12" s="4" t="s">
        <v>36</v>
      </c>
      <c r="E12" s="4" t="s">
        <v>37</v>
      </c>
      <c r="F12" s="4" t="s">
        <v>38</v>
      </c>
      <c r="G12" s="5" t="s">
        <v>20</v>
      </c>
      <c r="H12" s="5" t="s">
        <v>20</v>
      </c>
      <c r="I12" s="5" t="s">
        <v>20</v>
      </c>
      <c r="J12" s="6">
        <f t="shared" si="0"/>
        <v>2</v>
      </c>
      <c r="K12" s="7">
        <f t="shared" si="1"/>
        <v>1</v>
      </c>
    </row>
    <row r="13" spans="1:12" ht="15" customHeight="1" x14ac:dyDescent="0.25">
      <c r="A13" s="8" t="s">
        <v>42</v>
      </c>
      <c r="B13" s="8" t="s">
        <v>43</v>
      </c>
      <c r="C13" s="8" t="s">
        <v>44</v>
      </c>
      <c r="D13" s="8" t="s">
        <v>36</v>
      </c>
      <c r="E13" s="8" t="s">
        <v>37</v>
      </c>
      <c r="F13" s="8" t="s">
        <v>38</v>
      </c>
      <c r="G13" s="5" t="s">
        <v>20</v>
      </c>
      <c r="H13" s="5" t="s">
        <v>20</v>
      </c>
      <c r="I13" s="11" t="s">
        <v>21</v>
      </c>
      <c r="J13" s="9">
        <f t="shared" si="0"/>
        <v>3</v>
      </c>
      <c r="K13" s="10">
        <f t="shared" si="1"/>
        <v>0</v>
      </c>
    </row>
    <row r="14" spans="1:12" ht="15" customHeight="1" x14ac:dyDescent="0.25">
      <c r="A14" s="4" t="s">
        <v>45</v>
      </c>
      <c r="B14" s="4" t="s">
        <v>46</v>
      </c>
      <c r="C14" s="4" t="s">
        <v>47</v>
      </c>
      <c r="D14" s="4" t="s">
        <v>36</v>
      </c>
      <c r="E14" s="4" t="s">
        <v>37</v>
      </c>
      <c r="F14" s="4" t="s">
        <v>38</v>
      </c>
      <c r="G14" s="5" t="s">
        <v>20</v>
      </c>
      <c r="H14" s="11" t="s">
        <v>21</v>
      </c>
      <c r="I14" s="11" t="s">
        <v>21</v>
      </c>
      <c r="J14" s="6">
        <f t="shared" si="0"/>
        <v>3</v>
      </c>
      <c r="K14" s="7">
        <f t="shared" si="1"/>
        <v>0</v>
      </c>
    </row>
    <row r="15" spans="1:12" ht="15" customHeight="1" x14ac:dyDescent="0.25">
      <c r="A15" s="8" t="s">
        <v>48</v>
      </c>
      <c r="B15" s="8" t="s">
        <v>49</v>
      </c>
      <c r="C15" s="8" t="s">
        <v>50</v>
      </c>
      <c r="D15" s="8" t="s">
        <v>36</v>
      </c>
      <c r="E15" s="8" t="s">
        <v>51</v>
      </c>
      <c r="F15" s="8" t="s">
        <v>52</v>
      </c>
      <c r="G15" s="5" t="s">
        <v>20</v>
      </c>
      <c r="H15" s="5" t="s">
        <v>20</v>
      </c>
      <c r="I15" s="11" t="s">
        <v>21</v>
      </c>
      <c r="J15" s="9">
        <f t="shared" si="0"/>
        <v>3</v>
      </c>
      <c r="K15" s="10">
        <f t="shared" si="1"/>
        <v>0</v>
      </c>
    </row>
    <row r="16" spans="1:12" ht="15" customHeight="1" x14ac:dyDescent="0.25">
      <c r="A16" s="4" t="s">
        <v>53</v>
      </c>
      <c r="B16" s="4" t="s">
        <v>54</v>
      </c>
      <c r="C16" s="4" t="s">
        <v>55</v>
      </c>
      <c r="D16" s="4" t="s">
        <v>36</v>
      </c>
      <c r="E16" s="4" t="s">
        <v>18</v>
      </c>
      <c r="F16" s="4" t="s">
        <v>52</v>
      </c>
      <c r="G16" s="5" t="s">
        <v>20</v>
      </c>
      <c r="H16" s="5" t="s">
        <v>20</v>
      </c>
      <c r="I16" s="11" t="s">
        <v>21</v>
      </c>
      <c r="J16" s="6">
        <f t="shared" si="0"/>
        <v>2</v>
      </c>
      <c r="K16" s="7">
        <f t="shared" si="1"/>
        <v>1</v>
      </c>
    </row>
    <row r="17" spans="1:11" ht="15" customHeight="1" x14ac:dyDescent="0.25">
      <c r="A17" s="8" t="s">
        <v>56</v>
      </c>
      <c r="B17" s="8" t="s">
        <v>57</v>
      </c>
      <c r="C17" s="8" t="s">
        <v>58</v>
      </c>
      <c r="D17" s="8" t="s">
        <v>36</v>
      </c>
      <c r="E17" s="8" t="s">
        <v>18</v>
      </c>
      <c r="F17" s="8" t="s">
        <v>52</v>
      </c>
      <c r="G17" s="5" t="s">
        <v>20</v>
      </c>
      <c r="H17" s="5" t="s">
        <v>20</v>
      </c>
      <c r="I17" s="11" t="s">
        <v>21</v>
      </c>
      <c r="J17" s="9">
        <f t="shared" si="0"/>
        <v>1</v>
      </c>
      <c r="K17" s="10">
        <f t="shared" si="1"/>
        <v>2</v>
      </c>
    </row>
    <row r="18" spans="1:11" ht="15" customHeight="1" x14ac:dyDescent="0.25">
      <c r="A18" s="4" t="s">
        <v>59</v>
      </c>
      <c r="B18" s="4" t="s">
        <v>60</v>
      </c>
      <c r="C18" s="4" t="s">
        <v>61</v>
      </c>
      <c r="D18" s="4" t="s">
        <v>62</v>
      </c>
      <c r="E18" s="4" t="s">
        <v>18</v>
      </c>
      <c r="F18" s="4" t="s">
        <v>52</v>
      </c>
      <c r="G18" s="5" t="s">
        <v>20</v>
      </c>
      <c r="H18" s="5" t="s">
        <v>20</v>
      </c>
      <c r="I18" s="5" t="s">
        <v>20</v>
      </c>
      <c r="J18" s="6">
        <f t="shared" si="0"/>
        <v>2</v>
      </c>
      <c r="K18" s="7">
        <f t="shared" si="1"/>
        <v>1</v>
      </c>
    </row>
    <row r="19" spans="1:11" ht="15" customHeight="1" x14ac:dyDescent="0.25">
      <c r="A19" s="8" t="s">
        <v>63</v>
      </c>
      <c r="B19" s="8" t="s">
        <v>64</v>
      </c>
      <c r="C19" s="8" t="s">
        <v>65</v>
      </c>
      <c r="D19" s="8" t="s">
        <v>66</v>
      </c>
      <c r="E19" s="8" t="s">
        <v>37</v>
      </c>
      <c r="F19" s="8" t="s">
        <v>67</v>
      </c>
      <c r="G19" s="5" t="s">
        <v>20</v>
      </c>
      <c r="H19" s="5" t="s">
        <v>20</v>
      </c>
      <c r="I19" s="11" t="s">
        <v>21</v>
      </c>
      <c r="J19" s="9">
        <f t="shared" si="0"/>
        <v>2</v>
      </c>
      <c r="K19" s="10">
        <f t="shared" si="1"/>
        <v>1</v>
      </c>
    </row>
    <row r="20" spans="1:11" ht="15" customHeight="1" x14ac:dyDescent="0.25">
      <c r="A20" s="4" t="s">
        <v>68</v>
      </c>
      <c r="B20" s="4" t="s">
        <v>69</v>
      </c>
      <c r="C20" s="4" t="s">
        <v>70</v>
      </c>
      <c r="D20" s="4" t="s">
        <v>36</v>
      </c>
      <c r="E20" s="4" t="s">
        <v>71</v>
      </c>
      <c r="F20" s="4" t="s">
        <v>52</v>
      </c>
      <c r="G20" s="5" t="s">
        <v>20</v>
      </c>
      <c r="H20" s="11" t="s">
        <v>21</v>
      </c>
      <c r="I20" s="5" t="s">
        <v>20</v>
      </c>
      <c r="J20" s="6">
        <f t="shared" si="0"/>
        <v>2</v>
      </c>
      <c r="K20" s="7">
        <f t="shared" si="1"/>
        <v>1</v>
      </c>
    </row>
    <row r="21" spans="1:11" ht="15" customHeight="1" x14ac:dyDescent="0.25">
      <c r="A21" s="8" t="s">
        <v>72</v>
      </c>
      <c r="B21" s="8" t="s">
        <v>73</v>
      </c>
      <c r="C21" s="8" t="s">
        <v>74</v>
      </c>
      <c r="D21" s="8" t="s">
        <v>75</v>
      </c>
      <c r="E21" s="8" t="s">
        <v>37</v>
      </c>
      <c r="F21" s="8" t="s">
        <v>76</v>
      </c>
      <c r="G21" s="5" t="s">
        <v>20</v>
      </c>
      <c r="H21" s="5" t="s">
        <v>20</v>
      </c>
      <c r="I21" s="5" t="s">
        <v>20</v>
      </c>
      <c r="J21" s="9">
        <f t="shared" si="0"/>
        <v>3</v>
      </c>
      <c r="K21" s="10">
        <f t="shared" si="1"/>
        <v>0</v>
      </c>
    </row>
    <row r="22" spans="1:11" ht="15" customHeight="1" x14ac:dyDescent="0.25">
      <c r="A22" s="4" t="s">
        <v>77</v>
      </c>
      <c r="B22" s="4" t="s">
        <v>78</v>
      </c>
      <c r="C22" s="4" t="s">
        <v>79</v>
      </c>
      <c r="D22" s="4" t="s">
        <v>75</v>
      </c>
      <c r="E22" s="4" t="s">
        <v>37</v>
      </c>
      <c r="F22" s="4" t="s">
        <v>76</v>
      </c>
      <c r="G22" s="5" t="s">
        <v>20</v>
      </c>
      <c r="H22" s="5" t="s">
        <v>20</v>
      </c>
      <c r="I22" s="5" t="s">
        <v>20</v>
      </c>
      <c r="J22" s="6">
        <f t="shared" si="0"/>
        <v>2</v>
      </c>
      <c r="K22" s="7">
        <f t="shared" si="1"/>
        <v>1</v>
      </c>
    </row>
    <row r="23" spans="1:11" ht="15" customHeight="1" x14ac:dyDescent="0.25">
      <c r="A23" s="8" t="s">
        <v>80</v>
      </c>
      <c r="B23" s="8" t="s">
        <v>81</v>
      </c>
      <c r="C23" s="8" t="s">
        <v>82</v>
      </c>
      <c r="D23" s="8" t="s">
        <v>75</v>
      </c>
      <c r="E23" s="8" t="s">
        <v>83</v>
      </c>
      <c r="F23" s="8" t="s">
        <v>76</v>
      </c>
      <c r="G23" s="11" t="s">
        <v>21</v>
      </c>
      <c r="H23" s="5" t="s">
        <v>20</v>
      </c>
      <c r="I23" s="9"/>
      <c r="J23" s="9">
        <f t="shared" si="0"/>
        <v>2</v>
      </c>
      <c r="K23" s="10">
        <f t="shared" si="1"/>
        <v>1</v>
      </c>
    </row>
    <row r="24" spans="1:11" ht="15" customHeight="1" x14ac:dyDescent="0.25">
      <c r="A24" s="4" t="s">
        <v>84</v>
      </c>
      <c r="B24" s="4" t="s">
        <v>85</v>
      </c>
      <c r="C24" s="4" t="s">
        <v>86</v>
      </c>
      <c r="D24" s="4" t="s">
        <v>36</v>
      </c>
      <c r="E24" s="4" t="s">
        <v>37</v>
      </c>
      <c r="F24" s="4" t="s">
        <v>87</v>
      </c>
      <c r="G24" s="5" t="s">
        <v>20</v>
      </c>
      <c r="H24" s="11" t="s">
        <v>21</v>
      </c>
      <c r="I24" s="6"/>
      <c r="J24" s="6">
        <f>COUNTIF(G23:I23,"M")</f>
        <v>1</v>
      </c>
      <c r="K24" s="7">
        <f>COUNTIF(G23:I23,"R")</f>
        <v>1</v>
      </c>
    </row>
    <row r="25" spans="1:11" ht="15" customHeight="1" x14ac:dyDescent="0.25">
      <c r="A25" s="8" t="s">
        <v>88</v>
      </c>
      <c r="B25" s="8" t="s">
        <v>89</v>
      </c>
      <c r="C25" s="8" t="s">
        <v>90</v>
      </c>
      <c r="D25" s="8" t="s">
        <v>91</v>
      </c>
      <c r="E25" s="8" t="s">
        <v>92</v>
      </c>
      <c r="F25" s="8" t="s">
        <v>87</v>
      </c>
      <c r="G25" s="5" t="s">
        <v>20</v>
      </c>
      <c r="H25" s="9"/>
      <c r="I25" s="9"/>
      <c r="J25" s="9">
        <f>COUNTIF(G24:I24,"M")</f>
        <v>1</v>
      </c>
      <c r="K25" s="10">
        <f>COUNTIF(G24:I24,"R")</f>
        <v>1</v>
      </c>
    </row>
    <row r="26" spans="1:11" ht="15" customHeight="1" x14ac:dyDescent="0.25">
      <c r="A26" s="4" t="s">
        <v>93</v>
      </c>
      <c r="B26" s="4" t="s">
        <v>94</v>
      </c>
      <c r="C26" s="4" t="s">
        <v>95</v>
      </c>
      <c r="D26" s="4" t="s">
        <v>36</v>
      </c>
      <c r="E26" s="4" t="s">
        <v>19</v>
      </c>
      <c r="F26" s="4" t="s">
        <v>87</v>
      </c>
      <c r="G26" s="5" t="s">
        <v>20</v>
      </c>
      <c r="H26" s="11" t="s">
        <v>21</v>
      </c>
      <c r="I26" s="6"/>
      <c r="J26" s="6">
        <f>COUNTIF(G25:I25,"M")</f>
        <v>1</v>
      </c>
      <c r="K26" s="7">
        <f>COUNTIF(G25:I25,"R")</f>
        <v>0</v>
      </c>
    </row>
    <row r="27" spans="1:11" x14ac:dyDescent="0.25">
      <c r="A27" s="8" t="s">
        <v>96</v>
      </c>
      <c r="B27" s="8" t="s">
        <v>97</v>
      </c>
      <c r="C27" s="8" t="s">
        <v>98</v>
      </c>
      <c r="D27" s="8" t="s">
        <v>36</v>
      </c>
      <c r="E27" s="8" t="s">
        <v>37</v>
      </c>
      <c r="F27" s="8" t="s">
        <v>38</v>
      </c>
      <c r="G27" s="5" t="s">
        <v>20</v>
      </c>
      <c r="H27" s="5" t="s">
        <v>20</v>
      </c>
      <c r="I27" s="5" t="s">
        <v>20</v>
      </c>
      <c r="J27" s="9">
        <f>COUNTIF(G26:I26,"M")</f>
        <v>1</v>
      </c>
      <c r="K27" s="10">
        <f>COUNTIF(G26:I26,"R")</f>
        <v>1</v>
      </c>
    </row>
  </sheetData>
  <mergeCells count="3">
    <mergeCell ref="A3:L3"/>
    <mergeCell ref="A1:L1"/>
    <mergeCell ref="A4:L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9"/>
  <sheetViews>
    <sheetView showGridLines="0" zoomScaleNormal="100" workbookViewId="0">
      <selection sqref="A1:Z1"/>
    </sheetView>
  </sheetViews>
  <sheetFormatPr defaultColWidth="8.7109375" defaultRowHeight="15" x14ac:dyDescent="0.25"/>
  <cols>
    <col min="1" max="1" width="4" customWidth="1"/>
    <col min="2" max="2" width="25" customWidth="1"/>
    <col min="3" max="3" width="28" customWidth="1"/>
    <col min="4" max="4" width="16" customWidth="1"/>
    <col min="5" max="5" width="10" customWidth="1"/>
    <col min="6" max="6" width="16" customWidth="1"/>
    <col min="7" max="26" width="6" customWidth="1"/>
    <col min="27" max="27" width="10" customWidth="1"/>
    <col min="28" max="28" width="12" customWidth="1"/>
  </cols>
  <sheetData>
    <row r="1" spans="1:28" ht="30" customHeight="1" x14ac:dyDescent="0.4">
      <c r="A1" s="26" t="s">
        <v>99</v>
      </c>
      <c r="B1" s="25"/>
      <c r="C1" s="25"/>
      <c r="D1" s="25"/>
      <c r="E1" s="25"/>
      <c r="F1" s="25"/>
      <c r="G1" s="25"/>
      <c r="H1" s="25"/>
      <c r="I1" s="25"/>
      <c r="J1" s="25"/>
      <c r="K1" s="25"/>
      <c r="L1" s="25"/>
      <c r="M1" s="25"/>
      <c r="N1" s="25"/>
      <c r="O1" s="25"/>
      <c r="P1" s="25"/>
      <c r="Q1" s="25"/>
      <c r="R1" s="25"/>
      <c r="S1" s="25"/>
      <c r="T1" s="25"/>
      <c r="U1" s="25"/>
      <c r="V1" s="25"/>
      <c r="W1" s="25"/>
      <c r="X1" s="25"/>
      <c r="Y1" s="25"/>
      <c r="Z1" s="25"/>
    </row>
    <row r="2" spans="1:28" ht="4.5" customHeight="1" x14ac:dyDescent="0.25"/>
    <row r="3" spans="1:28" ht="15" customHeight="1" x14ac:dyDescent="0.25">
      <c r="A3" s="24" t="s">
        <v>100</v>
      </c>
      <c r="B3" s="25"/>
      <c r="C3" s="25"/>
      <c r="D3" s="25"/>
      <c r="E3" s="25"/>
      <c r="F3" s="25"/>
      <c r="G3" s="25"/>
      <c r="H3" s="25"/>
      <c r="I3" s="25"/>
      <c r="J3" s="25"/>
      <c r="K3" s="25"/>
      <c r="L3" s="25"/>
      <c r="M3" s="25"/>
      <c r="N3" s="25"/>
      <c r="O3" s="25"/>
      <c r="P3" s="25"/>
      <c r="Q3" s="25"/>
      <c r="R3" s="25"/>
      <c r="S3" s="25"/>
      <c r="T3" s="25"/>
      <c r="U3" s="25"/>
      <c r="V3" s="25"/>
      <c r="W3" s="25"/>
      <c r="X3" s="25"/>
      <c r="Y3" s="25"/>
      <c r="Z3" s="25"/>
    </row>
    <row r="4" spans="1:28" ht="15" customHeight="1" x14ac:dyDescent="0.25">
      <c r="A4" s="27" t="s">
        <v>101</v>
      </c>
      <c r="B4" s="25"/>
      <c r="C4" s="25"/>
      <c r="D4" s="25"/>
      <c r="E4" s="25"/>
      <c r="F4" s="25"/>
      <c r="G4" s="25"/>
      <c r="H4" s="25"/>
      <c r="I4" s="25"/>
      <c r="J4" s="25"/>
      <c r="K4" s="25"/>
      <c r="L4" s="25"/>
      <c r="M4" s="25"/>
      <c r="N4" s="25"/>
      <c r="O4" s="25"/>
      <c r="P4" s="25"/>
      <c r="Q4" s="25"/>
      <c r="R4" s="25"/>
      <c r="S4" s="25"/>
      <c r="T4" s="25"/>
      <c r="U4" s="25"/>
      <c r="V4" s="25"/>
      <c r="W4" s="25"/>
      <c r="X4" s="25"/>
      <c r="Y4" s="25"/>
      <c r="Z4" s="25"/>
    </row>
    <row r="6" spans="1:28" ht="64.5" customHeight="1" x14ac:dyDescent="0.25">
      <c r="A6" s="3" t="s">
        <v>102</v>
      </c>
      <c r="B6" s="3" t="s">
        <v>103</v>
      </c>
      <c r="C6" s="3" t="s">
        <v>104</v>
      </c>
      <c r="D6" s="3" t="s">
        <v>105</v>
      </c>
      <c r="E6" s="3" t="s">
        <v>106</v>
      </c>
      <c r="F6" s="3" t="s">
        <v>107</v>
      </c>
      <c r="G6" s="12" t="s">
        <v>108</v>
      </c>
      <c r="H6" s="12" t="s">
        <v>109</v>
      </c>
      <c r="I6" s="12" t="s">
        <v>110</v>
      </c>
      <c r="J6" s="12" t="s">
        <v>111</v>
      </c>
      <c r="K6" s="12" t="s">
        <v>112</v>
      </c>
      <c r="L6" s="12" t="s">
        <v>113</v>
      </c>
      <c r="M6" s="12" t="s">
        <v>114</v>
      </c>
      <c r="N6" s="12" t="s">
        <v>115</v>
      </c>
      <c r="O6" s="12" t="s">
        <v>116</v>
      </c>
      <c r="P6" s="12" t="s">
        <v>117</v>
      </c>
      <c r="Q6" s="12" t="s">
        <v>118</v>
      </c>
      <c r="R6" s="12" t="s">
        <v>119</v>
      </c>
      <c r="S6" s="12" t="s">
        <v>120</v>
      </c>
      <c r="T6" s="12" t="s">
        <v>121</v>
      </c>
      <c r="U6" s="12" t="s">
        <v>122</v>
      </c>
      <c r="V6" s="12" t="s">
        <v>123</v>
      </c>
      <c r="W6" s="12" t="s">
        <v>124</v>
      </c>
      <c r="X6" s="12" t="s">
        <v>125</v>
      </c>
      <c r="Y6" s="12" t="s">
        <v>126</v>
      </c>
      <c r="Z6" s="12" t="s">
        <v>127</v>
      </c>
      <c r="AA6" s="3" t="s">
        <v>128</v>
      </c>
      <c r="AB6" s="3" t="s">
        <v>129</v>
      </c>
    </row>
    <row r="7" spans="1:28" ht="15" customHeight="1" x14ac:dyDescent="0.25">
      <c r="A7" s="7">
        <v>1</v>
      </c>
      <c r="B7" s="13" t="s">
        <v>130</v>
      </c>
      <c r="C7" s="4" t="s">
        <v>131</v>
      </c>
      <c r="D7" s="7" t="s">
        <v>132</v>
      </c>
      <c r="E7" s="7" t="s">
        <v>133</v>
      </c>
      <c r="F7" s="7" t="s">
        <v>134</v>
      </c>
      <c r="G7" s="14" t="s">
        <v>20</v>
      </c>
      <c r="H7" s="14" t="s">
        <v>20</v>
      </c>
      <c r="I7" s="14" t="s">
        <v>20</v>
      </c>
      <c r="J7" s="15" t="s">
        <v>21</v>
      </c>
      <c r="K7" s="15" t="s">
        <v>21</v>
      </c>
      <c r="L7" s="15" t="s">
        <v>21</v>
      </c>
      <c r="M7" s="15" t="s">
        <v>21</v>
      </c>
      <c r="N7" s="15" t="s">
        <v>21</v>
      </c>
      <c r="O7" s="14" t="s">
        <v>20</v>
      </c>
      <c r="P7" s="15" t="s">
        <v>21</v>
      </c>
      <c r="Q7" s="14" t="s">
        <v>20</v>
      </c>
      <c r="R7" s="14" t="s">
        <v>20</v>
      </c>
      <c r="S7" s="14" t="s">
        <v>20</v>
      </c>
      <c r="T7" s="16"/>
      <c r="U7" s="16"/>
      <c r="V7" s="16"/>
      <c r="W7" s="16"/>
      <c r="X7" s="16"/>
      <c r="Y7" s="16"/>
      <c r="Z7" s="14" t="s">
        <v>20</v>
      </c>
      <c r="AA7" s="6">
        <f t="shared" ref="AA7:AA47" si="0">COUNTIF(G7:Z7,"M")</f>
        <v>8</v>
      </c>
      <c r="AB7" s="7">
        <f t="shared" ref="AB7:AB47" si="1">COUNTIF(G7:Z7,"R")</f>
        <v>6</v>
      </c>
    </row>
    <row r="8" spans="1:28" ht="15" customHeight="1" x14ac:dyDescent="0.25">
      <c r="A8" s="10">
        <v>2</v>
      </c>
      <c r="B8" s="17" t="s">
        <v>135</v>
      </c>
      <c r="C8" s="8" t="s">
        <v>136</v>
      </c>
      <c r="D8" s="10" t="s">
        <v>132</v>
      </c>
      <c r="E8" s="10" t="s">
        <v>137</v>
      </c>
      <c r="F8" s="10" t="s">
        <v>134</v>
      </c>
      <c r="G8" s="14" t="s">
        <v>20</v>
      </c>
      <c r="H8" s="14" t="s">
        <v>20</v>
      </c>
      <c r="I8" s="14" t="s">
        <v>20</v>
      </c>
      <c r="J8" s="15" t="s">
        <v>21</v>
      </c>
      <c r="K8" s="15" t="s">
        <v>21</v>
      </c>
      <c r="L8" s="15" t="s">
        <v>21</v>
      </c>
      <c r="M8" s="15" t="s">
        <v>21</v>
      </c>
      <c r="N8" s="15" t="s">
        <v>21</v>
      </c>
      <c r="O8" s="14" t="s">
        <v>20</v>
      </c>
      <c r="P8" s="15" t="s">
        <v>21</v>
      </c>
      <c r="Q8" s="14" t="s">
        <v>20</v>
      </c>
      <c r="R8" s="14" t="s">
        <v>20</v>
      </c>
      <c r="S8" s="14" t="s">
        <v>20</v>
      </c>
      <c r="T8" s="18"/>
      <c r="U8" s="18"/>
      <c r="V8" s="18"/>
      <c r="W8" s="18"/>
      <c r="X8" s="18"/>
      <c r="Y8" s="18"/>
      <c r="Z8" s="14" t="s">
        <v>20</v>
      </c>
      <c r="AA8" s="9">
        <f t="shared" si="0"/>
        <v>8</v>
      </c>
      <c r="AB8" s="10">
        <f t="shared" si="1"/>
        <v>6</v>
      </c>
    </row>
    <row r="9" spans="1:28" ht="15" customHeight="1" x14ac:dyDescent="0.25">
      <c r="A9" s="7">
        <v>3</v>
      </c>
      <c r="B9" s="13" t="s">
        <v>138</v>
      </c>
      <c r="C9" s="4" t="s">
        <v>139</v>
      </c>
      <c r="D9" s="7" t="s">
        <v>132</v>
      </c>
      <c r="E9" s="7" t="s">
        <v>140</v>
      </c>
      <c r="F9" s="7" t="s">
        <v>134</v>
      </c>
      <c r="G9" s="14" t="s">
        <v>20</v>
      </c>
      <c r="H9" s="14" t="s">
        <v>20</v>
      </c>
      <c r="I9" s="14" t="s">
        <v>20</v>
      </c>
      <c r="J9" s="15" t="s">
        <v>21</v>
      </c>
      <c r="K9" s="15" t="s">
        <v>21</v>
      </c>
      <c r="L9" s="15" t="s">
        <v>21</v>
      </c>
      <c r="M9" s="15" t="s">
        <v>21</v>
      </c>
      <c r="N9" s="15" t="s">
        <v>21</v>
      </c>
      <c r="O9" s="14" t="s">
        <v>20</v>
      </c>
      <c r="P9" s="15" t="s">
        <v>21</v>
      </c>
      <c r="Q9" s="14" t="s">
        <v>20</v>
      </c>
      <c r="R9" s="14" t="s">
        <v>20</v>
      </c>
      <c r="S9" s="14" t="s">
        <v>20</v>
      </c>
      <c r="T9" s="16"/>
      <c r="U9" s="16"/>
      <c r="V9" s="16"/>
      <c r="W9" s="16"/>
      <c r="X9" s="16"/>
      <c r="Y9" s="16"/>
      <c r="Z9" s="14" t="s">
        <v>20</v>
      </c>
      <c r="AA9" s="6">
        <f t="shared" si="0"/>
        <v>8</v>
      </c>
      <c r="AB9" s="7">
        <f t="shared" si="1"/>
        <v>6</v>
      </c>
    </row>
    <row r="10" spans="1:28" ht="21.75" customHeight="1" x14ac:dyDescent="0.25">
      <c r="A10" s="10">
        <v>4</v>
      </c>
      <c r="B10" s="17" t="s">
        <v>141</v>
      </c>
      <c r="C10" s="8" t="s">
        <v>142</v>
      </c>
      <c r="D10" s="10" t="s">
        <v>132</v>
      </c>
      <c r="E10" s="10" t="s">
        <v>143</v>
      </c>
      <c r="F10" s="10" t="s">
        <v>134</v>
      </c>
      <c r="G10" s="14" t="s">
        <v>20</v>
      </c>
      <c r="H10" s="14" t="s">
        <v>20</v>
      </c>
      <c r="I10" s="14" t="s">
        <v>20</v>
      </c>
      <c r="J10" s="15" t="s">
        <v>21</v>
      </c>
      <c r="K10" s="15" t="s">
        <v>21</v>
      </c>
      <c r="L10" s="15" t="s">
        <v>21</v>
      </c>
      <c r="M10" s="15" t="s">
        <v>21</v>
      </c>
      <c r="N10" s="15" t="s">
        <v>21</v>
      </c>
      <c r="O10" s="14" t="s">
        <v>20</v>
      </c>
      <c r="P10" s="15" t="s">
        <v>21</v>
      </c>
      <c r="Q10" s="14" t="s">
        <v>20</v>
      </c>
      <c r="R10" s="14" t="s">
        <v>20</v>
      </c>
      <c r="S10" s="14" t="s">
        <v>20</v>
      </c>
      <c r="T10" s="16"/>
      <c r="U10" s="16"/>
      <c r="V10" s="16"/>
      <c r="W10" s="16"/>
      <c r="X10" s="16"/>
      <c r="Y10" s="16"/>
      <c r="Z10" s="14" t="s">
        <v>20</v>
      </c>
      <c r="AA10" s="9">
        <f t="shared" si="0"/>
        <v>8</v>
      </c>
      <c r="AB10" s="10">
        <f t="shared" si="1"/>
        <v>6</v>
      </c>
    </row>
    <row r="11" spans="1:28" ht="15" customHeight="1" x14ac:dyDescent="0.25">
      <c r="A11" s="7">
        <v>5</v>
      </c>
      <c r="B11" s="13" t="s">
        <v>144</v>
      </c>
      <c r="C11" s="4" t="s">
        <v>131</v>
      </c>
      <c r="D11" s="7" t="s">
        <v>132</v>
      </c>
      <c r="E11" s="7" t="s">
        <v>145</v>
      </c>
      <c r="F11" s="7" t="s">
        <v>134</v>
      </c>
      <c r="G11" s="14" t="s">
        <v>20</v>
      </c>
      <c r="H11" s="14" t="s">
        <v>20</v>
      </c>
      <c r="I11" s="14" t="s">
        <v>20</v>
      </c>
      <c r="J11" s="15" t="s">
        <v>21</v>
      </c>
      <c r="K11" s="15" t="s">
        <v>21</v>
      </c>
      <c r="L11" s="15" t="s">
        <v>21</v>
      </c>
      <c r="M11" s="15" t="s">
        <v>21</v>
      </c>
      <c r="N11" s="15" t="s">
        <v>21</v>
      </c>
      <c r="O11" s="14" t="s">
        <v>20</v>
      </c>
      <c r="P11" s="15" t="s">
        <v>21</v>
      </c>
      <c r="Q11" s="14" t="s">
        <v>20</v>
      </c>
      <c r="R11" s="14" t="s">
        <v>20</v>
      </c>
      <c r="S11" s="14" t="s">
        <v>20</v>
      </c>
      <c r="T11" s="16"/>
      <c r="U11" s="16"/>
      <c r="V11" s="16"/>
      <c r="W11" s="16"/>
      <c r="X11" s="16"/>
      <c r="Y11" s="16"/>
      <c r="Z11" s="14" t="s">
        <v>20</v>
      </c>
      <c r="AA11" s="6">
        <f t="shared" si="0"/>
        <v>8</v>
      </c>
      <c r="AB11" s="7">
        <f t="shared" si="1"/>
        <v>6</v>
      </c>
    </row>
    <row r="12" spans="1:28" ht="15" customHeight="1" x14ac:dyDescent="0.25">
      <c r="A12" s="10">
        <v>6</v>
      </c>
      <c r="B12" s="17" t="s">
        <v>146</v>
      </c>
      <c r="C12" s="8" t="s">
        <v>147</v>
      </c>
      <c r="D12" s="10" t="s">
        <v>132</v>
      </c>
      <c r="E12" s="10" t="s">
        <v>137</v>
      </c>
      <c r="F12" s="10" t="s">
        <v>134</v>
      </c>
      <c r="G12" s="14" t="s">
        <v>20</v>
      </c>
      <c r="H12" s="14" t="s">
        <v>20</v>
      </c>
      <c r="I12" s="14" t="s">
        <v>20</v>
      </c>
      <c r="J12" s="15" t="s">
        <v>21</v>
      </c>
      <c r="K12" s="15" t="s">
        <v>21</v>
      </c>
      <c r="L12" s="15" t="s">
        <v>21</v>
      </c>
      <c r="M12" s="15" t="s">
        <v>21</v>
      </c>
      <c r="N12" s="15" t="s">
        <v>21</v>
      </c>
      <c r="O12" s="14" t="s">
        <v>20</v>
      </c>
      <c r="P12" s="15" t="s">
        <v>21</v>
      </c>
      <c r="Q12" s="14" t="s">
        <v>20</v>
      </c>
      <c r="R12" s="14" t="s">
        <v>20</v>
      </c>
      <c r="S12" s="14" t="s">
        <v>20</v>
      </c>
      <c r="T12" s="18"/>
      <c r="U12" s="18"/>
      <c r="V12" s="18"/>
      <c r="W12" s="18"/>
      <c r="X12" s="18"/>
      <c r="Y12" s="18"/>
      <c r="Z12" s="14" t="s">
        <v>20</v>
      </c>
      <c r="AA12" s="9">
        <f t="shared" si="0"/>
        <v>8</v>
      </c>
      <c r="AB12" s="10">
        <f t="shared" si="1"/>
        <v>6</v>
      </c>
    </row>
    <row r="13" spans="1:28" ht="15" customHeight="1" x14ac:dyDescent="0.25">
      <c r="A13" s="7">
        <v>7</v>
      </c>
      <c r="B13" s="13" t="s">
        <v>148</v>
      </c>
      <c r="C13" s="4" t="s">
        <v>147</v>
      </c>
      <c r="D13" s="7" t="s">
        <v>132</v>
      </c>
      <c r="E13" s="7" t="s">
        <v>137</v>
      </c>
      <c r="F13" s="7" t="s">
        <v>134</v>
      </c>
      <c r="G13" s="14" t="s">
        <v>20</v>
      </c>
      <c r="H13" s="14" t="s">
        <v>20</v>
      </c>
      <c r="I13" s="14" t="s">
        <v>20</v>
      </c>
      <c r="J13" s="15" t="s">
        <v>21</v>
      </c>
      <c r="K13" s="15" t="s">
        <v>21</v>
      </c>
      <c r="L13" s="15" t="s">
        <v>21</v>
      </c>
      <c r="M13" s="15" t="s">
        <v>21</v>
      </c>
      <c r="N13" s="15" t="s">
        <v>21</v>
      </c>
      <c r="O13" s="14" t="s">
        <v>20</v>
      </c>
      <c r="P13" s="15" t="s">
        <v>21</v>
      </c>
      <c r="Q13" s="14" t="s">
        <v>20</v>
      </c>
      <c r="R13" s="14" t="s">
        <v>20</v>
      </c>
      <c r="S13" s="14" t="s">
        <v>20</v>
      </c>
      <c r="T13" s="16"/>
      <c r="U13" s="16"/>
      <c r="V13" s="16"/>
      <c r="W13" s="16"/>
      <c r="X13" s="16"/>
      <c r="Y13" s="16"/>
      <c r="Z13" s="14" t="s">
        <v>20</v>
      </c>
      <c r="AA13" s="6">
        <f t="shared" si="0"/>
        <v>8</v>
      </c>
      <c r="AB13" s="7">
        <f t="shared" si="1"/>
        <v>6</v>
      </c>
    </row>
    <row r="14" spans="1:28" ht="15" customHeight="1" x14ac:dyDescent="0.25">
      <c r="A14" s="10">
        <v>8</v>
      </c>
      <c r="B14" s="17" t="s">
        <v>149</v>
      </c>
      <c r="C14" s="8" t="s">
        <v>150</v>
      </c>
      <c r="D14" s="10" t="s">
        <v>132</v>
      </c>
      <c r="E14" s="10" t="s">
        <v>137</v>
      </c>
      <c r="F14" s="10" t="s">
        <v>134</v>
      </c>
      <c r="G14" s="14" t="s">
        <v>20</v>
      </c>
      <c r="H14" s="14" t="s">
        <v>20</v>
      </c>
      <c r="I14" s="14" t="s">
        <v>20</v>
      </c>
      <c r="J14" s="15" t="s">
        <v>21</v>
      </c>
      <c r="K14" s="15" t="s">
        <v>21</v>
      </c>
      <c r="L14" s="15" t="s">
        <v>21</v>
      </c>
      <c r="M14" s="15" t="s">
        <v>21</v>
      </c>
      <c r="N14" s="15" t="s">
        <v>21</v>
      </c>
      <c r="O14" s="14" t="s">
        <v>20</v>
      </c>
      <c r="P14" s="15" t="s">
        <v>21</v>
      </c>
      <c r="Q14" s="14" t="s">
        <v>20</v>
      </c>
      <c r="R14" s="14" t="s">
        <v>20</v>
      </c>
      <c r="S14" s="14" t="s">
        <v>20</v>
      </c>
      <c r="T14" s="18"/>
      <c r="U14" s="18"/>
      <c r="V14" s="18"/>
      <c r="W14" s="18"/>
      <c r="X14" s="18"/>
      <c r="Y14" s="18"/>
      <c r="Z14" s="14" t="s">
        <v>20</v>
      </c>
      <c r="AA14" s="9">
        <f t="shared" si="0"/>
        <v>8</v>
      </c>
      <c r="AB14" s="10">
        <f t="shared" si="1"/>
        <v>6</v>
      </c>
    </row>
    <row r="15" spans="1:28" ht="21.75" customHeight="1" x14ac:dyDescent="0.25">
      <c r="A15" s="7">
        <v>9</v>
      </c>
      <c r="B15" s="13" t="s">
        <v>151</v>
      </c>
      <c r="C15" s="4" t="s">
        <v>152</v>
      </c>
      <c r="D15" s="7" t="s">
        <v>132</v>
      </c>
      <c r="E15" s="7" t="s">
        <v>137</v>
      </c>
      <c r="F15" s="7" t="s">
        <v>134</v>
      </c>
      <c r="G15" s="14" t="s">
        <v>20</v>
      </c>
      <c r="H15" s="14" t="s">
        <v>20</v>
      </c>
      <c r="I15" s="14" t="s">
        <v>20</v>
      </c>
      <c r="J15" s="15" t="s">
        <v>21</v>
      </c>
      <c r="K15" s="15" t="s">
        <v>21</v>
      </c>
      <c r="L15" s="15" t="s">
        <v>21</v>
      </c>
      <c r="M15" s="15" t="s">
        <v>21</v>
      </c>
      <c r="N15" s="15" t="s">
        <v>21</v>
      </c>
      <c r="O15" s="14" t="s">
        <v>20</v>
      </c>
      <c r="P15" s="15" t="s">
        <v>21</v>
      </c>
      <c r="Q15" s="14" t="s">
        <v>20</v>
      </c>
      <c r="R15" s="14" t="s">
        <v>20</v>
      </c>
      <c r="S15" s="14" t="s">
        <v>20</v>
      </c>
      <c r="T15" s="16"/>
      <c r="U15" s="16"/>
      <c r="V15" s="16"/>
      <c r="W15" s="16"/>
      <c r="X15" s="16"/>
      <c r="Y15" s="16"/>
      <c r="Z15" s="14" t="s">
        <v>20</v>
      </c>
      <c r="AA15" s="6">
        <f t="shared" si="0"/>
        <v>8</v>
      </c>
      <c r="AB15" s="7">
        <f t="shared" si="1"/>
        <v>6</v>
      </c>
    </row>
    <row r="16" spans="1:28" ht="15" customHeight="1" x14ac:dyDescent="0.25">
      <c r="A16" s="10">
        <v>10</v>
      </c>
      <c r="B16" s="17" t="s">
        <v>153</v>
      </c>
      <c r="C16" s="8" t="s">
        <v>154</v>
      </c>
      <c r="D16" s="10" t="s">
        <v>132</v>
      </c>
      <c r="E16" s="10" t="s">
        <v>155</v>
      </c>
      <c r="F16" s="10" t="s">
        <v>134</v>
      </c>
      <c r="G16" s="14" t="s">
        <v>20</v>
      </c>
      <c r="H16" s="14" t="s">
        <v>20</v>
      </c>
      <c r="I16" s="14" t="s">
        <v>20</v>
      </c>
      <c r="J16" s="15" t="s">
        <v>21</v>
      </c>
      <c r="K16" s="15" t="s">
        <v>21</v>
      </c>
      <c r="L16" s="15" t="s">
        <v>21</v>
      </c>
      <c r="M16" s="15" t="s">
        <v>21</v>
      </c>
      <c r="N16" s="15" t="s">
        <v>21</v>
      </c>
      <c r="O16" s="14" t="s">
        <v>20</v>
      </c>
      <c r="P16" s="15" t="s">
        <v>21</v>
      </c>
      <c r="Q16" s="14" t="s">
        <v>20</v>
      </c>
      <c r="R16" s="14" t="s">
        <v>20</v>
      </c>
      <c r="S16" s="14" t="s">
        <v>20</v>
      </c>
      <c r="T16" s="18"/>
      <c r="U16" s="18"/>
      <c r="V16" s="18"/>
      <c r="W16" s="18"/>
      <c r="X16" s="18"/>
      <c r="Y16" s="18"/>
      <c r="Z16" s="14" t="s">
        <v>20</v>
      </c>
      <c r="AA16" s="9">
        <f t="shared" si="0"/>
        <v>8</v>
      </c>
      <c r="AB16" s="10">
        <f t="shared" si="1"/>
        <v>6</v>
      </c>
    </row>
    <row r="17" spans="1:28" ht="15" customHeight="1" x14ac:dyDescent="0.25">
      <c r="A17" s="7">
        <v>11</v>
      </c>
      <c r="B17" s="13" t="s">
        <v>156</v>
      </c>
      <c r="C17" s="4" t="s">
        <v>131</v>
      </c>
      <c r="D17" s="7" t="s">
        <v>132</v>
      </c>
      <c r="E17" s="7" t="s">
        <v>145</v>
      </c>
      <c r="F17" s="7" t="s">
        <v>134</v>
      </c>
      <c r="G17" s="14" t="s">
        <v>20</v>
      </c>
      <c r="H17" s="14" t="s">
        <v>20</v>
      </c>
      <c r="I17" s="14" t="s">
        <v>20</v>
      </c>
      <c r="J17" s="15" t="s">
        <v>21</v>
      </c>
      <c r="K17" s="15" t="s">
        <v>21</v>
      </c>
      <c r="L17" s="15" t="s">
        <v>21</v>
      </c>
      <c r="M17" s="15" t="s">
        <v>21</v>
      </c>
      <c r="N17" s="15" t="s">
        <v>21</v>
      </c>
      <c r="O17" s="14" t="s">
        <v>20</v>
      </c>
      <c r="P17" s="15" t="s">
        <v>21</v>
      </c>
      <c r="Q17" s="14" t="s">
        <v>20</v>
      </c>
      <c r="R17" s="14" t="s">
        <v>20</v>
      </c>
      <c r="S17" s="14" t="s">
        <v>20</v>
      </c>
      <c r="T17" s="16"/>
      <c r="U17" s="16"/>
      <c r="V17" s="16"/>
      <c r="W17" s="16"/>
      <c r="X17" s="16"/>
      <c r="Y17" s="16"/>
      <c r="Z17" s="14" t="s">
        <v>20</v>
      </c>
      <c r="AA17" s="6">
        <f t="shared" si="0"/>
        <v>8</v>
      </c>
      <c r="AB17" s="7">
        <f t="shared" si="1"/>
        <v>6</v>
      </c>
    </row>
    <row r="18" spans="1:28" ht="15" customHeight="1" x14ac:dyDescent="0.25">
      <c r="A18" s="10">
        <v>12</v>
      </c>
      <c r="B18" s="17" t="s">
        <v>157</v>
      </c>
      <c r="C18" s="8" t="s">
        <v>147</v>
      </c>
      <c r="D18" s="10" t="s">
        <v>132</v>
      </c>
      <c r="E18" s="10" t="s">
        <v>137</v>
      </c>
      <c r="F18" s="10" t="s">
        <v>134</v>
      </c>
      <c r="G18" s="14" t="s">
        <v>20</v>
      </c>
      <c r="H18" s="14" t="s">
        <v>20</v>
      </c>
      <c r="I18" s="14" t="s">
        <v>20</v>
      </c>
      <c r="J18" s="15" t="s">
        <v>21</v>
      </c>
      <c r="K18" s="15" t="s">
        <v>21</v>
      </c>
      <c r="L18" s="15" t="s">
        <v>21</v>
      </c>
      <c r="M18" s="15" t="s">
        <v>21</v>
      </c>
      <c r="N18" s="15" t="s">
        <v>21</v>
      </c>
      <c r="O18" s="14" t="s">
        <v>20</v>
      </c>
      <c r="P18" s="15" t="s">
        <v>21</v>
      </c>
      <c r="Q18" s="14" t="s">
        <v>20</v>
      </c>
      <c r="R18" s="14" t="s">
        <v>20</v>
      </c>
      <c r="S18" s="14" t="s">
        <v>20</v>
      </c>
      <c r="T18" s="18"/>
      <c r="U18" s="18"/>
      <c r="V18" s="18"/>
      <c r="W18" s="18"/>
      <c r="X18" s="18"/>
      <c r="Y18" s="18"/>
      <c r="Z18" s="14" t="s">
        <v>20</v>
      </c>
      <c r="AA18" s="9">
        <f t="shared" si="0"/>
        <v>8</v>
      </c>
      <c r="AB18" s="10">
        <f t="shared" si="1"/>
        <v>6</v>
      </c>
    </row>
    <row r="19" spans="1:28" ht="15" customHeight="1" x14ac:dyDescent="0.25">
      <c r="A19" s="7">
        <v>13</v>
      </c>
      <c r="B19" s="13" t="s">
        <v>158</v>
      </c>
      <c r="C19" s="4" t="s">
        <v>159</v>
      </c>
      <c r="D19" s="7" t="s">
        <v>132</v>
      </c>
      <c r="E19" s="7" t="s">
        <v>133</v>
      </c>
      <c r="F19" s="7" t="s">
        <v>134</v>
      </c>
      <c r="G19" s="14" t="s">
        <v>20</v>
      </c>
      <c r="H19" s="14" t="s">
        <v>20</v>
      </c>
      <c r="I19" s="14" t="s">
        <v>20</v>
      </c>
      <c r="J19" s="15" t="s">
        <v>21</v>
      </c>
      <c r="K19" s="15" t="s">
        <v>21</v>
      </c>
      <c r="L19" s="15" t="s">
        <v>21</v>
      </c>
      <c r="M19" s="15" t="s">
        <v>21</v>
      </c>
      <c r="N19" s="15" t="s">
        <v>21</v>
      </c>
      <c r="O19" s="14" t="s">
        <v>20</v>
      </c>
      <c r="P19" s="15" t="s">
        <v>21</v>
      </c>
      <c r="Q19" s="14" t="s">
        <v>20</v>
      </c>
      <c r="R19" s="14" t="s">
        <v>20</v>
      </c>
      <c r="S19" s="14" t="s">
        <v>20</v>
      </c>
      <c r="T19" s="16"/>
      <c r="U19" s="16"/>
      <c r="V19" s="16"/>
      <c r="W19" s="16"/>
      <c r="X19" s="16"/>
      <c r="Y19" s="16"/>
      <c r="Z19" s="14" t="s">
        <v>20</v>
      </c>
      <c r="AA19" s="6">
        <f t="shared" si="0"/>
        <v>8</v>
      </c>
      <c r="AB19" s="7">
        <f t="shared" si="1"/>
        <v>6</v>
      </c>
    </row>
    <row r="20" spans="1:28" ht="15" customHeight="1" x14ac:dyDescent="0.25">
      <c r="A20" s="10">
        <v>14</v>
      </c>
      <c r="B20" s="17" t="s">
        <v>160</v>
      </c>
      <c r="C20" s="8" t="s">
        <v>131</v>
      </c>
      <c r="D20" s="10" t="s">
        <v>132</v>
      </c>
      <c r="E20" s="10" t="s">
        <v>133</v>
      </c>
      <c r="F20" s="10" t="s">
        <v>134</v>
      </c>
      <c r="G20" s="14" t="s">
        <v>20</v>
      </c>
      <c r="H20" s="14" t="s">
        <v>20</v>
      </c>
      <c r="I20" s="14" t="s">
        <v>20</v>
      </c>
      <c r="J20" s="15" t="s">
        <v>21</v>
      </c>
      <c r="K20" s="15" t="s">
        <v>21</v>
      </c>
      <c r="L20" s="15" t="s">
        <v>21</v>
      </c>
      <c r="M20" s="15" t="s">
        <v>21</v>
      </c>
      <c r="N20" s="15" t="s">
        <v>21</v>
      </c>
      <c r="O20" s="14" t="s">
        <v>20</v>
      </c>
      <c r="P20" s="15" t="s">
        <v>21</v>
      </c>
      <c r="Q20" s="14" t="s">
        <v>20</v>
      </c>
      <c r="R20" s="14" t="s">
        <v>20</v>
      </c>
      <c r="S20" s="14" t="s">
        <v>20</v>
      </c>
      <c r="T20" s="18"/>
      <c r="U20" s="18"/>
      <c r="V20" s="18"/>
      <c r="W20" s="18"/>
      <c r="X20" s="18"/>
      <c r="Y20" s="18"/>
      <c r="Z20" s="14" t="s">
        <v>20</v>
      </c>
      <c r="AA20" s="9">
        <f t="shared" si="0"/>
        <v>8</v>
      </c>
      <c r="AB20" s="10">
        <f t="shared" si="1"/>
        <v>6</v>
      </c>
    </row>
    <row r="21" spans="1:28" ht="15" customHeight="1" x14ac:dyDescent="0.25">
      <c r="A21" s="7">
        <v>15</v>
      </c>
      <c r="B21" s="13" t="s">
        <v>161</v>
      </c>
      <c r="C21" s="4" t="s">
        <v>162</v>
      </c>
      <c r="D21" s="7" t="s">
        <v>132</v>
      </c>
      <c r="E21" s="7" t="s">
        <v>133</v>
      </c>
      <c r="F21" s="7" t="s">
        <v>134</v>
      </c>
      <c r="G21" s="14" t="s">
        <v>20</v>
      </c>
      <c r="H21" s="14" t="s">
        <v>20</v>
      </c>
      <c r="I21" s="14" t="s">
        <v>20</v>
      </c>
      <c r="J21" s="15" t="s">
        <v>21</v>
      </c>
      <c r="K21" s="15" t="s">
        <v>21</v>
      </c>
      <c r="L21" s="15" t="s">
        <v>21</v>
      </c>
      <c r="M21" s="15" t="s">
        <v>21</v>
      </c>
      <c r="N21" s="15" t="s">
        <v>21</v>
      </c>
      <c r="O21" s="14" t="s">
        <v>20</v>
      </c>
      <c r="P21" s="15" t="s">
        <v>21</v>
      </c>
      <c r="Q21" s="14" t="s">
        <v>20</v>
      </c>
      <c r="R21" s="14" t="s">
        <v>20</v>
      </c>
      <c r="S21" s="14" t="s">
        <v>20</v>
      </c>
      <c r="T21" s="16"/>
      <c r="U21" s="16"/>
      <c r="V21" s="16"/>
      <c r="W21" s="16"/>
      <c r="X21" s="16"/>
      <c r="Y21" s="16"/>
      <c r="Z21" s="14" t="s">
        <v>20</v>
      </c>
      <c r="AA21" s="6">
        <f t="shared" si="0"/>
        <v>8</v>
      </c>
      <c r="AB21" s="7">
        <f t="shared" si="1"/>
        <v>6</v>
      </c>
    </row>
    <row r="22" spans="1:28" ht="15" customHeight="1" x14ac:dyDescent="0.25">
      <c r="A22" s="10">
        <v>16</v>
      </c>
      <c r="B22" s="17" t="s">
        <v>163</v>
      </c>
      <c r="C22" s="8" t="s">
        <v>131</v>
      </c>
      <c r="D22" s="10" t="s">
        <v>132</v>
      </c>
      <c r="E22" s="10" t="s">
        <v>140</v>
      </c>
      <c r="F22" s="10" t="s">
        <v>134</v>
      </c>
      <c r="G22" s="14" t="s">
        <v>20</v>
      </c>
      <c r="H22" s="14" t="s">
        <v>20</v>
      </c>
      <c r="I22" s="14" t="s">
        <v>20</v>
      </c>
      <c r="J22" s="15" t="s">
        <v>21</v>
      </c>
      <c r="K22" s="15" t="s">
        <v>21</v>
      </c>
      <c r="L22" s="15" t="s">
        <v>21</v>
      </c>
      <c r="M22" s="15" t="s">
        <v>21</v>
      </c>
      <c r="N22" s="15" t="s">
        <v>21</v>
      </c>
      <c r="O22" s="14" t="s">
        <v>20</v>
      </c>
      <c r="P22" s="15" t="s">
        <v>21</v>
      </c>
      <c r="Q22" s="14" t="s">
        <v>20</v>
      </c>
      <c r="R22" s="14" t="s">
        <v>20</v>
      </c>
      <c r="S22" s="14" t="s">
        <v>20</v>
      </c>
      <c r="T22" s="18"/>
      <c r="U22" s="18"/>
      <c r="V22" s="18"/>
      <c r="W22" s="18"/>
      <c r="X22" s="18"/>
      <c r="Y22" s="18"/>
      <c r="Z22" s="14" t="s">
        <v>20</v>
      </c>
      <c r="AA22" s="9">
        <f t="shared" si="0"/>
        <v>8</v>
      </c>
      <c r="AB22" s="10">
        <f t="shared" si="1"/>
        <v>6</v>
      </c>
    </row>
    <row r="23" spans="1:28" ht="15" customHeight="1" x14ac:dyDescent="0.25">
      <c r="A23" s="7">
        <v>17</v>
      </c>
      <c r="B23" s="13" t="s">
        <v>164</v>
      </c>
      <c r="C23" s="4" t="s">
        <v>165</v>
      </c>
      <c r="D23" s="7" t="s">
        <v>67</v>
      </c>
      <c r="E23" s="7" t="s">
        <v>155</v>
      </c>
      <c r="F23" s="19" t="s">
        <v>87</v>
      </c>
      <c r="G23" s="14" t="s">
        <v>20</v>
      </c>
      <c r="H23" s="14" t="s">
        <v>20</v>
      </c>
      <c r="I23" s="14" t="s">
        <v>20</v>
      </c>
      <c r="J23" s="14" t="s">
        <v>20</v>
      </c>
      <c r="K23" s="14" t="s">
        <v>20</v>
      </c>
      <c r="L23" s="14" t="s">
        <v>20</v>
      </c>
      <c r="M23" s="14" t="s">
        <v>20</v>
      </c>
      <c r="N23" s="14" t="s">
        <v>20</v>
      </c>
      <c r="O23" s="14" t="s">
        <v>20</v>
      </c>
      <c r="P23" s="14" t="s">
        <v>20</v>
      </c>
      <c r="Q23" s="14" t="s">
        <v>20</v>
      </c>
      <c r="R23" s="14" t="s">
        <v>20</v>
      </c>
      <c r="S23" s="14" t="s">
        <v>20</v>
      </c>
      <c r="T23" s="15" t="s">
        <v>21</v>
      </c>
      <c r="U23" s="14" t="s">
        <v>20</v>
      </c>
      <c r="V23" s="14" t="s">
        <v>20</v>
      </c>
      <c r="W23" s="14" t="s">
        <v>20</v>
      </c>
      <c r="X23" s="14" t="s">
        <v>20</v>
      </c>
      <c r="Y23" s="14" t="s">
        <v>20</v>
      </c>
      <c r="Z23" s="14" t="s">
        <v>20</v>
      </c>
      <c r="AA23" s="6">
        <f t="shared" si="0"/>
        <v>19</v>
      </c>
      <c r="AB23" s="7">
        <f t="shared" si="1"/>
        <v>1</v>
      </c>
    </row>
    <row r="24" spans="1:28" ht="15" customHeight="1" x14ac:dyDescent="0.25">
      <c r="A24" s="10">
        <v>18</v>
      </c>
      <c r="B24" s="17" t="s">
        <v>166</v>
      </c>
      <c r="C24" s="8" t="s">
        <v>167</v>
      </c>
      <c r="D24" s="10" t="s">
        <v>67</v>
      </c>
      <c r="E24" s="10" t="s">
        <v>133</v>
      </c>
      <c r="F24" s="19" t="s">
        <v>87</v>
      </c>
      <c r="G24" s="14" t="s">
        <v>20</v>
      </c>
      <c r="H24" s="14" t="s">
        <v>20</v>
      </c>
      <c r="I24" s="14" t="s">
        <v>20</v>
      </c>
      <c r="J24" s="14" t="s">
        <v>20</v>
      </c>
      <c r="K24" s="14" t="s">
        <v>20</v>
      </c>
      <c r="L24" s="14" t="s">
        <v>20</v>
      </c>
      <c r="M24" s="14" t="s">
        <v>20</v>
      </c>
      <c r="N24" s="14" t="s">
        <v>20</v>
      </c>
      <c r="O24" s="14" t="s">
        <v>20</v>
      </c>
      <c r="P24" s="14" t="s">
        <v>20</v>
      </c>
      <c r="Q24" s="14" t="s">
        <v>20</v>
      </c>
      <c r="R24" s="14" t="s">
        <v>20</v>
      </c>
      <c r="S24" s="14" t="s">
        <v>20</v>
      </c>
      <c r="T24" s="15" t="s">
        <v>21</v>
      </c>
      <c r="U24" s="14" t="s">
        <v>20</v>
      </c>
      <c r="V24" s="14" t="s">
        <v>20</v>
      </c>
      <c r="W24" s="14" t="s">
        <v>20</v>
      </c>
      <c r="X24" s="14" t="s">
        <v>20</v>
      </c>
      <c r="Y24" s="14" t="s">
        <v>20</v>
      </c>
      <c r="Z24" s="14" t="s">
        <v>20</v>
      </c>
      <c r="AA24" s="9">
        <f t="shared" si="0"/>
        <v>19</v>
      </c>
      <c r="AB24" s="10">
        <f t="shared" si="1"/>
        <v>1</v>
      </c>
    </row>
    <row r="25" spans="1:28" ht="15" customHeight="1" x14ac:dyDescent="0.25">
      <c r="A25" s="7">
        <v>19</v>
      </c>
      <c r="B25" s="13" t="s">
        <v>168</v>
      </c>
      <c r="C25" s="4" t="s">
        <v>169</v>
      </c>
      <c r="D25" s="7" t="s">
        <v>170</v>
      </c>
      <c r="E25" s="7" t="s">
        <v>133</v>
      </c>
      <c r="F25" s="19" t="s">
        <v>87</v>
      </c>
      <c r="G25" s="14" t="s">
        <v>20</v>
      </c>
      <c r="H25" s="14" t="s">
        <v>20</v>
      </c>
      <c r="I25" s="14" t="s">
        <v>20</v>
      </c>
      <c r="J25" s="14" t="s">
        <v>20</v>
      </c>
      <c r="K25" s="14" t="s">
        <v>20</v>
      </c>
      <c r="L25" s="14" t="s">
        <v>20</v>
      </c>
      <c r="M25" s="14" t="s">
        <v>20</v>
      </c>
      <c r="N25" s="14" t="s">
        <v>20</v>
      </c>
      <c r="O25" s="14" t="s">
        <v>20</v>
      </c>
      <c r="P25" s="14" t="s">
        <v>20</v>
      </c>
      <c r="Q25" s="14" t="s">
        <v>20</v>
      </c>
      <c r="R25" s="14" t="s">
        <v>20</v>
      </c>
      <c r="S25" s="14" t="s">
        <v>20</v>
      </c>
      <c r="T25" s="15" t="s">
        <v>21</v>
      </c>
      <c r="U25" s="14" t="s">
        <v>20</v>
      </c>
      <c r="V25" s="14" t="s">
        <v>20</v>
      </c>
      <c r="W25" s="14" t="s">
        <v>20</v>
      </c>
      <c r="X25" s="14" t="s">
        <v>20</v>
      </c>
      <c r="Y25" s="14" t="s">
        <v>20</v>
      </c>
      <c r="Z25" s="14" t="s">
        <v>20</v>
      </c>
      <c r="AA25" s="6">
        <f t="shared" si="0"/>
        <v>19</v>
      </c>
      <c r="AB25" s="7">
        <f t="shared" si="1"/>
        <v>1</v>
      </c>
    </row>
    <row r="26" spans="1:28" ht="15" customHeight="1" x14ac:dyDescent="0.25">
      <c r="A26" s="10">
        <v>20</v>
      </c>
      <c r="B26" s="17" t="s">
        <v>171</v>
      </c>
      <c r="C26" s="8" t="s">
        <v>172</v>
      </c>
      <c r="D26" s="10" t="s">
        <v>170</v>
      </c>
      <c r="E26" s="10" t="s">
        <v>133</v>
      </c>
      <c r="F26" s="10" t="s">
        <v>134</v>
      </c>
      <c r="G26" s="14" t="s">
        <v>20</v>
      </c>
      <c r="H26" s="14" t="s">
        <v>20</v>
      </c>
      <c r="I26" s="14" t="s">
        <v>20</v>
      </c>
      <c r="J26" s="15" t="s">
        <v>21</v>
      </c>
      <c r="K26" s="15" t="s">
        <v>21</v>
      </c>
      <c r="L26" s="15" t="s">
        <v>21</v>
      </c>
      <c r="M26" s="15" t="s">
        <v>21</v>
      </c>
      <c r="N26" s="15" t="s">
        <v>21</v>
      </c>
      <c r="O26" s="14" t="s">
        <v>20</v>
      </c>
      <c r="P26" s="15" t="s">
        <v>21</v>
      </c>
      <c r="Q26" s="14" t="s">
        <v>20</v>
      </c>
      <c r="R26" s="14" t="s">
        <v>20</v>
      </c>
      <c r="S26" s="14" t="s">
        <v>20</v>
      </c>
      <c r="T26" s="18"/>
      <c r="U26" s="18"/>
      <c r="V26" s="18"/>
      <c r="W26" s="18"/>
      <c r="X26" s="18"/>
      <c r="Y26" s="18"/>
      <c r="Z26" s="14" t="s">
        <v>20</v>
      </c>
      <c r="AA26" s="9">
        <f t="shared" si="0"/>
        <v>8</v>
      </c>
      <c r="AB26" s="10">
        <f t="shared" si="1"/>
        <v>6</v>
      </c>
    </row>
    <row r="27" spans="1:28" ht="15" customHeight="1" x14ac:dyDescent="0.25">
      <c r="A27" s="7">
        <v>21</v>
      </c>
      <c r="B27" s="13" t="s">
        <v>173</v>
      </c>
      <c r="C27" s="4" t="s">
        <v>174</v>
      </c>
      <c r="D27" s="7" t="s">
        <v>170</v>
      </c>
      <c r="E27" s="7" t="s">
        <v>133</v>
      </c>
      <c r="F27" s="7" t="s">
        <v>134</v>
      </c>
      <c r="G27" s="14" t="s">
        <v>20</v>
      </c>
      <c r="H27" s="14" t="s">
        <v>20</v>
      </c>
      <c r="I27" s="14" t="s">
        <v>20</v>
      </c>
      <c r="J27" s="15" t="s">
        <v>21</v>
      </c>
      <c r="K27" s="15" t="s">
        <v>21</v>
      </c>
      <c r="L27" s="15" t="s">
        <v>21</v>
      </c>
      <c r="M27" s="15" t="s">
        <v>21</v>
      </c>
      <c r="N27" s="15" t="s">
        <v>21</v>
      </c>
      <c r="O27" s="14" t="s">
        <v>20</v>
      </c>
      <c r="P27" s="15" t="s">
        <v>21</v>
      </c>
      <c r="Q27" s="14" t="s">
        <v>20</v>
      </c>
      <c r="R27" s="14" t="s">
        <v>20</v>
      </c>
      <c r="S27" s="14" t="s">
        <v>20</v>
      </c>
      <c r="T27" s="16"/>
      <c r="U27" s="16"/>
      <c r="V27" s="16"/>
      <c r="W27" s="16"/>
      <c r="X27" s="16"/>
      <c r="Y27" s="16"/>
      <c r="Z27" s="14" t="s">
        <v>20</v>
      </c>
      <c r="AA27" s="6">
        <f t="shared" si="0"/>
        <v>8</v>
      </c>
      <c r="AB27" s="7">
        <f t="shared" si="1"/>
        <v>6</v>
      </c>
    </row>
    <row r="28" spans="1:28" ht="15" customHeight="1" x14ac:dyDescent="0.25">
      <c r="A28" s="10">
        <v>22</v>
      </c>
      <c r="B28" s="17" t="s">
        <v>175</v>
      </c>
      <c r="C28" s="8" t="s">
        <v>176</v>
      </c>
      <c r="D28" s="10" t="s">
        <v>170</v>
      </c>
      <c r="E28" s="10" t="s">
        <v>133</v>
      </c>
      <c r="F28" s="10" t="s">
        <v>134</v>
      </c>
      <c r="G28" s="14" t="s">
        <v>20</v>
      </c>
      <c r="H28" s="14" t="s">
        <v>20</v>
      </c>
      <c r="I28" s="14" t="s">
        <v>20</v>
      </c>
      <c r="J28" s="15" t="s">
        <v>21</v>
      </c>
      <c r="K28" s="15" t="s">
        <v>21</v>
      </c>
      <c r="L28" s="15" t="s">
        <v>21</v>
      </c>
      <c r="M28" s="15" t="s">
        <v>21</v>
      </c>
      <c r="N28" s="15" t="s">
        <v>21</v>
      </c>
      <c r="O28" s="14" t="s">
        <v>20</v>
      </c>
      <c r="P28" s="15" t="s">
        <v>21</v>
      </c>
      <c r="Q28" s="14" t="s">
        <v>20</v>
      </c>
      <c r="R28" s="14" t="s">
        <v>20</v>
      </c>
      <c r="S28" s="14" t="s">
        <v>20</v>
      </c>
      <c r="T28" s="18"/>
      <c r="U28" s="18"/>
      <c r="V28" s="18"/>
      <c r="W28" s="18"/>
      <c r="X28" s="18"/>
      <c r="Y28" s="18"/>
      <c r="Z28" s="14" t="s">
        <v>20</v>
      </c>
      <c r="AA28" s="9">
        <f t="shared" si="0"/>
        <v>8</v>
      </c>
      <c r="AB28" s="10">
        <f t="shared" si="1"/>
        <v>6</v>
      </c>
    </row>
    <row r="29" spans="1:28" ht="15" customHeight="1" x14ac:dyDescent="0.25">
      <c r="A29" s="7">
        <v>23</v>
      </c>
      <c r="B29" s="13" t="s">
        <v>177</v>
      </c>
      <c r="C29" s="4" t="s">
        <v>178</v>
      </c>
      <c r="D29" s="7" t="s">
        <v>170</v>
      </c>
      <c r="E29" s="7" t="s">
        <v>145</v>
      </c>
      <c r="F29" s="7" t="s">
        <v>134</v>
      </c>
      <c r="G29" s="14" t="s">
        <v>20</v>
      </c>
      <c r="H29" s="14" t="s">
        <v>20</v>
      </c>
      <c r="I29" s="14" t="s">
        <v>20</v>
      </c>
      <c r="J29" s="15" t="s">
        <v>21</v>
      </c>
      <c r="K29" s="15" t="s">
        <v>21</v>
      </c>
      <c r="L29" s="15" t="s">
        <v>21</v>
      </c>
      <c r="M29" s="15" t="s">
        <v>21</v>
      </c>
      <c r="N29" s="15" t="s">
        <v>21</v>
      </c>
      <c r="O29" s="14" t="s">
        <v>20</v>
      </c>
      <c r="P29" s="15" t="s">
        <v>21</v>
      </c>
      <c r="Q29" s="14" t="s">
        <v>20</v>
      </c>
      <c r="R29" s="14" t="s">
        <v>20</v>
      </c>
      <c r="S29" s="14" t="s">
        <v>20</v>
      </c>
      <c r="T29" s="16"/>
      <c r="U29" s="16"/>
      <c r="V29" s="16"/>
      <c r="W29" s="16"/>
      <c r="X29" s="16"/>
      <c r="Y29" s="16"/>
      <c r="Z29" s="14" t="s">
        <v>20</v>
      </c>
      <c r="AA29" s="6">
        <f t="shared" si="0"/>
        <v>8</v>
      </c>
      <c r="AB29" s="7">
        <f t="shared" si="1"/>
        <v>6</v>
      </c>
    </row>
    <row r="30" spans="1:28" ht="15" customHeight="1" x14ac:dyDescent="0.25">
      <c r="A30" s="10">
        <v>24</v>
      </c>
      <c r="B30" s="17" t="s">
        <v>179</v>
      </c>
      <c r="C30" s="8" t="s">
        <v>180</v>
      </c>
      <c r="D30" s="10" t="s">
        <v>170</v>
      </c>
      <c r="E30" s="10" t="s">
        <v>145</v>
      </c>
      <c r="F30" s="10" t="s">
        <v>134</v>
      </c>
      <c r="G30" s="14" t="s">
        <v>20</v>
      </c>
      <c r="H30" s="14" t="s">
        <v>20</v>
      </c>
      <c r="I30" s="14" t="s">
        <v>20</v>
      </c>
      <c r="J30" s="15" t="s">
        <v>21</v>
      </c>
      <c r="K30" s="15" t="s">
        <v>21</v>
      </c>
      <c r="L30" s="15" t="s">
        <v>21</v>
      </c>
      <c r="M30" s="15" t="s">
        <v>21</v>
      </c>
      <c r="N30" s="15" t="s">
        <v>21</v>
      </c>
      <c r="O30" s="14" t="s">
        <v>20</v>
      </c>
      <c r="P30" s="15" t="s">
        <v>21</v>
      </c>
      <c r="Q30" s="14" t="s">
        <v>20</v>
      </c>
      <c r="R30" s="14" t="s">
        <v>20</v>
      </c>
      <c r="S30" s="14" t="s">
        <v>20</v>
      </c>
      <c r="T30" s="18"/>
      <c r="U30" s="18"/>
      <c r="V30" s="18"/>
      <c r="W30" s="18"/>
      <c r="X30" s="18"/>
      <c r="Y30" s="18"/>
      <c r="Z30" s="14" t="s">
        <v>20</v>
      </c>
      <c r="AA30" s="9">
        <f t="shared" si="0"/>
        <v>8</v>
      </c>
      <c r="AB30" s="10">
        <f t="shared" si="1"/>
        <v>6</v>
      </c>
    </row>
    <row r="31" spans="1:28" ht="15" customHeight="1" x14ac:dyDescent="0.25">
      <c r="A31" s="7">
        <v>25</v>
      </c>
      <c r="B31" s="13" t="s">
        <v>181</v>
      </c>
      <c r="C31" s="4" t="s">
        <v>182</v>
      </c>
      <c r="D31" s="7" t="s">
        <v>170</v>
      </c>
      <c r="E31" s="7" t="s">
        <v>155</v>
      </c>
      <c r="F31" s="7" t="s">
        <v>134</v>
      </c>
      <c r="G31" s="14" t="s">
        <v>20</v>
      </c>
      <c r="H31" s="14" t="s">
        <v>20</v>
      </c>
      <c r="I31" s="14" t="s">
        <v>20</v>
      </c>
      <c r="J31" s="15" t="s">
        <v>21</v>
      </c>
      <c r="K31" s="15" t="s">
        <v>21</v>
      </c>
      <c r="L31" s="15" t="s">
        <v>21</v>
      </c>
      <c r="M31" s="15" t="s">
        <v>21</v>
      </c>
      <c r="N31" s="15" t="s">
        <v>21</v>
      </c>
      <c r="O31" s="14" t="s">
        <v>20</v>
      </c>
      <c r="P31" s="15" t="s">
        <v>21</v>
      </c>
      <c r="Q31" s="14" t="s">
        <v>20</v>
      </c>
      <c r="R31" s="14" t="s">
        <v>20</v>
      </c>
      <c r="S31" s="14" t="s">
        <v>20</v>
      </c>
      <c r="T31" s="16"/>
      <c r="U31" s="16"/>
      <c r="V31" s="16"/>
      <c r="W31" s="16"/>
      <c r="X31" s="16"/>
      <c r="Y31" s="16"/>
      <c r="Z31" s="14" t="s">
        <v>20</v>
      </c>
      <c r="AA31" s="6">
        <f t="shared" si="0"/>
        <v>8</v>
      </c>
      <c r="AB31" s="7">
        <f t="shared" si="1"/>
        <v>6</v>
      </c>
    </row>
    <row r="32" spans="1:28" ht="15" customHeight="1" x14ac:dyDescent="0.25">
      <c r="A32" s="10">
        <v>26</v>
      </c>
      <c r="B32" s="17" t="s">
        <v>183</v>
      </c>
      <c r="C32" s="8" t="s">
        <v>184</v>
      </c>
      <c r="D32" s="10" t="s">
        <v>185</v>
      </c>
      <c r="E32" s="10" t="s">
        <v>133</v>
      </c>
      <c r="F32" s="19" t="s">
        <v>87</v>
      </c>
      <c r="G32" s="14" t="s">
        <v>20</v>
      </c>
      <c r="H32" s="14" t="s">
        <v>20</v>
      </c>
      <c r="I32" s="14" t="s">
        <v>20</v>
      </c>
      <c r="J32" s="14" t="s">
        <v>20</v>
      </c>
      <c r="K32" s="14" t="s">
        <v>20</v>
      </c>
      <c r="L32" s="14" t="s">
        <v>20</v>
      </c>
      <c r="M32" s="14" t="s">
        <v>20</v>
      </c>
      <c r="N32" s="14" t="s">
        <v>20</v>
      </c>
      <c r="O32" s="14" t="s">
        <v>20</v>
      </c>
      <c r="P32" s="14" t="s">
        <v>20</v>
      </c>
      <c r="Q32" s="14" t="s">
        <v>20</v>
      </c>
      <c r="R32" s="14" t="s">
        <v>20</v>
      </c>
      <c r="S32" s="14" t="s">
        <v>20</v>
      </c>
      <c r="T32" s="15" t="s">
        <v>21</v>
      </c>
      <c r="U32" s="14" t="s">
        <v>20</v>
      </c>
      <c r="V32" s="14" t="s">
        <v>20</v>
      </c>
      <c r="W32" s="14" t="s">
        <v>20</v>
      </c>
      <c r="X32" s="14" t="s">
        <v>20</v>
      </c>
      <c r="Y32" s="14" t="s">
        <v>20</v>
      </c>
      <c r="Z32" s="14" t="s">
        <v>20</v>
      </c>
      <c r="AA32" s="9">
        <f t="shared" si="0"/>
        <v>19</v>
      </c>
      <c r="AB32" s="10">
        <f t="shared" si="1"/>
        <v>1</v>
      </c>
    </row>
    <row r="33" spans="1:28" ht="15" customHeight="1" x14ac:dyDescent="0.25">
      <c r="A33" s="7">
        <v>27</v>
      </c>
      <c r="B33" s="13" t="s">
        <v>186</v>
      </c>
      <c r="C33" s="4" t="s">
        <v>187</v>
      </c>
      <c r="D33" s="7" t="s">
        <v>185</v>
      </c>
      <c r="E33" s="7" t="s">
        <v>133</v>
      </c>
      <c r="F33" s="19" t="s">
        <v>87</v>
      </c>
      <c r="G33" s="14" t="s">
        <v>20</v>
      </c>
      <c r="H33" s="14" t="s">
        <v>20</v>
      </c>
      <c r="I33" s="14" t="s">
        <v>20</v>
      </c>
      <c r="J33" s="14" t="s">
        <v>20</v>
      </c>
      <c r="K33" s="14" t="s">
        <v>20</v>
      </c>
      <c r="L33" s="14" t="s">
        <v>20</v>
      </c>
      <c r="M33" s="14" t="s">
        <v>20</v>
      </c>
      <c r="N33" s="14" t="s">
        <v>20</v>
      </c>
      <c r="O33" s="14" t="s">
        <v>20</v>
      </c>
      <c r="P33" s="14" t="s">
        <v>20</v>
      </c>
      <c r="Q33" s="14" t="s">
        <v>20</v>
      </c>
      <c r="R33" s="14" t="s">
        <v>20</v>
      </c>
      <c r="S33" s="14" t="s">
        <v>20</v>
      </c>
      <c r="T33" s="15" t="s">
        <v>21</v>
      </c>
      <c r="U33" s="14" t="s">
        <v>20</v>
      </c>
      <c r="V33" s="14" t="s">
        <v>20</v>
      </c>
      <c r="W33" s="14" t="s">
        <v>20</v>
      </c>
      <c r="X33" s="14" t="s">
        <v>20</v>
      </c>
      <c r="Y33" s="14" t="s">
        <v>20</v>
      </c>
      <c r="Z33" s="14" t="s">
        <v>20</v>
      </c>
      <c r="AA33" s="6">
        <f t="shared" si="0"/>
        <v>19</v>
      </c>
      <c r="AB33" s="7">
        <f t="shared" si="1"/>
        <v>1</v>
      </c>
    </row>
    <row r="34" spans="1:28" ht="15" customHeight="1" x14ac:dyDescent="0.25">
      <c r="A34" s="10">
        <v>28</v>
      </c>
      <c r="B34" s="17" t="s">
        <v>188</v>
      </c>
      <c r="C34" s="8" t="s">
        <v>189</v>
      </c>
      <c r="D34" s="10" t="s">
        <v>185</v>
      </c>
      <c r="E34" s="10" t="s">
        <v>133</v>
      </c>
      <c r="F34" s="19" t="s">
        <v>87</v>
      </c>
      <c r="G34" s="14" t="s">
        <v>20</v>
      </c>
      <c r="H34" s="14" t="s">
        <v>20</v>
      </c>
      <c r="I34" s="14" t="s">
        <v>20</v>
      </c>
      <c r="J34" s="14" t="s">
        <v>20</v>
      </c>
      <c r="K34" s="14" t="s">
        <v>20</v>
      </c>
      <c r="L34" s="14" t="s">
        <v>20</v>
      </c>
      <c r="M34" s="14" t="s">
        <v>20</v>
      </c>
      <c r="N34" s="14" t="s">
        <v>20</v>
      </c>
      <c r="O34" s="14" t="s">
        <v>20</v>
      </c>
      <c r="P34" s="14" t="s">
        <v>20</v>
      </c>
      <c r="Q34" s="14" t="s">
        <v>20</v>
      </c>
      <c r="R34" s="14" t="s">
        <v>20</v>
      </c>
      <c r="S34" s="14" t="s">
        <v>20</v>
      </c>
      <c r="T34" s="15" t="s">
        <v>21</v>
      </c>
      <c r="U34" s="14" t="s">
        <v>20</v>
      </c>
      <c r="V34" s="14" t="s">
        <v>20</v>
      </c>
      <c r="W34" s="14" t="s">
        <v>20</v>
      </c>
      <c r="X34" s="14" t="s">
        <v>20</v>
      </c>
      <c r="Y34" s="14" t="s">
        <v>20</v>
      </c>
      <c r="Z34" s="14" t="s">
        <v>20</v>
      </c>
      <c r="AA34" s="9">
        <f t="shared" si="0"/>
        <v>19</v>
      </c>
      <c r="AB34" s="10">
        <f t="shared" si="1"/>
        <v>1</v>
      </c>
    </row>
    <row r="35" spans="1:28" ht="15" customHeight="1" x14ac:dyDescent="0.25">
      <c r="A35" s="7">
        <v>29</v>
      </c>
      <c r="B35" s="13" t="s">
        <v>190</v>
      </c>
      <c r="C35" s="4" t="s">
        <v>191</v>
      </c>
      <c r="D35" s="7" t="s">
        <v>192</v>
      </c>
      <c r="E35" s="7" t="s">
        <v>133</v>
      </c>
      <c r="F35" s="20" t="s">
        <v>193</v>
      </c>
      <c r="G35" s="14" t="s">
        <v>20</v>
      </c>
      <c r="H35" s="14" t="s">
        <v>20</v>
      </c>
      <c r="I35" s="14" t="s">
        <v>20</v>
      </c>
      <c r="J35" s="14" t="s">
        <v>20</v>
      </c>
      <c r="K35" s="15" t="s">
        <v>21</v>
      </c>
      <c r="L35" s="14" t="s">
        <v>20</v>
      </c>
      <c r="M35" s="14" t="s">
        <v>20</v>
      </c>
      <c r="N35" s="14" t="s">
        <v>20</v>
      </c>
      <c r="O35" s="14" t="s">
        <v>20</v>
      </c>
      <c r="P35" s="14" t="s">
        <v>20</v>
      </c>
      <c r="Q35" s="15" t="s">
        <v>21</v>
      </c>
      <c r="R35" s="14" t="s">
        <v>20</v>
      </c>
      <c r="S35" s="14" t="s">
        <v>20</v>
      </c>
      <c r="T35" s="14" t="s">
        <v>20</v>
      </c>
      <c r="U35" s="16"/>
      <c r="V35" s="15" t="s">
        <v>21</v>
      </c>
      <c r="W35" s="15" t="s">
        <v>21</v>
      </c>
      <c r="X35" s="16"/>
      <c r="Y35" s="15" t="s">
        <v>21</v>
      </c>
      <c r="Z35" s="14" t="s">
        <v>20</v>
      </c>
      <c r="AA35" s="6">
        <f t="shared" si="0"/>
        <v>13</v>
      </c>
      <c r="AB35" s="7">
        <f t="shared" si="1"/>
        <v>5</v>
      </c>
    </row>
    <row r="36" spans="1:28" ht="15" customHeight="1" x14ac:dyDescent="0.25">
      <c r="A36" s="10">
        <v>30</v>
      </c>
      <c r="B36" s="17" t="s">
        <v>194</v>
      </c>
      <c r="C36" s="8" t="s">
        <v>195</v>
      </c>
      <c r="D36" s="10" t="s">
        <v>192</v>
      </c>
      <c r="E36" s="10" t="s">
        <v>133</v>
      </c>
      <c r="F36" s="19" t="s">
        <v>87</v>
      </c>
      <c r="G36" s="14" t="s">
        <v>20</v>
      </c>
      <c r="H36" s="14" t="s">
        <v>20</v>
      </c>
      <c r="I36" s="14" t="s">
        <v>20</v>
      </c>
      <c r="J36" s="14" t="s">
        <v>20</v>
      </c>
      <c r="K36" s="14" t="s">
        <v>20</v>
      </c>
      <c r="L36" s="14" t="s">
        <v>20</v>
      </c>
      <c r="M36" s="14" t="s">
        <v>20</v>
      </c>
      <c r="N36" s="14" t="s">
        <v>20</v>
      </c>
      <c r="O36" s="14" t="s">
        <v>20</v>
      </c>
      <c r="P36" s="14" t="s">
        <v>20</v>
      </c>
      <c r="Q36" s="14" t="s">
        <v>20</v>
      </c>
      <c r="R36" s="14" t="s">
        <v>20</v>
      </c>
      <c r="S36" s="14" t="s">
        <v>20</v>
      </c>
      <c r="T36" s="15" t="s">
        <v>21</v>
      </c>
      <c r="U36" s="14" t="s">
        <v>20</v>
      </c>
      <c r="V36" s="14" t="s">
        <v>20</v>
      </c>
      <c r="W36" s="14" t="s">
        <v>20</v>
      </c>
      <c r="X36" s="14" t="s">
        <v>20</v>
      </c>
      <c r="Y36" s="14" t="s">
        <v>20</v>
      </c>
      <c r="Z36" s="14" t="s">
        <v>20</v>
      </c>
      <c r="AA36" s="9">
        <f t="shared" si="0"/>
        <v>19</v>
      </c>
      <c r="AB36" s="10">
        <f t="shared" si="1"/>
        <v>1</v>
      </c>
    </row>
    <row r="37" spans="1:28" ht="15" customHeight="1" x14ac:dyDescent="0.25">
      <c r="A37" s="7">
        <v>31</v>
      </c>
      <c r="B37" s="13" t="s">
        <v>196</v>
      </c>
      <c r="C37" s="4" t="s">
        <v>191</v>
      </c>
      <c r="D37" s="7" t="s">
        <v>192</v>
      </c>
      <c r="E37" s="7" t="s">
        <v>133</v>
      </c>
      <c r="F37" s="20" t="s">
        <v>193</v>
      </c>
      <c r="G37" s="14" t="s">
        <v>20</v>
      </c>
      <c r="H37" s="14" t="s">
        <v>20</v>
      </c>
      <c r="I37" s="14" t="s">
        <v>20</v>
      </c>
      <c r="J37" s="14" t="s">
        <v>20</v>
      </c>
      <c r="K37" s="15" t="s">
        <v>21</v>
      </c>
      <c r="L37" s="14" t="s">
        <v>20</v>
      </c>
      <c r="M37" s="14" t="s">
        <v>20</v>
      </c>
      <c r="N37" s="14" t="s">
        <v>20</v>
      </c>
      <c r="O37" s="14" t="s">
        <v>20</v>
      </c>
      <c r="P37" s="14" t="s">
        <v>20</v>
      </c>
      <c r="Q37" s="15" t="s">
        <v>21</v>
      </c>
      <c r="R37" s="14" t="s">
        <v>20</v>
      </c>
      <c r="S37" s="14" t="s">
        <v>20</v>
      </c>
      <c r="T37" s="14" t="s">
        <v>20</v>
      </c>
      <c r="U37" s="16"/>
      <c r="V37" s="15" t="s">
        <v>21</v>
      </c>
      <c r="W37" s="15" t="s">
        <v>21</v>
      </c>
      <c r="X37" s="16"/>
      <c r="Y37" s="15" t="s">
        <v>21</v>
      </c>
      <c r="Z37" s="14" t="s">
        <v>20</v>
      </c>
      <c r="AA37" s="6">
        <f t="shared" si="0"/>
        <v>13</v>
      </c>
      <c r="AB37" s="7">
        <f t="shared" si="1"/>
        <v>5</v>
      </c>
    </row>
    <row r="38" spans="1:28" ht="15" customHeight="1" x14ac:dyDescent="0.25">
      <c r="A38" s="10">
        <v>32</v>
      </c>
      <c r="B38" s="17" t="s">
        <v>197</v>
      </c>
      <c r="C38" s="8" t="s">
        <v>191</v>
      </c>
      <c r="D38" s="10" t="s">
        <v>192</v>
      </c>
      <c r="E38" s="10" t="s">
        <v>133</v>
      </c>
      <c r="F38" s="20" t="s">
        <v>193</v>
      </c>
      <c r="G38" s="14" t="s">
        <v>20</v>
      </c>
      <c r="H38" s="14" t="s">
        <v>20</v>
      </c>
      <c r="I38" s="14" t="s">
        <v>20</v>
      </c>
      <c r="J38" s="14" t="s">
        <v>20</v>
      </c>
      <c r="K38" s="15" t="s">
        <v>21</v>
      </c>
      <c r="L38" s="14" t="s">
        <v>20</v>
      </c>
      <c r="M38" s="14" t="s">
        <v>20</v>
      </c>
      <c r="N38" s="14" t="s">
        <v>20</v>
      </c>
      <c r="O38" s="14" t="s">
        <v>20</v>
      </c>
      <c r="P38" s="14" t="s">
        <v>20</v>
      </c>
      <c r="Q38" s="15" t="s">
        <v>21</v>
      </c>
      <c r="R38" s="14" t="s">
        <v>20</v>
      </c>
      <c r="S38" s="14" t="s">
        <v>20</v>
      </c>
      <c r="T38" s="14" t="s">
        <v>20</v>
      </c>
      <c r="U38" s="18"/>
      <c r="V38" s="15" t="s">
        <v>21</v>
      </c>
      <c r="W38" s="15" t="s">
        <v>21</v>
      </c>
      <c r="X38" s="18"/>
      <c r="Y38" s="15" t="s">
        <v>21</v>
      </c>
      <c r="Z38" s="14" t="s">
        <v>20</v>
      </c>
      <c r="AA38" s="9">
        <f t="shared" si="0"/>
        <v>13</v>
      </c>
      <c r="AB38" s="10">
        <f t="shared" si="1"/>
        <v>5</v>
      </c>
    </row>
    <row r="39" spans="1:28" ht="15" customHeight="1" x14ac:dyDescent="0.25">
      <c r="A39" s="7">
        <v>33</v>
      </c>
      <c r="B39" s="13" t="s">
        <v>198</v>
      </c>
      <c r="C39" s="4" t="s">
        <v>191</v>
      </c>
      <c r="D39" s="7" t="s">
        <v>192</v>
      </c>
      <c r="E39" s="7" t="s">
        <v>133</v>
      </c>
      <c r="F39" s="20" t="s">
        <v>193</v>
      </c>
      <c r="G39" s="14" t="s">
        <v>20</v>
      </c>
      <c r="H39" s="14" t="s">
        <v>20</v>
      </c>
      <c r="I39" s="14" t="s">
        <v>20</v>
      </c>
      <c r="J39" s="14" t="s">
        <v>20</v>
      </c>
      <c r="K39" s="15" t="s">
        <v>21</v>
      </c>
      <c r="L39" s="14" t="s">
        <v>20</v>
      </c>
      <c r="M39" s="14" t="s">
        <v>20</v>
      </c>
      <c r="N39" s="14" t="s">
        <v>20</v>
      </c>
      <c r="O39" s="14" t="s">
        <v>20</v>
      </c>
      <c r="P39" s="14" t="s">
        <v>20</v>
      </c>
      <c r="Q39" s="15" t="s">
        <v>21</v>
      </c>
      <c r="R39" s="14" t="s">
        <v>20</v>
      </c>
      <c r="S39" s="14" t="s">
        <v>20</v>
      </c>
      <c r="T39" s="14" t="s">
        <v>20</v>
      </c>
      <c r="U39" s="16"/>
      <c r="V39" s="15" t="s">
        <v>21</v>
      </c>
      <c r="W39" s="15" t="s">
        <v>21</v>
      </c>
      <c r="X39" s="16"/>
      <c r="Y39" s="15" t="s">
        <v>21</v>
      </c>
      <c r="Z39" s="14" t="s">
        <v>20</v>
      </c>
      <c r="AA39" s="6">
        <f t="shared" si="0"/>
        <v>13</v>
      </c>
      <c r="AB39" s="7">
        <f t="shared" si="1"/>
        <v>5</v>
      </c>
    </row>
    <row r="40" spans="1:28" ht="15" customHeight="1" x14ac:dyDescent="0.25">
      <c r="A40" s="10">
        <v>34</v>
      </c>
      <c r="B40" s="17" t="s">
        <v>199</v>
      </c>
      <c r="C40" s="8" t="s">
        <v>200</v>
      </c>
      <c r="D40" s="10" t="s">
        <v>192</v>
      </c>
      <c r="E40" s="10" t="s">
        <v>133</v>
      </c>
      <c r="F40" s="19" t="s">
        <v>87</v>
      </c>
      <c r="G40" s="14" t="s">
        <v>20</v>
      </c>
      <c r="H40" s="14" t="s">
        <v>20</v>
      </c>
      <c r="I40" s="14" t="s">
        <v>20</v>
      </c>
      <c r="J40" s="14" t="s">
        <v>20</v>
      </c>
      <c r="K40" s="14" t="s">
        <v>20</v>
      </c>
      <c r="L40" s="14" t="s">
        <v>20</v>
      </c>
      <c r="M40" s="14" t="s">
        <v>20</v>
      </c>
      <c r="N40" s="14" t="s">
        <v>20</v>
      </c>
      <c r="O40" s="14" t="s">
        <v>20</v>
      </c>
      <c r="P40" s="14" t="s">
        <v>20</v>
      </c>
      <c r="Q40" s="14" t="s">
        <v>20</v>
      </c>
      <c r="R40" s="14" t="s">
        <v>20</v>
      </c>
      <c r="S40" s="14" t="s">
        <v>20</v>
      </c>
      <c r="T40" s="15" t="s">
        <v>21</v>
      </c>
      <c r="U40" s="14" t="s">
        <v>20</v>
      </c>
      <c r="V40" s="14" t="s">
        <v>20</v>
      </c>
      <c r="W40" s="14" t="s">
        <v>20</v>
      </c>
      <c r="X40" s="14" t="s">
        <v>20</v>
      </c>
      <c r="Y40" s="14" t="s">
        <v>20</v>
      </c>
      <c r="Z40" s="14" t="s">
        <v>20</v>
      </c>
      <c r="AA40" s="9">
        <f t="shared" si="0"/>
        <v>19</v>
      </c>
      <c r="AB40" s="10">
        <f t="shared" si="1"/>
        <v>1</v>
      </c>
    </row>
    <row r="41" spans="1:28" ht="15" customHeight="1" x14ac:dyDescent="0.25">
      <c r="A41" s="7">
        <v>35</v>
      </c>
      <c r="B41" s="13" t="s">
        <v>201</v>
      </c>
      <c r="C41" s="4" t="s">
        <v>191</v>
      </c>
      <c r="D41" s="7" t="s">
        <v>192</v>
      </c>
      <c r="E41" s="7" t="s">
        <v>133</v>
      </c>
      <c r="F41" s="20" t="s">
        <v>193</v>
      </c>
      <c r="G41" s="14" t="s">
        <v>20</v>
      </c>
      <c r="H41" s="14" t="s">
        <v>20</v>
      </c>
      <c r="I41" s="14" t="s">
        <v>20</v>
      </c>
      <c r="J41" s="14" t="s">
        <v>20</v>
      </c>
      <c r="K41" s="15" t="s">
        <v>21</v>
      </c>
      <c r="L41" s="14" t="s">
        <v>20</v>
      </c>
      <c r="M41" s="14" t="s">
        <v>20</v>
      </c>
      <c r="N41" s="14" t="s">
        <v>20</v>
      </c>
      <c r="O41" s="14" t="s">
        <v>20</v>
      </c>
      <c r="P41" s="14" t="s">
        <v>20</v>
      </c>
      <c r="Q41" s="15" t="s">
        <v>21</v>
      </c>
      <c r="R41" s="14" t="s">
        <v>20</v>
      </c>
      <c r="S41" s="14" t="s">
        <v>20</v>
      </c>
      <c r="T41" s="14" t="s">
        <v>20</v>
      </c>
      <c r="U41" s="16"/>
      <c r="V41" s="15" t="s">
        <v>21</v>
      </c>
      <c r="W41" s="15" t="s">
        <v>21</v>
      </c>
      <c r="X41" s="16"/>
      <c r="Y41" s="15" t="s">
        <v>21</v>
      </c>
      <c r="Z41" s="14" t="s">
        <v>20</v>
      </c>
      <c r="AA41" s="6">
        <f t="shared" si="0"/>
        <v>13</v>
      </c>
      <c r="AB41" s="7">
        <f t="shared" si="1"/>
        <v>5</v>
      </c>
    </row>
    <row r="42" spans="1:28" ht="15" customHeight="1" x14ac:dyDescent="0.25">
      <c r="A42" s="10">
        <v>36</v>
      </c>
      <c r="B42" s="17" t="s">
        <v>202</v>
      </c>
      <c r="C42" s="8" t="s">
        <v>203</v>
      </c>
      <c r="D42" s="10" t="s">
        <v>192</v>
      </c>
      <c r="E42" s="10" t="s">
        <v>204</v>
      </c>
      <c r="F42" s="19" t="s">
        <v>87</v>
      </c>
      <c r="G42" s="14" t="s">
        <v>20</v>
      </c>
      <c r="H42" s="14" t="s">
        <v>20</v>
      </c>
      <c r="I42" s="14" t="s">
        <v>20</v>
      </c>
      <c r="J42" s="14" t="s">
        <v>20</v>
      </c>
      <c r="K42" s="14" t="s">
        <v>20</v>
      </c>
      <c r="L42" s="14" t="s">
        <v>20</v>
      </c>
      <c r="M42" s="14" t="s">
        <v>20</v>
      </c>
      <c r="N42" s="14" t="s">
        <v>20</v>
      </c>
      <c r="O42" s="14" t="s">
        <v>20</v>
      </c>
      <c r="P42" s="14" t="s">
        <v>20</v>
      </c>
      <c r="Q42" s="14" t="s">
        <v>20</v>
      </c>
      <c r="R42" s="14" t="s">
        <v>20</v>
      </c>
      <c r="S42" s="14" t="s">
        <v>20</v>
      </c>
      <c r="T42" s="15" t="s">
        <v>21</v>
      </c>
      <c r="U42" s="14" t="s">
        <v>20</v>
      </c>
      <c r="V42" s="14" t="s">
        <v>20</v>
      </c>
      <c r="W42" s="14" t="s">
        <v>20</v>
      </c>
      <c r="X42" s="14" t="s">
        <v>20</v>
      </c>
      <c r="Y42" s="14" t="s">
        <v>20</v>
      </c>
      <c r="Z42" s="14" t="s">
        <v>20</v>
      </c>
      <c r="AA42" s="9">
        <f t="shared" si="0"/>
        <v>19</v>
      </c>
      <c r="AB42" s="10">
        <f t="shared" si="1"/>
        <v>1</v>
      </c>
    </row>
    <row r="43" spans="1:28" ht="15" customHeight="1" x14ac:dyDescent="0.25">
      <c r="A43" s="7">
        <v>37</v>
      </c>
      <c r="B43" s="13" t="s">
        <v>205</v>
      </c>
      <c r="C43" s="4" t="s">
        <v>200</v>
      </c>
      <c r="D43" s="7" t="s">
        <v>192</v>
      </c>
      <c r="E43" s="7" t="s">
        <v>133</v>
      </c>
      <c r="F43" s="19" t="s">
        <v>87</v>
      </c>
      <c r="G43" s="14" t="s">
        <v>20</v>
      </c>
      <c r="H43" s="14" t="s">
        <v>20</v>
      </c>
      <c r="I43" s="14" t="s">
        <v>20</v>
      </c>
      <c r="J43" s="14" t="s">
        <v>20</v>
      </c>
      <c r="K43" s="14" t="s">
        <v>20</v>
      </c>
      <c r="L43" s="14" t="s">
        <v>20</v>
      </c>
      <c r="M43" s="14" t="s">
        <v>20</v>
      </c>
      <c r="N43" s="14" t="s">
        <v>20</v>
      </c>
      <c r="O43" s="14" t="s">
        <v>20</v>
      </c>
      <c r="P43" s="14" t="s">
        <v>20</v>
      </c>
      <c r="Q43" s="14" t="s">
        <v>20</v>
      </c>
      <c r="R43" s="14" t="s">
        <v>20</v>
      </c>
      <c r="S43" s="14" t="s">
        <v>20</v>
      </c>
      <c r="T43" s="15" t="s">
        <v>21</v>
      </c>
      <c r="U43" s="14" t="s">
        <v>20</v>
      </c>
      <c r="V43" s="14" t="s">
        <v>20</v>
      </c>
      <c r="W43" s="14" t="s">
        <v>20</v>
      </c>
      <c r="X43" s="14" t="s">
        <v>20</v>
      </c>
      <c r="Y43" s="14" t="s">
        <v>20</v>
      </c>
      <c r="Z43" s="14" t="s">
        <v>20</v>
      </c>
      <c r="AA43" s="6">
        <f t="shared" si="0"/>
        <v>19</v>
      </c>
      <c r="AB43" s="7">
        <f t="shared" si="1"/>
        <v>1</v>
      </c>
    </row>
    <row r="44" spans="1:28" ht="15" customHeight="1" x14ac:dyDescent="0.25">
      <c r="A44" s="10">
        <v>38</v>
      </c>
      <c r="B44" s="17" t="s">
        <v>206</v>
      </c>
      <c r="C44" s="8" t="s">
        <v>191</v>
      </c>
      <c r="D44" s="10" t="s">
        <v>192</v>
      </c>
      <c r="E44" s="10" t="s">
        <v>133</v>
      </c>
      <c r="F44" s="20" t="s">
        <v>193</v>
      </c>
      <c r="G44" s="14" t="s">
        <v>20</v>
      </c>
      <c r="H44" s="14" t="s">
        <v>20</v>
      </c>
      <c r="I44" s="14" t="s">
        <v>20</v>
      </c>
      <c r="J44" s="14" t="s">
        <v>20</v>
      </c>
      <c r="K44" s="15" t="s">
        <v>21</v>
      </c>
      <c r="L44" s="14" t="s">
        <v>20</v>
      </c>
      <c r="M44" s="14" t="s">
        <v>20</v>
      </c>
      <c r="N44" s="14" t="s">
        <v>20</v>
      </c>
      <c r="O44" s="14" t="s">
        <v>20</v>
      </c>
      <c r="P44" s="14" t="s">
        <v>20</v>
      </c>
      <c r="Q44" s="15" t="s">
        <v>21</v>
      </c>
      <c r="R44" s="14" t="s">
        <v>20</v>
      </c>
      <c r="S44" s="14" t="s">
        <v>20</v>
      </c>
      <c r="T44" s="14" t="s">
        <v>20</v>
      </c>
      <c r="U44" s="18"/>
      <c r="V44" s="15" t="s">
        <v>21</v>
      </c>
      <c r="W44" s="15" t="s">
        <v>21</v>
      </c>
      <c r="X44" s="18"/>
      <c r="Y44" s="15" t="s">
        <v>21</v>
      </c>
      <c r="Z44" s="14" t="s">
        <v>20</v>
      </c>
      <c r="AA44" s="9">
        <f t="shared" si="0"/>
        <v>13</v>
      </c>
      <c r="AB44" s="10">
        <f t="shared" si="1"/>
        <v>5</v>
      </c>
    </row>
    <row r="45" spans="1:28" ht="15" customHeight="1" x14ac:dyDescent="0.25">
      <c r="A45" s="7">
        <v>39</v>
      </c>
      <c r="B45" s="13" t="s">
        <v>207</v>
      </c>
      <c r="C45" s="4" t="s">
        <v>191</v>
      </c>
      <c r="D45" s="7" t="s">
        <v>192</v>
      </c>
      <c r="E45" s="7" t="s">
        <v>133</v>
      </c>
      <c r="F45" s="20" t="s">
        <v>193</v>
      </c>
      <c r="G45" s="14" t="s">
        <v>20</v>
      </c>
      <c r="H45" s="14" t="s">
        <v>20</v>
      </c>
      <c r="I45" s="14" t="s">
        <v>20</v>
      </c>
      <c r="J45" s="14" t="s">
        <v>20</v>
      </c>
      <c r="K45" s="15" t="s">
        <v>21</v>
      </c>
      <c r="L45" s="14" t="s">
        <v>20</v>
      </c>
      <c r="M45" s="14" t="s">
        <v>20</v>
      </c>
      <c r="N45" s="14" t="s">
        <v>20</v>
      </c>
      <c r="O45" s="14" t="s">
        <v>20</v>
      </c>
      <c r="P45" s="14" t="s">
        <v>20</v>
      </c>
      <c r="Q45" s="15" t="s">
        <v>21</v>
      </c>
      <c r="R45" s="14" t="s">
        <v>20</v>
      </c>
      <c r="S45" s="14" t="s">
        <v>20</v>
      </c>
      <c r="T45" s="14" t="s">
        <v>20</v>
      </c>
      <c r="U45" s="16"/>
      <c r="V45" s="15" t="s">
        <v>21</v>
      </c>
      <c r="W45" s="15" t="s">
        <v>21</v>
      </c>
      <c r="X45" s="16"/>
      <c r="Y45" s="15" t="s">
        <v>21</v>
      </c>
      <c r="Z45" s="14" t="s">
        <v>20</v>
      </c>
      <c r="AA45" s="6">
        <f t="shared" si="0"/>
        <v>13</v>
      </c>
      <c r="AB45" s="7">
        <f t="shared" si="1"/>
        <v>5</v>
      </c>
    </row>
    <row r="46" spans="1:28" ht="15" customHeight="1" x14ac:dyDescent="0.25">
      <c r="A46" s="10">
        <v>40</v>
      </c>
      <c r="B46" s="17" t="s">
        <v>208</v>
      </c>
      <c r="C46" s="8" t="s">
        <v>209</v>
      </c>
      <c r="D46" s="10" t="s">
        <v>210</v>
      </c>
      <c r="E46" s="10" t="s">
        <v>140</v>
      </c>
      <c r="F46" s="10" t="s">
        <v>134</v>
      </c>
      <c r="G46" s="14" t="s">
        <v>20</v>
      </c>
      <c r="H46" s="14" t="s">
        <v>20</v>
      </c>
      <c r="I46" s="14" t="s">
        <v>20</v>
      </c>
      <c r="J46" s="15" t="s">
        <v>21</v>
      </c>
      <c r="K46" s="15" t="s">
        <v>21</v>
      </c>
      <c r="L46" s="15" t="s">
        <v>21</v>
      </c>
      <c r="M46" s="15" t="s">
        <v>21</v>
      </c>
      <c r="N46" s="15" t="s">
        <v>21</v>
      </c>
      <c r="O46" s="14" t="s">
        <v>20</v>
      </c>
      <c r="P46" s="15" t="s">
        <v>21</v>
      </c>
      <c r="Q46" s="14" t="s">
        <v>20</v>
      </c>
      <c r="R46" s="14" t="s">
        <v>20</v>
      </c>
      <c r="S46" s="14" t="s">
        <v>20</v>
      </c>
      <c r="T46" s="18"/>
      <c r="U46" s="18"/>
      <c r="V46" s="18"/>
      <c r="W46" s="18"/>
      <c r="X46" s="18"/>
      <c r="Y46" s="18"/>
      <c r="Z46" s="14" t="s">
        <v>20</v>
      </c>
      <c r="AA46" s="9">
        <f t="shared" si="0"/>
        <v>8</v>
      </c>
      <c r="AB46" s="10">
        <f t="shared" si="1"/>
        <v>6</v>
      </c>
    </row>
    <row r="47" spans="1:28" ht="15" customHeight="1" x14ac:dyDescent="0.25">
      <c r="A47" s="7">
        <v>41</v>
      </c>
      <c r="B47" s="13" t="s">
        <v>211</v>
      </c>
      <c r="C47" s="4" t="s">
        <v>212</v>
      </c>
      <c r="D47" s="7" t="s">
        <v>213</v>
      </c>
      <c r="E47" s="7" t="s">
        <v>133</v>
      </c>
      <c r="F47" s="20" t="s">
        <v>193</v>
      </c>
      <c r="G47" s="14" t="s">
        <v>20</v>
      </c>
      <c r="H47" s="14" t="s">
        <v>20</v>
      </c>
      <c r="I47" s="14" t="s">
        <v>20</v>
      </c>
      <c r="J47" s="14" t="s">
        <v>20</v>
      </c>
      <c r="K47" s="15" t="s">
        <v>21</v>
      </c>
      <c r="L47" s="14" t="s">
        <v>20</v>
      </c>
      <c r="M47" s="14" t="s">
        <v>20</v>
      </c>
      <c r="N47" s="14" t="s">
        <v>20</v>
      </c>
      <c r="O47" s="14" t="s">
        <v>20</v>
      </c>
      <c r="P47" s="14" t="s">
        <v>20</v>
      </c>
      <c r="Q47" s="15" t="s">
        <v>21</v>
      </c>
      <c r="R47" s="14" t="s">
        <v>20</v>
      </c>
      <c r="S47" s="14" t="s">
        <v>20</v>
      </c>
      <c r="T47" s="14" t="s">
        <v>20</v>
      </c>
      <c r="U47" s="16"/>
      <c r="V47" s="15" t="s">
        <v>21</v>
      </c>
      <c r="W47" s="15" t="s">
        <v>21</v>
      </c>
      <c r="X47" s="16"/>
      <c r="Y47" s="15" t="s">
        <v>21</v>
      </c>
      <c r="Z47" s="14" t="s">
        <v>20</v>
      </c>
      <c r="AA47" s="6">
        <f t="shared" si="0"/>
        <v>13</v>
      </c>
      <c r="AB47" s="7">
        <f t="shared" si="1"/>
        <v>5</v>
      </c>
    </row>
    <row r="49" spans="2:26" ht="15" customHeight="1" x14ac:dyDescent="0.25">
      <c r="B49" s="21" t="s">
        <v>214</v>
      </c>
      <c r="G49" s="22">
        <f t="shared" ref="G49:Z49" si="2">COUNTIF(G7:G47,"M")</f>
        <v>41</v>
      </c>
      <c r="H49" s="22">
        <f t="shared" si="2"/>
        <v>41</v>
      </c>
      <c r="I49" s="22">
        <f t="shared" si="2"/>
        <v>41</v>
      </c>
      <c r="J49" s="22">
        <f t="shared" si="2"/>
        <v>18</v>
      </c>
      <c r="K49" s="22">
        <f t="shared" si="2"/>
        <v>10</v>
      </c>
      <c r="L49" s="22">
        <f t="shared" si="2"/>
        <v>18</v>
      </c>
      <c r="M49" s="22">
        <f t="shared" si="2"/>
        <v>18</v>
      </c>
      <c r="N49" s="22">
        <f t="shared" si="2"/>
        <v>18</v>
      </c>
      <c r="O49" s="22">
        <f t="shared" si="2"/>
        <v>41</v>
      </c>
      <c r="P49" s="22">
        <f t="shared" si="2"/>
        <v>18</v>
      </c>
      <c r="Q49" s="22">
        <f t="shared" si="2"/>
        <v>33</v>
      </c>
      <c r="R49" s="22">
        <f t="shared" si="2"/>
        <v>41</v>
      </c>
      <c r="S49" s="22">
        <f t="shared" si="2"/>
        <v>41</v>
      </c>
      <c r="T49" s="22">
        <f t="shared" si="2"/>
        <v>8</v>
      </c>
      <c r="U49" s="22">
        <f t="shared" si="2"/>
        <v>10</v>
      </c>
      <c r="V49" s="22">
        <f t="shared" si="2"/>
        <v>10</v>
      </c>
      <c r="W49" s="22">
        <f t="shared" si="2"/>
        <v>10</v>
      </c>
      <c r="X49" s="22">
        <f t="shared" si="2"/>
        <v>10</v>
      </c>
      <c r="Y49" s="22">
        <f t="shared" si="2"/>
        <v>10</v>
      </c>
      <c r="Z49" s="22">
        <f t="shared" si="2"/>
        <v>41</v>
      </c>
    </row>
  </sheetData>
  <mergeCells count="3">
    <mergeCell ref="A1:Z1"/>
    <mergeCell ref="A4:Z4"/>
    <mergeCell ref="A3:Z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showGridLines="0" zoomScaleNormal="100" workbookViewId="0">
      <selection sqref="A1:G1"/>
    </sheetView>
  </sheetViews>
  <sheetFormatPr defaultColWidth="8.7109375" defaultRowHeight="15" x14ac:dyDescent="0.25"/>
  <cols>
    <col min="1" max="1" width="5" customWidth="1"/>
    <col min="2" max="2" width="38" customWidth="1"/>
    <col min="3" max="3" width="25" customWidth="1"/>
    <col min="4" max="4" width="22" customWidth="1"/>
    <col min="5" max="5" width="24" customWidth="1"/>
    <col min="6" max="6" width="14" customWidth="1"/>
    <col min="7" max="7" width="45" customWidth="1"/>
  </cols>
  <sheetData>
    <row r="1" spans="1:7" ht="30" customHeight="1" x14ac:dyDescent="0.4">
      <c r="A1" s="26" t="s">
        <v>215</v>
      </c>
      <c r="B1" s="25"/>
      <c r="C1" s="25"/>
      <c r="D1" s="25"/>
      <c r="E1" s="25"/>
      <c r="F1" s="25"/>
      <c r="G1" s="25"/>
    </row>
    <row r="2" spans="1:7" ht="4.5" customHeight="1" x14ac:dyDescent="0.25"/>
    <row r="3" spans="1:7" ht="15" customHeight="1" x14ac:dyDescent="0.25">
      <c r="A3" s="24" t="s">
        <v>216</v>
      </c>
      <c r="B3" s="25"/>
      <c r="C3" s="25"/>
      <c r="D3" s="25"/>
      <c r="E3" s="25"/>
      <c r="F3" s="25"/>
      <c r="G3" s="25"/>
    </row>
    <row r="5" spans="1:7" ht="15" customHeight="1" x14ac:dyDescent="0.25">
      <c r="A5" s="3" t="s">
        <v>3</v>
      </c>
      <c r="B5" s="3" t="s">
        <v>4</v>
      </c>
      <c r="C5" s="3" t="s">
        <v>5</v>
      </c>
      <c r="D5" s="3" t="s">
        <v>6</v>
      </c>
      <c r="E5" s="3" t="s">
        <v>7</v>
      </c>
      <c r="F5" s="3" t="s">
        <v>8</v>
      </c>
      <c r="G5" s="3" t="s">
        <v>217</v>
      </c>
    </row>
    <row r="6" spans="1:7" ht="21.75" customHeight="1" x14ac:dyDescent="0.25">
      <c r="A6" s="4" t="s">
        <v>14</v>
      </c>
      <c r="B6" s="4" t="s">
        <v>15</v>
      </c>
      <c r="C6" s="4" t="s">
        <v>16</v>
      </c>
      <c r="D6" s="4" t="s">
        <v>17</v>
      </c>
      <c r="E6" s="4" t="s">
        <v>18</v>
      </c>
      <c r="F6" s="4" t="s">
        <v>19</v>
      </c>
      <c r="G6" s="4" t="s">
        <v>218</v>
      </c>
    </row>
    <row r="7" spans="1:7" ht="21.75" customHeight="1" x14ac:dyDescent="0.25">
      <c r="A7" s="4" t="s">
        <v>22</v>
      </c>
      <c r="B7" s="4" t="s">
        <v>23</v>
      </c>
      <c r="C7" s="4" t="s">
        <v>24</v>
      </c>
      <c r="D7" s="4" t="s">
        <v>17</v>
      </c>
      <c r="E7" s="4" t="s">
        <v>19</v>
      </c>
      <c r="F7" s="4" t="s">
        <v>19</v>
      </c>
      <c r="G7" s="4" t="s">
        <v>219</v>
      </c>
    </row>
    <row r="8" spans="1:7" ht="21.75" customHeight="1" x14ac:dyDescent="0.25">
      <c r="A8" s="4" t="s">
        <v>25</v>
      </c>
      <c r="B8" s="4" t="s">
        <v>26</v>
      </c>
      <c r="C8" s="4" t="s">
        <v>27</v>
      </c>
      <c r="D8" s="4" t="s">
        <v>17</v>
      </c>
      <c r="E8" s="4" t="s">
        <v>28</v>
      </c>
      <c r="F8" s="4" t="s">
        <v>29</v>
      </c>
      <c r="G8" s="4" t="s">
        <v>220</v>
      </c>
    </row>
    <row r="9" spans="1:7" ht="21.75" customHeight="1" x14ac:dyDescent="0.25">
      <c r="A9" s="4" t="s">
        <v>30</v>
      </c>
      <c r="B9" s="4" t="s">
        <v>31</v>
      </c>
      <c r="C9" s="4" t="s">
        <v>32</v>
      </c>
      <c r="D9" s="4" t="s">
        <v>17</v>
      </c>
      <c r="E9" s="4" t="s">
        <v>18</v>
      </c>
      <c r="F9" s="4" t="s">
        <v>29</v>
      </c>
      <c r="G9" s="4" t="s">
        <v>221</v>
      </c>
    </row>
    <row r="10" spans="1:7" ht="21.75" customHeight="1" x14ac:dyDescent="0.25">
      <c r="A10" s="8" t="s">
        <v>33</v>
      </c>
      <c r="B10" s="8" t="s">
        <v>34</v>
      </c>
      <c r="C10" s="8" t="s">
        <v>35</v>
      </c>
      <c r="D10" s="8" t="s">
        <v>36</v>
      </c>
      <c r="E10" s="8" t="s">
        <v>37</v>
      </c>
      <c r="F10" s="8" t="s">
        <v>38</v>
      </c>
      <c r="G10" s="8" t="s">
        <v>222</v>
      </c>
    </row>
    <row r="11" spans="1:7" ht="21.75" customHeight="1" x14ac:dyDescent="0.25">
      <c r="A11" s="4" t="s">
        <v>39</v>
      </c>
      <c r="B11" s="4" t="s">
        <v>40</v>
      </c>
      <c r="C11" s="4" t="s">
        <v>41</v>
      </c>
      <c r="D11" s="4" t="s">
        <v>36</v>
      </c>
      <c r="E11" s="4" t="s">
        <v>37</v>
      </c>
      <c r="F11" s="4" t="s">
        <v>38</v>
      </c>
      <c r="G11" s="4" t="s">
        <v>223</v>
      </c>
    </row>
    <row r="12" spans="1:7" ht="21.75" customHeight="1" x14ac:dyDescent="0.25">
      <c r="A12" s="8" t="s">
        <v>42</v>
      </c>
      <c r="B12" s="8" t="s">
        <v>43</v>
      </c>
      <c r="C12" s="8" t="s">
        <v>44</v>
      </c>
      <c r="D12" s="8" t="s">
        <v>36</v>
      </c>
      <c r="E12" s="8" t="s">
        <v>37</v>
      </c>
      <c r="F12" s="8" t="s">
        <v>38</v>
      </c>
      <c r="G12" s="8" t="s">
        <v>224</v>
      </c>
    </row>
    <row r="13" spans="1:7" ht="21.75" customHeight="1" x14ac:dyDescent="0.25">
      <c r="A13" s="4" t="s">
        <v>45</v>
      </c>
      <c r="B13" s="4" t="s">
        <v>46</v>
      </c>
      <c r="C13" s="4" t="s">
        <v>47</v>
      </c>
      <c r="D13" s="4" t="s">
        <v>36</v>
      </c>
      <c r="E13" s="4" t="s">
        <v>37</v>
      </c>
      <c r="F13" s="4" t="s">
        <v>38</v>
      </c>
      <c r="G13" s="4" t="s">
        <v>225</v>
      </c>
    </row>
    <row r="14" spans="1:7" ht="21.75" customHeight="1" x14ac:dyDescent="0.25">
      <c r="A14" s="8" t="s">
        <v>48</v>
      </c>
      <c r="B14" s="8" t="s">
        <v>49</v>
      </c>
      <c r="C14" s="8" t="s">
        <v>50</v>
      </c>
      <c r="D14" s="8" t="s">
        <v>36</v>
      </c>
      <c r="E14" s="8" t="s">
        <v>51</v>
      </c>
      <c r="F14" s="8" t="s">
        <v>52</v>
      </c>
      <c r="G14" s="8" t="s">
        <v>226</v>
      </c>
    </row>
    <row r="15" spans="1:7" ht="32.25" customHeight="1" x14ac:dyDescent="0.25">
      <c r="A15" s="4" t="s">
        <v>53</v>
      </c>
      <c r="B15" s="4" t="s">
        <v>54</v>
      </c>
      <c r="C15" s="4" t="s">
        <v>55</v>
      </c>
      <c r="D15" s="4" t="s">
        <v>36</v>
      </c>
      <c r="E15" s="4" t="s">
        <v>18</v>
      </c>
      <c r="F15" s="4" t="s">
        <v>52</v>
      </c>
      <c r="G15" s="4" t="s">
        <v>227</v>
      </c>
    </row>
    <row r="16" spans="1:7" ht="21.75" customHeight="1" x14ac:dyDescent="0.25">
      <c r="A16" s="8" t="s">
        <v>56</v>
      </c>
      <c r="B16" s="8" t="s">
        <v>57</v>
      </c>
      <c r="C16" s="8" t="s">
        <v>58</v>
      </c>
      <c r="D16" s="8" t="s">
        <v>36</v>
      </c>
      <c r="E16" s="8" t="s">
        <v>18</v>
      </c>
      <c r="F16" s="8" t="s">
        <v>52</v>
      </c>
      <c r="G16" s="8" t="s">
        <v>228</v>
      </c>
    </row>
    <row r="17" spans="1:7" ht="21.75" customHeight="1" x14ac:dyDescent="0.25">
      <c r="A17" s="4" t="s">
        <v>59</v>
      </c>
      <c r="B17" s="4" t="s">
        <v>60</v>
      </c>
      <c r="C17" s="4" t="s">
        <v>61</v>
      </c>
      <c r="D17" s="4" t="s">
        <v>62</v>
      </c>
      <c r="E17" s="4" t="s">
        <v>18</v>
      </c>
      <c r="F17" s="4" t="s">
        <v>52</v>
      </c>
      <c r="G17" s="4" t="s">
        <v>229</v>
      </c>
    </row>
    <row r="18" spans="1:7" ht="21.75" customHeight="1" x14ac:dyDescent="0.25">
      <c r="A18" s="8" t="s">
        <v>63</v>
      </c>
      <c r="B18" s="8" t="s">
        <v>64</v>
      </c>
      <c r="C18" s="8" t="s">
        <v>65</v>
      </c>
      <c r="D18" s="8" t="s">
        <v>66</v>
      </c>
      <c r="E18" s="8" t="s">
        <v>37</v>
      </c>
      <c r="F18" s="8" t="s">
        <v>67</v>
      </c>
      <c r="G18" s="8" t="s">
        <v>230</v>
      </c>
    </row>
    <row r="19" spans="1:7" ht="21.75" customHeight="1" x14ac:dyDescent="0.25">
      <c r="A19" s="4" t="s">
        <v>68</v>
      </c>
      <c r="B19" s="4" t="s">
        <v>69</v>
      </c>
      <c r="C19" s="4" t="s">
        <v>70</v>
      </c>
      <c r="D19" s="4" t="s">
        <v>36</v>
      </c>
      <c r="E19" s="4" t="s">
        <v>71</v>
      </c>
      <c r="F19" s="4" t="s">
        <v>52</v>
      </c>
      <c r="G19" s="4" t="s">
        <v>231</v>
      </c>
    </row>
    <row r="20" spans="1:7" ht="21.75" customHeight="1" x14ac:dyDescent="0.25">
      <c r="A20" s="8" t="s">
        <v>72</v>
      </c>
      <c r="B20" s="8" t="s">
        <v>73</v>
      </c>
      <c r="C20" s="8" t="s">
        <v>74</v>
      </c>
      <c r="D20" s="8" t="s">
        <v>75</v>
      </c>
      <c r="E20" s="8" t="s">
        <v>37</v>
      </c>
      <c r="F20" s="8" t="s">
        <v>76</v>
      </c>
      <c r="G20" s="8" t="s">
        <v>232</v>
      </c>
    </row>
    <row r="21" spans="1:7" ht="21.75" customHeight="1" x14ac:dyDescent="0.25">
      <c r="A21" s="4" t="s">
        <v>77</v>
      </c>
      <c r="B21" s="4" t="s">
        <v>78</v>
      </c>
      <c r="C21" s="4" t="s">
        <v>79</v>
      </c>
      <c r="D21" s="4" t="s">
        <v>75</v>
      </c>
      <c r="E21" s="4" t="s">
        <v>37</v>
      </c>
      <c r="F21" s="4" t="s">
        <v>76</v>
      </c>
      <c r="G21" s="4" t="s">
        <v>233</v>
      </c>
    </row>
    <row r="22" spans="1:7" ht="21.75" customHeight="1" x14ac:dyDescent="0.25">
      <c r="A22" s="8" t="s">
        <v>80</v>
      </c>
      <c r="B22" s="8" t="s">
        <v>81</v>
      </c>
      <c r="C22" s="8" t="s">
        <v>82</v>
      </c>
      <c r="D22" s="8" t="s">
        <v>75</v>
      </c>
      <c r="E22" s="8" t="s">
        <v>83</v>
      </c>
      <c r="F22" s="8" t="s">
        <v>76</v>
      </c>
      <c r="G22" s="8" t="s">
        <v>234</v>
      </c>
    </row>
    <row r="23" spans="1:7" ht="21.75" customHeight="1" x14ac:dyDescent="0.25">
      <c r="A23" s="4" t="s">
        <v>235</v>
      </c>
      <c r="B23" s="4" t="s">
        <v>236</v>
      </c>
      <c r="C23" s="4" t="s">
        <v>237</v>
      </c>
      <c r="D23" s="4" t="s">
        <v>36</v>
      </c>
      <c r="E23" s="4" t="s">
        <v>238</v>
      </c>
      <c r="F23" s="4" t="s">
        <v>87</v>
      </c>
      <c r="G23" s="4" t="s">
        <v>239</v>
      </c>
    </row>
    <row r="24" spans="1:7" ht="21.75" customHeight="1" x14ac:dyDescent="0.25">
      <c r="A24" s="4" t="s">
        <v>84</v>
      </c>
      <c r="B24" s="4" t="s">
        <v>85</v>
      </c>
      <c r="C24" s="4" t="s">
        <v>86</v>
      </c>
      <c r="D24" s="4" t="s">
        <v>36</v>
      </c>
      <c r="E24" s="4" t="s">
        <v>37</v>
      </c>
      <c r="F24" s="4" t="s">
        <v>87</v>
      </c>
      <c r="G24" s="4" t="s">
        <v>240</v>
      </c>
    </row>
    <row r="25" spans="1:7" ht="21.75" customHeight="1" x14ac:dyDescent="0.25">
      <c r="A25" s="8" t="s">
        <v>88</v>
      </c>
      <c r="B25" s="8" t="s">
        <v>89</v>
      </c>
      <c r="C25" s="8" t="s">
        <v>90</v>
      </c>
      <c r="D25" s="8" t="s">
        <v>91</v>
      </c>
      <c r="E25" s="8" t="s">
        <v>92</v>
      </c>
      <c r="F25" s="8" t="s">
        <v>87</v>
      </c>
      <c r="G25" s="8" t="s">
        <v>241</v>
      </c>
    </row>
    <row r="26" spans="1:7" ht="24" x14ac:dyDescent="0.25">
      <c r="A26" s="4" t="s">
        <v>93</v>
      </c>
      <c r="B26" s="4" t="s">
        <v>94</v>
      </c>
      <c r="C26" s="4" t="s">
        <v>95</v>
      </c>
      <c r="D26" s="4" t="s">
        <v>36</v>
      </c>
      <c r="E26" s="4" t="s">
        <v>19</v>
      </c>
      <c r="F26" s="4" t="s">
        <v>87</v>
      </c>
      <c r="G26" s="4" t="s">
        <v>242</v>
      </c>
    </row>
    <row r="27" spans="1:7" ht="24" x14ac:dyDescent="0.25">
      <c r="A27" s="8" t="s">
        <v>96</v>
      </c>
      <c r="B27" s="8" t="s">
        <v>97</v>
      </c>
      <c r="C27" s="8" t="s">
        <v>98</v>
      </c>
      <c r="D27" s="8" t="s">
        <v>36</v>
      </c>
      <c r="E27" s="8" t="s">
        <v>37</v>
      </c>
      <c r="F27" s="8" t="s">
        <v>38</v>
      </c>
      <c r="G27" s="8" t="s">
        <v>243</v>
      </c>
    </row>
  </sheetData>
  <mergeCells count="2">
    <mergeCell ref="A3:G3"/>
    <mergeCell ref="A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3"/>
  <sheetViews>
    <sheetView showGridLines="0" zoomScaleNormal="100" workbookViewId="0"/>
  </sheetViews>
  <sheetFormatPr defaultColWidth="8.7109375" defaultRowHeight="15" x14ac:dyDescent="0.25"/>
  <cols>
    <col min="1" max="1" width="100" customWidth="1"/>
  </cols>
  <sheetData>
    <row r="1" spans="1:1" ht="24" customHeight="1" x14ac:dyDescent="0.4">
      <c r="A1" s="1" t="s">
        <v>244</v>
      </c>
    </row>
    <row r="2" spans="1:1" ht="15" customHeight="1" x14ac:dyDescent="0.25">
      <c r="A2" s="23"/>
    </row>
    <row r="3" spans="1:1" ht="15" customHeight="1" x14ac:dyDescent="0.25">
      <c r="A3" s="23" t="s">
        <v>245</v>
      </c>
    </row>
    <row r="4" spans="1:1" ht="15" customHeight="1" x14ac:dyDescent="0.25">
      <c r="A4" s="23"/>
    </row>
    <row r="5" spans="1:1" ht="15" customHeight="1" x14ac:dyDescent="0.25">
      <c r="A5" s="2" t="s">
        <v>246</v>
      </c>
    </row>
    <row r="6" spans="1:1" ht="15" customHeight="1" x14ac:dyDescent="0.25">
      <c r="A6" s="23" t="s">
        <v>247</v>
      </c>
    </row>
    <row r="7" spans="1:1" ht="15" customHeight="1" x14ac:dyDescent="0.25">
      <c r="A7" s="23"/>
    </row>
    <row r="8" spans="1:1" ht="15" customHeight="1" x14ac:dyDescent="0.25">
      <c r="A8" s="23" t="s">
        <v>248</v>
      </c>
    </row>
    <row r="9" spans="1:1" ht="15" customHeight="1" x14ac:dyDescent="0.25">
      <c r="A9" s="23"/>
    </row>
    <row r="10" spans="1:1" ht="15" customHeight="1" x14ac:dyDescent="0.25">
      <c r="A10" s="23" t="s">
        <v>249</v>
      </c>
    </row>
    <row r="11" spans="1:1" ht="15" customHeight="1" x14ac:dyDescent="0.25">
      <c r="A11" s="23"/>
    </row>
    <row r="12" spans="1:1" ht="15" customHeight="1" x14ac:dyDescent="0.25">
      <c r="A12" s="23" t="s">
        <v>250</v>
      </c>
    </row>
    <row r="13" spans="1:1" ht="15" customHeight="1" x14ac:dyDescent="0.25">
      <c r="A13" s="23"/>
    </row>
    <row r="14" spans="1:1" ht="15" customHeight="1" x14ac:dyDescent="0.25">
      <c r="A14" s="2" t="s">
        <v>251</v>
      </c>
    </row>
    <row r="15" spans="1:1" ht="15" customHeight="1" x14ac:dyDescent="0.25">
      <c r="A15" s="23"/>
    </row>
    <row r="16" spans="1:1" ht="15" customHeight="1" x14ac:dyDescent="0.25">
      <c r="A16" s="23" t="s">
        <v>252</v>
      </c>
    </row>
    <row r="17" spans="1:1" ht="15" customHeight="1" x14ac:dyDescent="0.25">
      <c r="A17" s="23"/>
    </row>
    <row r="18" spans="1:1" ht="15" customHeight="1" x14ac:dyDescent="0.25">
      <c r="A18" s="23" t="s">
        <v>253</v>
      </c>
    </row>
    <row r="19" spans="1:1" ht="15" customHeight="1" x14ac:dyDescent="0.25">
      <c r="A19" s="23"/>
    </row>
    <row r="20" spans="1:1" ht="15" customHeight="1" x14ac:dyDescent="0.25">
      <c r="A20" s="23" t="s">
        <v>254</v>
      </c>
    </row>
    <row r="21" spans="1:1" ht="15" customHeight="1" x14ac:dyDescent="0.25">
      <c r="A21" s="23"/>
    </row>
    <row r="22" spans="1:1" ht="15" customHeight="1" x14ac:dyDescent="0.25">
      <c r="A22" s="2" t="s">
        <v>255</v>
      </c>
    </row>
    <row r="23" spans="1:1" ht="15" customHeight="1" x14ac:dyDescent="0.25">
      <c r="A23" s="23"/>
    </row>
    <row r="24" spans="1:1" ht="15" customHeight="1" x14ac:dyDescent="0.25">
      <c r="A24" s="23" t="s">
        <v>256</v>
      </c>
    </row>
    <row r="25" spans="1:1" ht="15" customHeight="1" x14ac:dyDescent="0.25">
      <c r="A25" s="23"/>
    </row>
    <row r="26" spans="1:1" ht="15" customHeight="1" x14ac:dyDescent="0.25">
      <c r="A26" s="23" t="s">
        <v>257</v>
      </c>
    </row>
    <row r="27" spans="1:1" ht="15" customHeight="1" x14ac:dyDescent="0.25">
      <c r="A27" s="23"/>
    </row>
    <row r="28" spans="1:1" ht="15" customHeight="1" x14ac:dyDescent="0.25">
      <c r="A28" s="23" t="s">
        <v>258</v>
      </c>
    </row>
    <row r="29" spans="1:1" ht="15" customHeight="1" x14ac:dyDescent="0.25">
      <c r="A29" s="23"/>
    </row>
    <row r="30" spans="1:1" ht="15" customHeight="1" x14ac:dyDescent="0.25">
      <c r="A30" s="23" t="s">
        <v>259</v>
      </c>
    </row>
    <row r="31" spans="1:1" ht="15" customHeight="1" x14ac:dyDescent="0.25">
      <c r="A31" s="23" t="s">
        <v>260</v>
      </c>
    </row>
    <row r="32" spans="1:1" ht="15" customHeight="1" x14ac:dyDescent="0.25">
      <c r="A32" s="23" t="s">
        <v>261</v>
      </c>
    </row>
    <row r="33" spans="1:1" ht="15" customHeight="1" x14ac:dyDescent="0.25">
      <c r="A33" s="23" t="s">
        <v>262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Training Matrix</vt:lpstr>
      <vt:lpstr>Personnel Requirements</vt:lpstr>
      <vt:lpstr>Course Detail</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Watts</cp:lastModifiedBy>
  <cp:revision>0</cp:revision>
  <dcterms:created xsi:type="dcterms:W3CDTF">2026-04-03T04:32:51Z</dcterms:created>
  <dcterms:modified xsi:type="dcterms:W3CDTF">2026-04-10T05:27:24Z</dcterms:modified>
  <dc:language>en-US</dc:language>
</cp:coreProperties>
</file>