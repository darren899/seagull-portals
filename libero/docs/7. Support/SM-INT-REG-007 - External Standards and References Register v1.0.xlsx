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04 - Registers and Trackers/"/>
    </mc:Choice>
  </mc:AlternateContent>
  <xr:revisionPtr revIDLastSave="0" documentId="11_85BD5B536A13ED91FEFD644247D6B8BF1ECEE12A" xr6:coauthVersionLast="47" xr6:coauthVersionMax="47" xr10:uidLastSave="{00000000-0000-0000-0000-000000000000}"/>
  <bookViews>
    <workbookView xWindow="-120" yWindow="-120" windowWidth="77040" windowHeight="21120" tabRatio="500" activeTab="1" xr2:uid="{00000000-000D-0000-FFFF-FFFF00000000}"/>
  </bookViews>
  <sheets>
    <sheet name="Register Information" sheetId="1" r:id="rId1"/>
    <sheet name="Standards Register" sheetId="2" r:id="rId2"/>
    <sheet name="Dashboard" sheetId="3" r:id="rId3"/>
    <sheet name="Instruc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</calcChain>
</file>

<file path=xl/sharedStrings.xml><?xml version="1.0" encoding="utf-8"?>
<sst xmlns="http://schemas.openxmlformats.org/spreadsheetml/2006/main" count="338" uniqueCount="201">
  <si>
    <t>EXTERNAL STANDARDS AND REFERENCES REGISTER — SM/INT/REG/007</t>
  </si>
  <si>
    <t>#</t>
  </si>
  <si>
    <t>Category</t>
  </si>
  <si>
    <t>Standard / Reference</t>
  </si>
  <si>
    <t>Issuing Body</t>
  </si>
  <si>
    <t>Current Version / Date</t>
  </si>
  <si>
    <t>Status</t>
  </si>
  <si>
    <t>Applicable Systems</t>
  </si>
  <si>
    <t>Key Relevance to Seagull</t>
  </si>
  <si>
    <t>Compliance Basis</t>
  </si>
  <si>
    <t>Seagull Certification / Membership</t>
  </si>
  <si>
    <t>Cert Expiry / Renewal</t>
  </si>
  <si>
    <t>CB / Issuing Body</t>
  </si>
  <si>
    <t>Review Frequency</t>
  </si>
  <si>
    <t>Last Reviewed</t>
  </si>
  <si>
    <t>Next Review</t>
  </si>
  <si>
    <t>Notes</t>
  </si>
  <si>
    <t>ISO Standards</t>
  </si>
  <si>
    <t>ISO 9001:2015 — Quality Management Systems</t>
  </si>
  <si>
    <t>ISO</t>
  </si>
  <si>
    <t>2015</t>
  </si>
  <si>
    <t>Current</t>
  </si>
  <si>
    <t>QMS</t>
  </si>
  <si>
    <t>Foundation of Seagull QMS. Client confidence, process control, continual improvement.</t>
  </si>
  <si>
    <t>Voluntary (certification held)</t>
  </si>
  <si>
    <t>Annual</t>
  </si>
  <si>
    <t>ISO 45001:2018 — Occupational Health and Safety Management Systems</t>
  </si>
  <si>
    <t>2018</t>
  </si>
  <si>
    <t>HSE</t>
  </si>
  <si>
    <t>Foundation of Seagull OH&amp;S management. Risk-based approach to worker health and safety.</t>
  </si>
  <si>
    <t>Voluntary (certification target)</t>
  </si>
  <si>
    <t>Shell review driver. Backbone of current compliance programme.</t>
  </si>
  <si>
    <t>ISO 18788:2015 — Management System for Private Security Operations</t>
  </si>
  <si>
    <t>SEC</t>
  </si>
  <si>
    <t>Governs private security operations including human rights due diligence, use of force, duty of care.</t>
  </si>
  <si>
    <t>Merged with 28007 and 28000 into unified SEC system.</t>
  </si>
  <si>
    <t>ISO 28007-1:2015 — Ships and Marine Technology — PMSC Providing PCASP</t>
  </si>
  <si>
    <t>Specific to armed maritime security: PCASP deployment, firearms management, ship interface, incident reporting.</t>
  </si>
  <si>
    <t>Primary standard for armed maritime security operations.</t>
  </si>
  <si>
    <t>ISO 28000:2022 — Security and Resilience — Security Management Systems</t>
  </si>
  <si>
    <t>2022</t>
  </si>
  <si>
    <t>Supply chain security management. Broader security framework.</t>
  </si>
  <si>
    <t>Updated 2022. Merged into unified SEC system.</t>
  </si>
  <si>
    <t>ISO 14001:2015 — Environmental Management Systems</t>
  </si>
  <si>
    <t>Environmental management framework. Not currently certified but referenced in integrated approach.</t>
  </si>
  <si>
    <t>Awareness (not certified)</t>
  </si>
  <si>
    <t>Future consideration. Not a current priority.</t>
  </si>
  <si>
    <t>ISO 19011:2018 — Guidelines for Auditing Management Systems</t>
  </si>
  <si>
    <t>INT</t>
  </si>
  <si>
    <t>Internal audit methodology and competence requirements.</t>
  </si>
  <si>
    <t>Reference / best practice</t>
  </si>
  <si>
    <t>Referenced in SM/INT/PRO/003 Internal Audit Procedure.</t>
  </si>
  <si>
    <t>IMO Circulars</t>
  </si>
  <si>
    <t>MSC.1/Circ.1405/Rev.2 — Guidance on the Use of PCASP on Ships in the HRA</t>
  </si>
  <si>
    <t>IMO</t>
  </si>
  <si>
    <t>May 2012</t>
  </si>
  <si>
    <t>Baseline framework for PCASP deployment including selection, vetting, training, rules for use of force, reporting.</t>
  </si>
  <si>
    <t>Mandatory (industry expectation)</t>
  </si>
  <si>
    <t>Core reference for all PCASP operations.</t>
  </si>
  <si>
    <t>MSC.1/Circ.1406/Rev.3 — Interim Recommendations for Flag States Regarding PCASP</t>
  </si>
  <si>
    <t>June 2015</t>
  </si>
  <si>
    <t>Flag state responsibilities for authorising and overseeing PCASP. Feeds into SM/SEC/REG/001.</t>
  </si>
  <si>
    <t>Drives flag state register structure.</t>
  </si>
  <si>
    <t>MSC.1/Circ.1408/Rev.1 — Interim Recommendations for Port and Coastal States</t>
  </si>
  <si>
    <t>2012</t>
  </si>
  <si>
    <t>Port and coastal state obligations regarding PCASP and weapons carriage.</t>
  </si>
  <si>
    <t>Awareness</t>
  </si>
  <si>
    <t>Relevant to transit planning and weapons logistics.</t>
  </si>
  <si>
    <t>MSC.1/Circ.1443 — Interim Guidance for PMSC Providing PCASP</t>
  </si>
  <si>
    <t>PMSC-specific guidance: company management, selection/vetting, training, operational conduct.</t>
  </si>
  <si>
    <t>Complementary to MSC.1/Circ.1405.</t>
  </si>
  <si>
    <t>Maritime Security</t>
  </si>
  <si>
    <t>BMP-MS (Best Management Practices — Maritime Security)</t>
  </si>
  <si>
    <t>Industry (ICS/BIMCO/INTERTANKO/INTERCARGO/OCIMF)</t>
  </si>
  <si>
    <t>2024</t>
  </si>
  <si>
    <t>Current (replaced BMP5)</t>
  </si>
  <si>
    <t>SEC / OPS</t>
  </si>
  <si>
    <t>Industry guidance on self-protection measures for vessels transiting high-risk areas.</t>
  </si>
  <si>
    <t>BMP5 WITHDRAWN March 2025. Always reference BMP-MS.</t>
  </si>
  <si>
    <t>MISTO (Maritime Information Sharing Threat Overview)</t>
  </si>
  <si>
    <t>Industry</t>
  </si>
  <si>
    <t>Threat assessment context for maritime security operations. Referenced alongside BMP-MS.</t>
  </si>
  <si>
    <t>Reference</t>
  </si>
  <si>
    <t>Quarterly</t>
  </si>
  <si>
    <t>Referenced for threat assessment context in risk assessments.</t>
  </si>
  <si>
    <t>GUARDCON — Standard Contract for the Employment of Security Guards on Vessels</t>
  </si>
  <si>
    <t>BIMCO</t>
  </si>
  <si>
    <t>2012 (Rev. pending)</t>
  </si>
  <si>
    <t>Standard contract template for PCASP employment on vessels.</t>
  </si>
  <si>
    <t>Contractual (client-driven)</t>
  </si>
  <si>
    <t>Industry standard contract. Used by most clients.</t>
  </si>
  <si>
    <t>100 Series Rules for the Use of Force</t>
  </si>
  <si>
    <t>Industry (SAMI / ICoCA)</t>
  </si>
  <si>
    <t>Various</t>
  </si>
  <si>
    <t>Framework for graduated use of force in maritime security operations.</t>
  </si>
  <si>
    <t>Mandatory (operational)</t>
  </si>
  <si>
    <t>Basis for Seagull RUF.</t>
  </si>
  <si>
    <t>Codes of Conduct</t>
  </si>
  <si>
    <t>International Code of Conduct for Private Security Service Providers (ICoC)</t>
  </si>
  <si>
    <t>ICoCA</t>
  </si>
  <si>
    <t>2010</t>
  </si>
  <si>
    <t>Human rights and humanitarian law principles for private security companies. Full text (70 articles, amended 2021) held in 08 - Compliance and Legal/ICoCA/.</t>
  </si>
  <si>
    <t>Mandatory (ICoCA membership)</t>
  </si>
  <si>
    <t>ICoCA Certified Member</t>
  </si>
  <si>
    <t>03/04/2026</t>
  </si>
  <si>
    <t>Certified member obligation. Membership terms and conditions apply.</t>
  </si>
  <si>
    <t>Montreux Document on Private Military and Security Companies</t>
  </si>
  <si>
    <t>Swiss Govt / ICRC</t>
  </si>
  <si>
    <t>2008</t>
  </si>
  <si>
    <t>International framework on legal obligations and good practices for states and PMSCs. Source document needed — download from ICRC website.</t>
  </si>
  <si>
    <t>Awareness / best practice</t>
  </si>
  <si>
    <t>Reference document for human rights due diligence.</t>
  </si>
  <si>
    <t>UN Voluntary Principles on Security and Human Rights (VPSHR)</t>
  </si>
  <si>
    <t>UN</t>
  </si>
  <si>
    <t>2000</t>
  </si>
  <si>
    <t>Principles for security companies on human rights. Shell audit driver (F6). Full text (3 parts, 9 pages) held in 08 - Compliance and Legal/ICoCA/.</t>
  </si>
  <si>
    <t>Mandatory (Shell requirement / client requirement)</t>
  </si>
  <si>
    <t>Shell audit driver (Finding F6). Referenced in security procedures.</t>
  </si>
  <si>
    <t>Client Standards</t>
  </si>
  <si>
    <t>Shell HSSE &amp; SP Control Framework</t>
  </si>
  <si>
    <t>Shell</t>
  </si>
  <si>
    <t>Shell-specific requirements for contractor health, safety, security, environment, and social performance.</t>
  </si>
  <si>
    <t>Contractual (Shell engagement)</t>
  </si>
  <si>
    <t>Shell review first week of May 2026. Key driver for current 45001 programme.</t>
  </si>
  <si>
    <t>Shell Maritime Security Requirements</t>
  </si>
  <si>
    <t>Shell-specific maritime security requirements beyond ISO standards.</t>
  </si>
  <si>
    <t>Export Control</t>
  </si>
  <si>
    <t>UK Strategic Export Control Lists</t>
  </si>
  <si>
    <t>UK Govt (ECJU)</t>
  </si>
  <si>
    <t>Updated regularly</t>
  </si>
  <si>
    <t>Controls on export of military and dual-use goods including firearms and ammunition.</t>
  </si>
  <si>
    <t>Mandatory (UK law)</t>
  </si>
  <si>
    <t>Applies to UK-origin equipment movements.</t>
  </si>
  <si>
    <t>EU Common Military List</t>
  </si>
  <si>
    <t>EU Council</t>
  </si>
  <si>
    <t>Updated annually</t>
  </si>
  <si>
    <t>EU controls on military equipment including firearms.</t>
  </si>
  <si>
    <t>Mandatory (EU operations)</t>
  </si>
  <si>
    <t>Applies to EU-flagged operations and EU-origin equipment.</t>
  </si>
  <si>
    <t>Sanctions</t>
  </si>
  <si>
    <t>OFSI Sanctions List (UK)</t>
  </si>
  <si>
    <t>HM Treasury / OFSI</t>
  </si>
  <si>
    <t>UK financial sanctions and trade restrictions. Applies to all UK entities.</t>
  </si>
  <si>
    <t>Must check before any new client/partner engagement.</t>
  </si>
  <si>
    <t>EU Sanctions Map</t>
  </si>
  <si>
    <t>EU sanctions regimes. Applies to EU entities and EU-flagged operations.</t>
  </si>
  <si>
    <t>OFAC Sanctions List (US)</t>
  </si>
  <si>
    <t>US Treasury / OFAC</t>
  </si>
  <si>
    <t>US sanctions. Applies where US nexus exists (USD transactions, US persons, US-origin goods).</t>
  </si>
  <si>
    <t>Awareness / risk mitigation</t>
  </si>
  <si>
    <t>Relevant due to USD transactions and US-connected clients.</t>
  </si>
  <si>
    <t>Training Standards</t>
  </si>
  <si>
    <t>STCW Convention — Standards of Training, Certification and Watchkeeping</t>
  </si>
  <si>
    <t>1978 (as amended)</t>
  </si>
  <si>
    <t>International training and certification standards for maritime personnel.</t>
  </si>
  <si>
    <t>Awareness (interface)</t>
  </si>
  <si>
    <t>Relevant where Seagull personnel interface with vessel crew.</t>
  </si>
  <si>
    <t>MCA Standards of Training and Certification</t>
  </si>
  <si>
    <t>UK MCA</t>
  </si>
  <si>
    <t>UK-specific maritime training and certification requirements.</t>
  </si>
  <si>
    <t>Relevant to UK-flagged vessel operations.</t>
  </si>
  <si>
    <t>EXTERNAL STANDARDS AND REFERENCES REGISTER</t>
  </si>
  <si>
    <t>REGISTER INFORMATION</t>
  </si>
  <si>
    <t>Document Reference:</t>
  </si>
  <si>
    <t>SM/INT/REG/007</t>
  </si>
  <si>
    <t>Document Title:</t>
  </si>
  <si>
    <t>External Standards and References Register</t>
  </si>
  <si>
    <t>System:</t>
  </si>
  <si>
    <t>Integrated — cross-cutting across SEC / HSE / QMS</t>
  </si>
  <si>
    <t>Version:</t>
  </si>
  <si>
    <t>1.0</t>
  </si>
  <si>
    <t>Status:</t>
  </si>
  <si>
    <t>Approved</t>
  </si>
  <si>
    <t>Created by:</t>
  </si>
  <si>
    <t>Group Compliance Director</t>
  </si>
  <si>
    <t>Approved by:</t>
  </si>
  <si>
    <t>Pavel Shparber, CEO</t>
  </si>
  <si>
    <t>Effective Date:</t>
  </si>
  <si>
    <t>1 April 2026</t>
  </si>
  <si>
    <t>Review Date:</t>
  </si>
  <si>
    <t>1 October 2026</t>
  </si>
  <si>
    <t>Review Frequency:</t>
  </si>
  <si>
    <t>Annual, and upon withdrawal, amendment, or new standard publication</t>
  </si>
  <si>
    <t>PURPOSE</t>
  </si>
  <si>
    <t>This register records all external standards, industry guidance, codes of conduct, and reference documents that Seagull Maritime has chosen or is contractually required to comply with. It excludes legal/statutory requirements (see SM/HSE/REG/002) and flag state requirements (see SM/SEC/REG/001). It provides the basis for the External References and Standards Procedure (SM/INT/PRO/004).</t>
  </si>
  <si>
    <t>EXTERNAL STANDARDS REGISTER — DASHBOARD</t>
  </si>
  <si>
    <t>SUMMARY BY CATEGORY</t>
  </si>
  <si>
    <t>Count</t>
  </si>
  <si>
    <t>Withdrawn</t>
  </si>
  <si>
    <t>TOTAL</t>
  </si>
  <si>
    <t>INSTRUCTIONS FOR USE</t>
  </si>
  <si>
    <t>1. This register records external standards and references that Seagull Maritime complies with by choice or contractual obligation.</t>
  </si>
  <si>
    <t>2. It excludes legal/statutory requirements (see SM/HSE/REG/002) and flag state requirements (see SM/SEC/REG/001).</t>
  </si>
  <si>
    <t>3. The Status column indicates whether a standard is Current, Withdrawn, or Superseded. Withdrawn standards must not be referenced.</t>
  </si>
  <si>
    <t>4. BMP5 was withdrawn in March 2025. Always reference BMP-MS as the current industry guidance.</t>
  </si>
  <si>
    <t>5. Certification expiry dates must be monitored. Any certification approaching expiry within 90 days must be escalated to the GCD.</t>
  </si>
  <si>
    <t>6. When a standard is updated or withdrawn, update this register immediately and assess impact on Seagull procedures.</t>
  </si>
  <si>
    <t>7. The Compliance Basis column indicates why Seagull complies: Voluntary, Contractual, Mandatory (industry), or Awareness.</t>
  </si>
  <si>
    <t>8. New standards should only be added by the Group Compliance Director via SM/INT/PRO/004.</t>
  </si>
  <si>
    <t>9. Client-specific standards are tracked here when they impose requirements beyond our existing standards.</t>
  </si>
  <si>
    <t>10. This register is reviewed annually and immediately upon standard amendment, withdrawal, or new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</si>
</sst>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20"/>
      <color rgb="FF003C72"/>
      <name val="Avenir Next LT Pro"/>
      <charset val="1"/>
    </font>
    <font>
      <b/>
      <sz val="12"/>
      <color rgb="FF003C72"/>
      <name val="Avenir Next LT Pro"/>
      <charset val="1"/>
    </font>
    <font>
      <b/>
      <sz val="9"/>
      <color rgb="FFFFFFFF"/>
      <name val="Aptos"/>
      <charset val="1"/>
    </font>
    <font>
      <sz val="9"/>
      <name val="Aptos"/>
      <charset val="1"/>
    </font>
    <font>
      <b/>
      <sz val="9"/>
      <color rgb="FF003C72"/>
      <name val="Aptos"/>
      <charset val="1"/>
    </font>
    <font>
      <b/>
      <sz val="9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003C72"/>
        <bgColor rgb="FF333399"/>
      </patternFill>
    </fill>
    <fill>
      <patternFill patternType="solid">
        <fgColor rgb="FFE2EFDA"/>
        <bgColor rgb="FFFFFFCC"/>
      </patternFill>
    </fill>
    <fill>
      <patternFill patternType="solid">
        <fgColor rgb="FFFFC7CE"/>
        <bgColor rgb="FFCCCCFF"/>
      </patternFill>
    </fill>
  </fills>
  <borders count="5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>
        <color rgb="FF003C72"/>
      </left>
      <right style="thin">
        <color indexed="64"/>
      </right>
      <top style="thin">
        <color rgb="FF003C72"/>
      </top>
      <bottom style="thin">
        <color rgb="FF003C72"/>
      </bottom>
      <diagonal/>
    </border>
    <border>
      <left/>
      <right/>
      <top style="thin">
        <color rgb="FF003C72"/>
      </top>
      <bottom style="thin">
        <color rgb="FF003C72"/>
      </bottom>
      <diagonal/>
    </border>
    <border>
      <left/>
      <right style="thin">
        <color indexed="64"/>
      </right>
      <top style="thin">
        <color rgb="FF003C72"/>
      </top>
      <bottom style="thin">
        <color rgb="FF003C7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C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showGridLines="0" zoomScaleNormal="100" workbookViewId="0">
      <selection activeCell="D24" sqref="D24"/>
    </sheetView>
  </sheetViews>
  <sheetFormatPr defaultColWidth="8.7109375" defaultRowHeight="15" x14ac:dyDescent="0.25"/>
  <cols>
    <col min="1" max="1" width="22" customWidth="1"/>
    <col min="2" max="2" width="30" customWidth="1"/>
    <col min="3" max="3" width="14" customWidth="1"/>
    <col min="4" max="4" width="50" customWidth="1"/>
  </cols>
  <sheetData>
    <row r="2" spans="1:6" ht="26.25" customHeight="1" x14ac:dyDescent="0.4">
      <c r="A2" s="13" t="s">
        <v>161</v>
      </c>
      <c r="B2" s="14"/>
      <c r="C2" s="14"/>
      <c r="D2" s="14"/>
      <c r="E2" s="14"/>
      <c r="F2" s="14"/>
    </row>
    <row r="4" spans="1:6" ht="15.75" customHeight="1" x14ac:dyDescent="0.25">
      <c r="A4" s="18" t="s">
        <v>162</v>
      </c>
      <c r="B4" s="14"/>
      <c r="C4" s="14"/>
      <c r="D4" s="14"/>
      <c r="E4" s="14"/>
      <c r="F4" s="14"/>
    </row>
    <row r="6" spans="1:6" ht="15" customHeight="1" x14ac:dyDescent="0.25">
      <c r="A6" s="2" t="s">
        <v>163</v>
      </c>
      <c r="B6" s="15" t="s">
        <v>164</v>
      </c>
      <c r="C6" s="16"/>
      <c r="D6" s="17"/>
    </row>
    <row r="7" spans="1:6" ht="15" customHeight="1" x14ac:dyDescent="0.25">
      <c r="A7" s="2" t="s">
        <v>165</v>
      </c>
      <c r="B7" s="15" t="s">
        <v>166</v>
      </c>
      <c r="C7" s="16"/>
      <c r="D7" s="17"/>
    </row>
    <row r="8" spans="1:6" ht="15" customHeight="1" x14ac:dyDescent="0.25">
      <c r="A8" s="2" t="s">
        <v>167</v>
      </c>
      <c r="B8" s="15" t="s">
        <v>168</v>
      </c>
      <c r="C8" s="16"/>
      <c r="D8" s="17"/>
    </row>
    <row r="9" spans="1:6" ht="15" customHeight="1" x14ac:dyDescent="0.25">
      <c r="A9" s="2" t="s">
        <v>169</v>
      </c>
      <c r="B9" s="15" t="s">
        <v>170</v>
      </c>
      <c r="C9" s="16"/>
      <c r="D9" s="17"/>
    </row>
    <row r="10" spans="1:6" ht="15" customHeight="1" x14ac:dyDescent="0.25">
      <c r="A10" s="2" t="s">
        <v>171</v>
      </c>
      <c r="B10" s="15" t="s">
        <v>172</v>
      </c>
      <c r="C10" s="16"/>
      <c r="D10" s="17"/>
    </row>
    <row r="11" spans="1:6" ht="15" customHeight="1" x14ac:dyDescent="0.25">
      <c r="A11" s="2" t="s">
        <v>173</v>
      </c>
      <c r="B11" s="15" t="s">
        <v>174</v>
      </c>
      <c r="C11" s="16"/>
      <c r="D11" s="17"/>
    </row>
    <row r="12" spans="1:6" ht="15" customHeight="1" x14ac:dyDescent="0.25">
      <c r="A12" s="2" t="s">
        <v>175</v>
      </c>
      <c r="B12" s="15" t="s">
        <v>176</v>
      </c>
      <c r="C12" s="16"/>
      <c r="D12" s="17"/>
    </row>
    <row r="13" spans="1:6" ht="15" customHeight="1" x14ac:dyDescent="0.25">
      <c r="A13" s="2" t="s">
        <v>177</v>
      </c>
      <c r="B13" s="15" t="s">
        <v>178</v>
      </c>
      <c r="C13" s="16"/>
      <c r="D13" s="17"/>
    </row>
    <row r="14" spans="1:6" ht="15" customHeight="1" x14ac:dyDescent="0.25">
      <c r="A14" s="2" t="s">
        <v>179</v>
      </c>
      <c r="B14" s="15" t="s">
        <v>180</v>
      </c>
      <c r="C14" s="16"/>
      <c r="D14" s="17"/>
    </row>
    <row r="15" spans="1:6" ht="15" customHeight="1" x14ac:dyDescent="0.25">
      <c r="A15" s="2" t="s">
        <v>181</v>
      </c>
      <c r="B15" s="15" t="s">
        <v>182</v>
      </c>
      <c r="C15" s="16"/>
      <c r="D15" s="17"/>
    </row>
    <row r="17" spans="1:4" ht="15.75" customHeight="1" x14ac:dyDescent="0.25">
      <c r="A17" s="18" t="s">
        <v>183</v>
      </c>
      <c r="B17" s="14"/>
      <c r="C17" s="14"/>
      <c r="D17" s="14"/>
    </row>
    <row r="18" spans="1:4" ht="32.85" customHeight="1" x14ac:dyDescent="0.25">
      <c r="A18" s="19" t="s">
        <v>184</v>
      </c>
      <c r="B18" s="14"/>
      <c r="C18" s="14"/>
      <c r="D18" s="14"/>
    </row>
  </sheetData>
  <mergeCells count="14">
    <mergeCell ref="B10:D10"/>
    <mergeCell ref="B11:D11"/>
    <mergeCell ref="A17:D17"/>
    <mergeCell ref="A18:D18"/>
    <mergeCell ref="A2:F2"/>
    <mergeCell ref="B14:D14"/>
    <mergeCell ref="B15:D15"/>
    <mergeCell ref="B8:D8"/>
    <mergeCell ref="B9:D9"/>
    <mergeCell ref="B13:D13"/>
    <mergeCell ref="A4:F4"/>
    <mergeCell ref="B12:D12"/>
    <mergeCell ref="B7:D7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1"/>
  <sheetViews>
    <sheetView showGridLines="0" tabSelected="1" zoomScaleNormal="100" workbookViewId="0">
      <pane xSplit="3" ySplit="4" topLeftCell="D16" activePane="bottomRight" state="frozen"/>
      <selection pane="topRight" activeCell="D1" sqref="D1"/>
      <selection pane="bottomLeft" activeCell="A5" sqref="A5"/>
      <selection pane="bottomRight" activeCell="F40" sqref="F40"/>
    </sheetView>
  </sheetViews>
  <sheetFormatPr defaultColWidth="8.7109375" defaultRowHeight="15" x14ac:dyDescent="0.25"/>
  <cols>
    <col min="1" max="1" width="4" customWidth="1"/>
    <col min="2" max="2" width="16" customWidth="1"/>
    <col min="3" max="3" width="35" customWidth="1"/>
    <col min="4" max="4" width="20" customWidth="1"/>
    <col min="5" max="5" width="16" customWidth="1"/>
    <col min="6" max="6" width="12" customWidth="1"/>
    <col min="7" max="7" width="16" customWidth="1"/>
    <col min="8" max="8" width="40" customWidth="1"/>
    <col min="9" max="9" width="16" customWidth="1"/>
    <col min="10" max="10" width="22" customWidth="1"/>
    <col min="11" max="11" width="14" customWidth="1"/>
    <col min="12" max="12" width="18" customWidth="1"/>
    <col min="13" max="13" width="14" customWidth="1"/>
    <col min="14" max="15" width="12" customWidth="1"/>
    <col min="16" max="16" width="30" customWidth="1"/>
  </cols>
  <sheetData>
    <row r="2" spans="1:16" ht="26.25" customHeight="1" x14ac:dyDescent="0.4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24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ht="24" customHeight="1" x14ac:dyDescent="0.25">
      <c r="A5" s="4">
        <v>1</v>
      </c>
      <c r="B5" s="5" t="s">
        <v>17</v>
      </c>
      <c r="C5" s="6" t="s">
        <v>18</v>
      </c>
      <c r="D5" s="6" t="s">
        <v>19</v>
      </c>
      <c r="E5" s="6" t="s">
        <v>20</v>
      </c>
      <c r="F5" s="7" t="s">
        <v>21</v>
      </c>
      <c r="G5" s="6" t="s">
        <v>22</v>
      </c>
      <c r="H5" s="6" t="s">
        <v>23</v>
      </c>
      <c r="I5" s="6" t="s">
        <v>24</v>
      </c>
      <c r="J5" s="6"/>
      <c r="K5" s="6"/>
      <c r="L5" s="6"/>
      <c r="M5" s="6" t="s">
        <v>25</v>
      </c>
      <c r="N5" s="6"/>
      <c r="O5" s="6"/>
      <c r="P5" s="6"/>
    </row>
    <row r="6" spans="1:16" ht="24" customHeight="1" x14ac:dyDescent="0.25">
      <c r="A6" s="4">
        <v>2</v>
      </c>
      <c r="B6" s="5" t="s">
        <v>17</v>
      </c>
      <c r="C6" s="6" t="s">
        <v>26</v>
      </c>
      <c r="D6" s="6" t="s">
        <v>19</v>
      </c>
      <c r="E6" s="6" t="s">
        <v>27</v>
      </c>
      <c r="F6" s="7" t="s">
        <v>21</v>
      </c>
      <c r="G6" s="6" t="s">
        <v>28</v>
      </c>
      <c r="H6" s="6" t="s">
        <v>29</v>
      </c>
      <c r="I6" s="6" t="s">
        <v>30</v>
      </c>
      <c r="J6" s="6"/>
      <c r="K6" s="6"/>
      <c r="L6" s="6"/>
      <c r="M6" s="6" t="s">
        <v>25</v>
      </c>
      <c r="N6" s="6"/>
      <c r="O6" s="6"/>
      <c r="P6" s="6" t="s">
        <v>31</v>
      </c>
    </row>
    <row r="7" spans="1:16" ht="36" customHeight="1" x14ac:dyDescent="0.25">
      <c r="A7" s="4">
        <v>3</v>
      </c>
      <c r="B7" s="5" t="s">
        <v>17</v>
      </c>
      <c r="C7" s="6" t="s">
        <v>32</v>
      </c>
      <c r="D7" s="6" t="s">
        <v>19</v>
      </c>
      <c r="E7" s="6" t="s">
        <v>20</v>
      </c>
      <c r="F7" s="7" t="s">
        <v>21</v>
      </c>
      <c r="G7" s="6" t="s">
        <v>33</v>
      </c>
      <c r="H7" s="6" t="s">
        <v>34</v>
      </c>
      <c r="I7" s="6" t="s">
        <v>24</v>
      </c>
      <c r="J7" s="6"/>
      <c r="K7" s="6"/>
      <c r="L7" s="6"/>
      <c r="M7" s="6" t="s">
        <v>25</v>
      </c>
      <c r="N7" s="6"/>
      <c r="O7" s="6"/>
      <c r="P7" s="6" t="s">
        <v>35</v>
      </c>
    </row>
    <row r="8" spans="1:16" ht="36" customHeight="1" x14ac:dyDescent="0.25">
      <c r="A8" s="4">
        <v>4</v>
      </c>
      <c r="B8" s="5" t="s">
        <v>17</v>
      </c>
      <c r="C8" s="6" t="s">
        <v>36</v>
      </c>
      <c r="D8" s="6" t="s">
        <v>19</v>
      </c>
      <c r="E8" s="6" t="s">
        <v>20</v>
      </c>
      <c r="F8" s="7" t="s">
        <v>21</v>
      </c>
      <c r="G8" s="6" t="s">
        <v>33</v>
      </c>
      <c r="H8" s="6" t="s">
        <v>37</v>
      </c>
      <c r="I8" s="6" t="s">
        <v>24</v>
      </c>
      <c r="J8" s="6"/>
      <c r="K8" s="6"/>
      <c r="L8" s="6"/>
      <c r="M8" s="6" t="s">
        <v>25</v>
      </c>
      <c r="N8" s="6"/>
      <c r="O8" s="6"/>
      <c r="P8" s="6" t="s">
        <v>38</v>
      </c>
    </row>
    <row r="9" spans="1:16" ht="24" customHeight="1" x14ac:dyDescent="0.25">
      <c r="A9" s="4">
        <v>5</v>
      </c>
      <c r="B9" s="5" t="s">
        <v>17</v>
      </c>
      <c r="C9" s="6" t="s">
        <v>39</v>
      </c>
      <c r="D9" s="6" t="s">
        <v>19</v>
      </c>
      <c r="E9" s="6" t="s">
        <v>40</v>
      </c>
      <c r="F9" s="7" t="s">
        <v>21</v>
      </c>
      <c r="G9" s="6" t="s">
        <v>33</v>
      </c>
      <c r="H9" s="6" t="s">
        <v>41</v>
      </c>
      <c r="I9" s="6" t="s">
        <v>24</v>
      </c>
      <c r="J9" s="6"/>
      <c r="K9" s="6"/>
      <c r="L9" s="6"/>
      <c r="M9" s="6" t="s">
        <v>25</v>
      </c>
      <c r="N9" s="6"/>
      <c r="O9" s="6"/>
      <c r="P9" s="6" t="s">
        <v>42</v>
      </c>
    </row>
    <row r="10" spans="1:16" ht="36" customHeight="1" x14ac:dyDescent="0.25">
      <c r="A10" s="4">
        <v>6</v>
      </c>
      <c r="B10" s="5" t="s">
        <v>17</v>
      </c>
      <c r="C10" s="6" t="s">
        <v>43</v>
      </c>
      <c r="D10" s="6" t="s">
        <v>19</v>
      </c>
      <c r="E10" s="6" t="s">
        <v>20</v>
      </c>
      <c r="F10" s="7" t="s">
        <v>21</v>
      </c>
      <c r="G10" s="6" t="s">
        <v>28</v>
      </c>
      <c r="H10" s="6" t="s">
        <v>44</v>
      </c>
      <c r="I10" s="6" t="s">
        <v>45</v>
      </c>
      <c r="J10" s="6"/>
      <c r="K10" s="6"/>
      <c r="L10" s="6"/>
      <c r="M10" s="6" t="s">
        <v>25</v>
      </c>
      <c r="N10" s="6"/>
      <c r="O10" s="6"/>
      <c r="P10" s="6" t="s">
        <v>46</v>
      </c>
    </row>
    <row r="11" spans="1:16" ht="24" customHeight="1" x14ac:dyDescent="0.25">
      <c r="A11" s="4">
        <v>7</v>
      </c>
      <c r="B11" s="5" t="s">
        <v>17</v>
      </c>
      <c r="C11" s="6" t="s">
        <v>47</v>
      </c>
      <c r="D11" s="6" t="s">
        <v>19</v>
      </c>
      <c r="E11" s="6" t="s">
        <v>27</v>
      </c>
      <c r="F11" s="7" t="s">
        <v>21</v>
      </c>
      <c r="G11" s="6" t="s">
        <v>48</v>
      </c>
      <c r="H11" s="6" t="s">
        <v>49</v>
      </c>
      <c r="I11" s="6" t="s">
        <v>50</v>
      </c>
      <c r="J11" s="6"/>
      <c r="K11" s="6"/>
      <c r="L11" s="6"/>
      <c r="M11" s="6" t="s">
        <v>25</v>
      </c>
      <c r="N11" s="6"/>
      <c r="O11" s="6"/>
      <c r="P11" s="6" t="s">
        <v>51</v>
      </c>
    </row>
    <row r="12" spans="1:16" ht="36" customHeight="1" x14ac:dyDescent="0.25">
      <c r="A12" s="4">
        <v>8</v>
      </c>
      <c r="B12" s="5" t="s">
        <v>52</v>
      </c>
      <c r="C12" s="6" t="s">
        <v>53</v>
      </c>
      <c r="D12" s="6" t="s">
        <v>54</v>
      </c>
      <c r="E12" s="6" t="s">
        <v>55</v>
      </c>
      <c r="F12" s="7" t="s">
        <v>21</v>
      </c>
      <c r="G12" s="6" t="s">
        <v>33</v>
      </c>
      <c r="H12" s="6" t="s">
        <v>56</v>
      </c>
      <c r="I12" s="6" t="s">
        <v>57</v>
      </c>
      <c r="J12" s="6"/>
      <c r="K12" s="6"/>
      <c r="L12" s="6"/>
      <c r="M12" s="6" t="s">
        <v>25</v>
      </c>
      <c r="N12" s="6"/>
      <c r="O12" s="6"/>
      <c r="P12" s="6" t="s">
        <v>58</v>
      </c>
    </row>
    <row r="13" spans="1:16" ht="36" customHeight="1" x14ac:dyDescent="0.25">
      <c r="A13" s="4">
        <v>9</v>
      </c>
      <c r="B13" s="5" t="s">
        <v>52</v>
      </c>
      <c r="C13" s="6" t="s">
        <v>59</v>
      </c>
      <c r="D13" s="6" t="s">
        <v>54</v>
      </c>
      <c r="E13" s="6" t="s">
        <v>60</v>
      </c>
      <c r="F13" s="7" t="s">
        <v>21</v>
      </c>
      <c r="G13" s="6" t="s">
        <v>33</v>
      </c>
      <c r="H13" s="6" t="s">
        <v>61</v>
      </c>
      <c r="I13" s="6" t="s">
        <v>57</v>
      </c>
      <c r="J13" s="6"/>
      <c r="K13" s="6"/>
      <c r="L13" s="6"/>
      <c r="M13" s="6" t="s">
        <v>25</v>
      </c>
      <c r="N13" s="6"/>
      <c r="O13" s="6"/>
      <c r="P13" s="6" t="s">
        <v>62</v>
      </c>
    </row>
    <row r="14" spans="1:16" ht="36" customHeight="1" x14ac:dyDescent="0.25">
      <c r="A14" s="4">
        <v>10</v>
      </c>
      <c r="B14" s="5" t="s">
        <v>52</v>
      </c>
      <c r="C14" s="6" t="s">
        <v>63</v>
      </c>
      <c r="D14" s="6" t="s">
        <v>54</v>
      </c>
      <c r="E14" s="6" t="s">
        <v>64</v>
      </c>
      <c r="F14" s="7" t="s">
        <v>21</v>
      </c>
      <c r="G14" s="6" t="s">
        <v>33</v>
      </c>
      <c r="H14" s="6" t="s">
        <v>65</v>
      </c>
      <c r="I14" s="6" t="s">
        <v>66</v>
      </c>
      <c r="J14" s="6"/>
      <c r="K14" s="6"/>
      <c r="L14" s="6"/>
      <c r="M14" s="6" t="s">
        <v>25</v>
      </c>
      <c r="N14" s="6"/>
      <c r="O14" s="6"/>
      <c r="P14" s="6" t="s">
        <v>67</v>
      </c>
    </row>
    <row r="15" spans="1:16" ht="24" customHeight="1" x14ac:dyDescent="0.25">
      <c r="A15" s="4">
        <v>11</v>
      </c>
      <c r="B15" s="5" t="s">
        <v>52</v>
      </c>
      <c r="C15" s="6" t="s">
        <v>68</v>
      </c>
      <c r="D15" s="6" t="s">
        <v>54</v>
      </c>
      <c r="E15" s="6" t="s">
        <v>64</v>
      </c>
      <c r="F15" s="7" t="s">
        <v>21</v>
      </c>
      <c r="G15" s="6" t="s">
        <v>33</v>
      </c>
      <c r="H15" s="6" t="s">
        <v>69</v>
      </c>
      <c r="I15" s="6" t="s">
        <v>57</v>
      </c>
      <c r="J15" s="6"/>
      <c r="K15" s="6"/>
      <c r="L15" s="6"/>
      <c r="M15" s="6" t="s">
        <v>25</v>
      </c>
      <c r="N15" s="6"/>
      <c r="O15" s="6"/>
      <c r="P15" s="6" t="s">
        <v>70</v>
      </c>
    </row>
    <row r="16" spans="1:16" ht="36" customHeight="1" x14ac:dyDescent="0.25">
      <c r="A16" s="4">
        <v>12</v>
      </c>
      <c r="B16" s="5" t="s">
        <v>71</v>
      </c>
      <c r="C16" s="6" t="s">
        <v>72</v>
      </c>
      <c r="D16" s="6" t="s">
        <v>73</v>
      </c>
      <c r="E16" s="6" t="s">
        <v>74</v>
      </c>
      <c r="F16" s="4" t="s">
        <v>75</v>
      </c>
      <c r="G16" s="6" t="s">
        <v>76</v>
      </c>
      <c r="H16" s="6" t="s">
        <v>77</v>
      </c>
      <c r="I16" s="6" t="s">
        <v>57</v>
      </c>
      <c r="J16" s="6"/>
      <c r="K16" s="6"/>
      <c r="L16" s="6"/>
      <c r="M16" s="6" t="s">
        <v>25</v>
      </c>
      <c r="N16" s="6"/>
      <c r="O16" s="6"/>
      <c r="P16" s="6" t="s">
        <v>78</v>
      </c>
    </row>
    <row r="17" spans="1:16" ht="24" customHeight="1" x14ac:dyDescent="0.25">
      <c r="A17" s="4">
        <v>13</v>
      </c>
      <c r="B17" s="5" t="s">
        <v>71</v>
      </c>
      <c r="C17" s="6" t="s">
        <v>79</v>
      </c>
      <c r="D17" s="6" t="s">
        <v>80</v>
      </c>
      <c r="E17" s="6" t="s">
        <v>74</v>
      </c>
      <c r="F17" s="7" t="s">
        <v>21</v>
      </c>
      <c r="G17" s="6" t="s">
        <v>76</v>
      </c>
      <c r="H17" s="6" t="s">
        <v>81</v>
      </c>
      <c r="I17" s="6" t="s">
        <v>82</v>
      </c>
      <c r="J17" s="6"/>
      <c r="K17" s="6"/>
      <c r="L17" s="6"/>
      <c r="M17" s="6" t="s">
        <v>83</v>
      </c>
      <c r="N17" s="6"/>
      <c r="O17" s="6"/>
      <c r="P17" s="6" t="s">
        <v>84</v>
      </c>
    </row>
    <row r="18" spans="1:16" ht="24" customHeight="1" x14ac:dyDescent="0.25">
      <c r="A18" s="4">
        <v>14</v>
      </c>
      <c r="B18" s="5" t="s">
        <v>71</v>
      </c>
      <c r="C18" s="6" t="s">
        <v>85</v>
      </c>
      <c r="D18" s="6" t="s">
        <v>86</v>
      </c>
      <c r="E18" s="6" t="s">
        <v>87</v>
      </c>
      <c r="F18" s="7" t="s">
        <v>21</v>
      </c>
      <c r="G18" s="6" t="s">
        <v>76</v>
      </c>
      <c r="H18" s="6" t="s">
        <v>88</v>
      </c>
      <c r="I18" s="6" t="s">
        <v>89</v>
      </c>
      <c r="J18" s="6"/>
      <c r="K18" s="6"/>
      <c r="L18" s="6"/>
      <c r="M18" s="6" t="s">
        <v>25</v>
      </c>
      <c r="N18" s="6"/>
      <c r="O18" s="6"/>
      <c r="P18" s="6" t="s">
        <v>90</v>
      </c>
    </row>
    <row r="19" spans="1:16" ht="24" customHeight="1" x14ac:dyDescent="0.25">
      <c r="A19" s="4">
        <v>15</v>
      </c>
      <c r="B19" s="5" t="s">
        <v>71</v>
      </c>
      <c r="C19" s="6" t="s">
        <v>91</v>
      </c>
      <c r="D19" s="6" t="s">
        <v>92</v>
      </c>
      <c r="E19" s="6" t="s">
        <v>93</v>
      </c>
      <c r="F19" s="7" t="s">
        <v>21</v>
      </c>
      <c r="G19" s="6" t="s">
        <v>33</v>
      </c>
      <c r="H19" s="6" t="s">
        <v>94</v>
      </c>
      <c r="I19" s="6" t="s">
        <v>95</v>
      </c>
      <c r="J19" s="6"/>
      <c r="K19" s="6"/>
      <c r="L19" s="6"/>
      <c r="M19" s="6" t="s">
        <v>25</v>
      </c>
      <c r="N19" s="6"/>
      <c r="O19" s="6"/>
      <c r="P19" s="6" t="s">
        <v>96</v>
      </c>
    </row>
    <row r="20" spans="1:16" ht="36" customHeight="1" x14ac:dyDescent="0.25">
      <c r="A20" s="4">
        <v>16</v>
      </c>
      <c r="B20" s="5" t="s">
        <v>97</v>
      </c>
      <c r="C20" s="6" t="s">
        <v>98</v>
      </c>
      <c r="D20" s="6" t="s">
        <v>99</v>
      </c>
      <c r="E20" s="6" t="s">
        <v>100</v>
      </c>
      <c r="F20" s="7" t="s">
        <v>21</v>
      </c>
      <c r="G20" s="6" t="s">
        <v>33</v>
      </c>
      <c r="H20" s="6" t="s">
        <v>101</v>
      </c>
      <c r="I20" s="6" t="s">
        <v>102</v>
      </c>
      <c r="J20" s="6" t="s">
        <v>103</v>
      </c>
      <c r="K20" s="6"/>
      <c r="L20" s="6"/>
      <c r="M20" s="6" t="s">
        <v>25</v>
      </c>
      <c r="N20" s="6" t="s">
        <v>104</v>
      </c>
      <c r="O20" s="6"/>
      <c r="P20" s="6" t="s">
        <v>105</v>
      </c>
    </row>
    <row r="21" spans="1:16" ht="24" customHeight="1" x14ac:dyDescent="0.25">
      <c r="A21" s="4">
        <v>17</v>
      </c>
      <c r="B21" s="5" t="s">
        <v>97</v>
      </c>
      <c r="C21" s="6" t="s">
        <v>106</v>
      </c>
      <c r="D21" s="6" t="s">
        <v>107</v>
      </c>
      <c r="E21" s="6" t="s">
        <v>108</v>
      </c>
      <c r="F21" s="7" t="s">
        <v>21</v>
      </c>
      <c r="G21" s="6" t="s">
        <v>33</v>
      </c>
      <c r="H21" s="6" t="s">
        <v>109</v>
      </c>
      <c r="I21" s="6" t="s">
        <v>110</v>
      </c>
      <c r="J21" s="6"/>
      <c r="K21" s="6"/>
      <c r="L21" s="6"/>
      <c r="M21" s="6" t="s">
        <v>25</v>
      </c>
      <c r="N21" s="6" t="s">
        <v>104</v>
      </c>
      <c r="O21" s="6"/>
      <c r="P21" s="6" t="s">
        <v>111</v>
      </c>
    </row>
    <row r="22" spans="1:16" ht="24" customHeight="1" x14ac:dyDescent="0.25">
      <c r="A22" s="4">
        <v>18</v>
      </c>
      <c r="B22" s="5" t="s">
        <v>97</v>
      </c>
      <c r="C22" s="6" t="s">
        <v>112</v>
      </c>
      <c r="D22" s="6" t="s">
        <v>113</v>
      </c>
      <c r="E22" s="6" t="s">
        <v>114</v>
      </c>
      <c r="F22" s="7" t="s">
        <v>21</v>
      </c>
      <c r="G22" s="6" t="s">
        <v>33</v>
      </c>
      <c r="H22" s="6" t="s">
        <v>115</v>
      </c>
      <c r="I22" s="6" t="s">
        <v>116</v>
      </c>
      <c r="J22" s="6"/>
      <c r="K22" s="6"/>
      <c r="L22" s="6"/>
      <c r="M22" s="6" t="s">
        <v>25</v>
      </c>
      <c r="N22" s="6" t="s">
        <v>104</v>
      </c>
      <c r="O22" s="6"/>
      <c r="P22" s="6" t="s">
        <v>117</v>
      </c>
    </row>
    <row r="23" spans="1:16" ht="36" customHeight="1" x14ac:dyDescent="0.25">
      <c r="A23" s="4">
        <v>19</v>
      </c>
      <c r="B23" s="5" t="s">
        <v>118</v>
      </c>
      <c r="C23" s="6" t="s">
        <v>119</v>
      </c>
      <c r="D23" s="6" t="s">
        <v>120</v>
      </c>
      <c r="E23" s="6" t="s">
        <v>21</v>
      </c>
      <c r="F23" s="7" t="s">
        <v>21</v>
      </c>
      <c r="G23" s="6" t="s">
        <v>48</v>
      </c>
      <c r="H23" s="6" t="s">
        <v>121</v>
      </c>
      <c r="I23" s="6" t="s">
        <v>122</v>
      </c>
      <c r="J23" s="6"/>
      <c r="K23" s="6"/>
      <c r="L23" s="6"/>
      <c r="M23" s="6" t="s">
        <v>83</v>
      </c>
      <c r="N23" s="6"/>
      <c r="O23" s="6"/>
      <c r="P23" s="6" t="s">
        <v>123</v>
      </c>
    </row>
    <row r="24" spans="1:16" ht="24" customHeight="1" x14ac:dyDescent="0.25">
      <c r="A24" s="4">
        <v>20</v>
      </c>
      <c r="B24" s="5" t="s">
        <v>118</v>
      </c>
      <c r="C24" s="6" t="s">
        <v>124</v>
      </c>
      <c r="D24" s="6" t="s">
        <v>120</v>
      </c>
      <c r="E24" s="6" t="s">
        <v>21</v>
      </c>
      <c r="F24" s="7" t="s">
        <v>21</v>
      </c>
      <c r="G24" s="6" t="s">
        <v>33</v>
      </c>
      <c r="H24" s="6" t="s">
        <v>125</v>
      </c>
      <c r="I24" s="6" t="s">
        <v>122</v>
      </c>
      <c r="J24" s="6"/>
      <c r="K24" s="6"/>
      <c r="L24" s="6"/>
      <c r="M24" s="6" t="s">
        <v>83</v>
      </c>
      <c r="N24" s="6"/>
      <c r="O24" s="6"/>
      <c r="P24" s="6"/>
    </row>
    <row r="25" spans="1:16" ht="24" customHeight="1" x14ac:dyDescent="0.25">
      <c r="A25" s="4">
        <v>21</v>
      </c>
      <c r="B25" s="5" t="s">
        <v>126</v>
      </c>
      <c r="C25" s="6" t="s">
        <v>127</v>
      </c>
      <c r="D25" s="6" t="s">
        <v>128</v>
      </c>
      <c r="E25" s="6" t="s">
        <v>129</v>
      </c>
      <c r="F25" s="7" t="s">
        <v>21</v>
      </c>
      <c r="G25" s="6" t="s">
        <v>76</v>
      </c>
      <c r="H25" s="6" t="s">
        <v>130</v>
      </c>
      <c r="I25" s="6" t="s">
        <v>131</v>
      </c>
      <c r="J25" s="6"/>
      <c r="K25" s="6"/>
      <c r="L25" s="6"/>
      <c r="M25" s="6" t="s">
        <v>83</v>
      </c>
      <c r="N25" s="6"/>
      <c r="O25" s="6"/>
      <c r="P25" s="6" t="s">
        <v>132</v>
      </c>
    </row>
    <row r="26" spans="1:16" ht="24" customHeight="1" x14ac:dyDescent="0.25">
      <c r="A26" s="4">
        <v>22</v>
      </c>
      <c r="B26" s="5" t="s">
        <v>126</v>
      </c>
      <c r="C26" s="6" t="s">
        <v>133</v>
      </c>
      <c r="D26" s="6" t="s">
        <v>134</v>
      </c>
      <c r="E26" s="6" t="s">
        <v>135</v>
      </c>
      <c r="F26" s="7" t="s">
        <v>21</v>
      </c>
      <c r="G26" s="6" t="s">
        <v>76</v>
      </c>
      <c r="H26" s="6" t="s">
        <v>136</v>
      </c>
      <c r="I26" s="6" t="s">
        <v>137</v>
      </c>
      <c r="J26" s="6"/>
      <c r="K26" s="6"/>
      <c r="L26" s="6"/>
      <c r="M26" s="6" t="s">
        <v>25</v>
      </c>
      <c r="N26" s="6"/>
      <c r="O26" s="6"/>
      <c r="P26" s="6" t="s">
        <v>138</v>
      </c>
    </row>
    <row r="27" spans="1:16" ht="24" customHeight="1" x14ac:dyDescent="0.25">
      <c r="A27" s="4">
        <v>23</v>
      </c>
      <c r="B27" s="5" t="s">
        <v>139</v>
      </c>
      <c r="C27" s="6" t="s">
        <v>140</v>
      </c>
      <c r="D27" s="6" t="s">
        <v>141</v>
      </c>
      <c r="E27" s="6" t="s">
        <v>129</v>
      </c>
      <c r="F27" s="7" t="s">
        <v>21</v>
      </c>
      <c r="G27" s="6" t="s">
        <v>48</v>
      </c>
      <c r="H27" s="6" t="s">
        <v>142</v>
      </c>
      <c r="I27" s="6" t="s">
        <v>131</v>
      </c>
      <c r="J27" s="6"/>
      <c r="K27" s="6"/>
      <c r="L27" s="6"/>
      <c r="M27" s="6" t="s">
        <v>83</v>
      </c>
      <c r="N27" s="6"/>
      <c r="O27" s="6"/>
      <c r="P27" s="6" t="s">
        <v>143</v>
      </c>
    </row>
    <row r="28" spans="1:16" ht="24" customHeight="1" x14ac:dyDescent="0.25">
      <c r="A28" s="4">
        <v>24</v>
      </c>
      <c r="B28" s="5" t="s">
        <v>139</v>
      </c>
      <c r="C28" s="6" t="s">
        <v>144</v>
      </c>
      <c r="D28" s="6" t="s">
        <v>134</v>
      </c>
      <c r="E28" s="6" t="s">
        <v>129</v>
      </c>
      <c r="F28" s="7" t="s">
        <v>21</v>
      </c>
      <c r="G28" s="6" t="s">
        <v>48</v>
      </c>
      <c r="H28" s="6" t="s">
        <v>145</v>
      </c>
      <c r="I28" s="6" t="s">
        <v>137</v>
      </c>
      <c r="J28" s="6"/>
      <c r="K28" s="6"/>
      <c r="L28" s="6"/>
      <c r="M28" s="6" t="s">
        <v>83</v>
      </c>
      <c r="N28" s="6"/>
      <c r="O28" s="6"/>
      <c r="P28" s="6"/>
    </row>
    <row r="29" spans="1:16" ht="24" customHeight="1" x14ac:dyDescent="0.25">
      <c r="A29" s="4">
        <v>25</v>
      </c>
      <c r="B29" s="5" t="s">
        <v>139</v>
      </c>
      <c r="C29" s="6" t="s">
        <v>146</v>
      </c>
      <c r="D29" s="6" t="s">
        <v>147</v>
      </c>
      <c r="E29" s="6" t="s">
        <v>129</v>
      </c>
      <c r="F29" s="7" t="s">
        <v>21</v>
      </c>
      <c r="G29" s="6" t="s">
        <v>48</v>
      </c>
      <c r="H29" s="6" t="s">
        <v>148</v>
      </c>
      <c r="I29" s="6" t="s">
        <v>149</v>
      </c>
      <c r="J29" s="6"/>
      <c r="K29" s="6"/>
      <c r="L29" s="6"/>
      <c r="M29" s="6" t="s">
        <v>83</v>
      </c>
      <c r="N29" s="6"/>
      <c r="O29" s="6"/>
      <c r="P29" s="6" t="s">
        <v>150</v>
      </c>
    </row>
    <row r="30" spans="1:16" ht="24" customHeight="1" x14ac:dyDescent="0.25">
      <c r="A30" s="4">
        <v>26</v>
      </c>
      <c r="B30" s="5" t="s">
        <v>151</v>
      </c>
      <c r="C30" s="6" t="s">
        <v>152</v>
      </c>
      <c r="D30" s="6" t="s">
        <v>54</v>
      </c>
      <c r="E30" s="6" t="s">
        <v>153</v>
      </c>
      <c r="F30" s="7" t="s">
        <v>21</v>
      </c>
      <c r="G30" s="6" t="s">
        <v>76</v>
      </c>
      <c r="H30" s="6" t="s">
        <v>154</v>
      </c>
      <c r="I30" s="6" t="s">
        <v>155</v>
      </c>
      <c r="J30" s="6"/>
      <c r="K30" s="6"/>
      <c r="L30" s="6"/>
      <c r="M30" s="6" t="s">
        <v>25</v>
      </c>
      <c r="N30" s="6"/>
      <c r="O30" s="6"/>
      <c r="P30" s="6" t="s">
        <v>156</v>
      </c>
    </row>
    <row r="31" spans="1:16" ht="24" customHeight="1" x14ac:dyDescent="0.25">
      <c r="A31" s="4">
        <v>27</v>
      </c>
      <c r="B31" s="5" t="s">
        <v>151</v>
      </c>
      <c r="C31" s="6" t="s">
        <v>157</v>
      </c>
      <c r="D31" s="6" t="s">
        <v>158</v>
      </c>
      <c r="E31" s="6" t="s">
        <v>21</v>
      </c>
      <c r="F31" s="7" t="s">
        <v>21</v>
      </c>
      <c r="G31" s="6" t="s">
        <v>76</v>
      </c>
      <c r="H31" s="6" t="s">
        <v>159</v>
      </c>
      <c r="I31" s="6" t="s">
        <v>155</v>
      </c>
      <c r="J31" s="6"/>
      <c r="K31" s="6"/>
      <c r="L31" s="6"/>
      <c r="M31" s="6" t="s">
        <v>25</v>
      </c>
      <c r="N31" s="6"/>
      <c r="O31" s="6"/>
      <c r="P31" s="6" t="s">
        <v>160</v>
      </c>
    </row>
  </sheetData>
  <mergeCells count="1"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5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3" width="10" customWidth="1"/>
    <col min="4" max="4" width="12" customWidth="1"/>
  </cols>
  <sheetData>
    <row r="2" spans="1:8" ht="26.25" customHeight="1" x14ac:dyDescent="0.4">
      <c r="A2" s="13" t="s">
        <v>185</v>
      </c>
      <c r="B2" s="14"/>
      <c r="C2" s="14"/>
      <c r="D2" s="14"/>
      <c r="E2" s="14"/>
      <c r="F2" s="14"/>
      <c r="G2" s="14"/>
      <c r="H2" s="14"/>
    </row>
    <row r="4" spans="1:8" ht="15.75" customHeight="1" x14ac:dyDescent="0.25">
      <c r="A4" s="1" t="s">
        <v>186</v>
      </c>
    </row>
    <row r="6" spans="1:8" x14ac:dyDescent="0.25">
      <c r="A6" s="3" t="s">
        <v>2</v>
      </c>
      <c r="B6" s="3" t="s">
        <v>187</v>
      </c>
      <c r="C6" s="3" t="s">
        <v>21</v>
      </c>
      <c r="D6" s="3" t="s">
        <v>188</v>
      </c>
    </row>
    <row r="7" spans="1:8" x14ac:dyDescent="0.25">
      <c r="A7" s="8" t="s">
        <v>17</v>
      </c>
      <c r="B7" s="9">
        <f>COUNTIF('Standards Register'!B5:B50,"ISO Standards")</f>
        <v>7</v>
      </c>
      <c r="C7" s="7">
        <f>COUNTIFS('Standards Register'!B5:B50,"ISO Standards",'Standards Register'!F5:F50,"Current")</f>
        <v>7</v>
      </c>
      <c r="D7" s="10">
        <f>COUNTIFS('Standards Register'!B5:B50,"ISO Standards",'Standards Register'!F5:F50,"Withdrawn")</f>
        <v>0</v>
      </c>
    </row>
    <row r="8" spans="1:8" x14ac:dyDescent="0.25">
      <c r="A8" s="8" t="s">
        <v>52</v>
      </c>
      <c r="B8" s="9">
        <f>COUNTIF('Standards Register'!B5:B50,"IMO Circulars")</f>
        <v>4</v>
      </c>
      <c r="C8" s="7">
        <f>COUNTIFS('Standards Register'!B5:B50,"IMO Circulars",'Standards Register'!F5:F50,"Current")</f>
        <v>4</v>
      </c>
      <c r="D8" s="10">
        <f>COUNTIFS('Standards Register'!B5:B50,"IMO Circulars",'Standards Register'!F5:F50,"Withdrawn")</f>
        <v>0</v>
      </c>
    </row>
    <row r="9" spans="1:8" x14ac:dyDescent="0.25">
      <c r="A9" s="8" t="s">
        <v>71</v>
      </c>
      <c r="B9" s="9">
        <f>COUNTIF('Standards Register'!B5:B50,"Maritime Security")</f>
        <v>4</v>
      </c>
      <c r="C9" s="7">
        <f>COUNTIFS('Standards Register'!B5:B50,"Maritime Security",'Standards Register'!F5:F50,"Current")</f>
        <v>3</v>
      </c>
      <c r="D9" s="10">
        <f>COUNTIFS('Standards Register'!B5:B50,"Maritime Security",'Standards Register'!F5:F50,"Withdrawn")</f>
        <v>0</v>
      </c>
    </row>
    <row r="10" spans="1:8" x14ac:dyDescent="0.25">
      <c r="A10" s="8" t="s">
        <v>97</v>
      </c>
      <c r="B10" s="9">
        <f>COUNTIF('Standards Register'!B5:B50,"Codes of Conduct")</f>
        <v>3</v>
      </c>
      <c r="C10" s="7">
        <f>COUNTIFS('Standards Register'!B5:B50,"Codes of Conduct",'Standards Register'!F5:F50,"Current")</f>
        <v>3</v>
      </c>
      <c r="D10" s="10">
        <f>COUNTIFS('Standards Register'!B5:B50,"Codes of Conduct",'Standards Register'!F5:F50,"Withdrawn")</f>
        <v>0</v>
      </c>
    </row>
    <row r="11" spans="1:8" x14ac:dyDescent="0.25">
      <c r="A11" s="8" t="s">
        <v>118</v>
      </c>
      <c r="B11" s="9">
        <f>COUNTIF('Standards Register'!B5:B50,"Client Standards")</f>
        <v>2</v>
      </c>
      <c r="C11" s="7">
        <f>COUNTIFS('Standards Register'!B5:B50,"Client Standards",'Standards Register'!F5:F50,"Current")</f>
        <v>2</v>
      </c>
      <c r="D11" s="10">
        <f>COUNTIFS('Standards Register'!B5:B50,"Client Standards",'Standards Register'!F5:F50,"Withdrawn")</f>
        <v>0</v>
      </c>
    </row>
    <row r="12" spans="1:8" x14ac:dyDescent="0.25">
      <c r="A12" s="8" t="s">
        <v>126</v>
      </c>
      <c r="B12" s="9">
        <f>COUNTIF('Standards Register'!B5:B50,"Export Control")</f>
        <v>2</v>
      </c>
      <c r="C12" s="7">
        <f>COUNTIFS('Standards Register'!B5:B50,"Export Control",'Standards Register'!F5:F50,"Current")</f>
        <v>2</v>
      </c>
      <c r="D12" s="10">
        <f>COUNTIFS('Standards Register'!B5:B50,"Export Control",'Standards Register'!F5:F50,"Withdrawn")</f>
        <v>0</v>
      </c>
    </row>
    <row r="13" spans="1:8" x14ac:dyDescent="0.25">
      <c r="A13" s="8" t="s">
        <v>139</v>
      </c>
      <c r="B13" s="9">
        <f>COUNTIF('Standards Register'!B5:B50,"Sanctions")</f>
        <v>3</v>
      </c>
      <c r="C13" s="7">
        <f>COUNTIFS('Standards Register'!B5:B50,"Sanctions",'Standards Register'!F5:F50,"Current")</f>
        <v>3</v>
      </c>
      <c r="D13" s="10">
        <f>COUNTIFS('Standards Register'!B5:B50,"Sanctions",'Standards Register'!F5:F50,"Withdrawn")</f>
        <v>0</v>
      </c>
    </row>
    <row r="14" spans="1:8" x14ac:dyDescent="0.25">
      <c r="A14" s="8" t="s">
        <v>151</v>
      </c>
      <c r="B14" s="9">
        <f>COUNTIF('Standards Register'!B5:B50,"Training Standards")</f>
        <v>2</v>
      </c>
      <c r="C14" s="7">
        <f>COUNTIFS('Standards Register'!B5:B50,"Training Standards",'Standards Register'!F5:F50,"Current")</f>
        <v>2</v>
      </c>
      <c r="D14" s="10">
        <f>COUNTIFS('Standards Register'!B5:B50,"Training Standards",'Standards Register'!F5:F50,"Withdrawn")</f>
        <v>0</v>
      </c>
    </row>
    <row r="15" spans="1:8" x14ac:dyDescent="0.25">
      <c r="A15" s="11" t="s">
        <v>189</v>
      </c>
      <c r="B15" s="12">
        <f>SUM(B7:B14)</f>
        <v>27</v>
      </c>
      <c r="C15" s="12">
        <f>SUM(C7:C14)</f>
        <v>26</v>
      </c>
      <c r="D15" s="12">
        <f>SUM(D7:D14)</f>
        <v>0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3"/>
  <sheetViews>
    <sheetView showGridLines="0" zoomScaleNormal="100" workbookViewId="0"/>
  </sheetViews>
  <sheetFormatPr defaultColWidth="8.7109375" defaultRowHeight="15" x14ac:dyDescent="0.25"/>
  <cols>
    <col min="1" max="1" width="100" customWidth="1"/>
  </cols>
  <sheetData>
    <row r="2" spans="1:6" ht="26.25" customHeight="1" x14ac:dyDescent="0.4">
      <c r="A2" s="13" t="s">
        <v>190</v>
      </c>
      <c r="B2" s="14"/>
      <c r="C2" s="14"/>
      <c r="D2" s="14"/>
      <c r="E2" s="14"/>
      <c r="F2" s="14"/>
    </row>
    <row r="4" spans="1:6" x14ac:dyDescent="0.25">
      <c r="A4" s="20" t="s">
        <v>191</v>
      </c>
      <c r="B4" s="14"/>
      <c r="C4" s="14"/>
      <c r="D4" s="14"/>
      <c r="E4" s="14"/>
      <c r="F4" s="14"/>
    </row>
    <row r="5" spans="1:6" x14ac:dyDescent="0.25">
      <c r="A5" s="20" t="s">
        <v>192</v>
      </c>
      <c r="B5" s="14"/>
      <c r="C5" s="14"/>
      <c r="D5" s="14"/>
      <c r="E5" s="14"/>
      <c r="F5" s="14"/>
    </row>
    <row r="6" spans="1:6" x14ac:dyDescent="0.25">
      <c r="A6" s="20" t="s">
        <v>193</v>
      </c>
      <c r="B6" s="14"/>
      <c r="C6" s="14"/>
      <c r="D6" s="14"/>
      <c r="E6" s="14"/>
      <c r="F6" s="14"/>
    </row>
    <row r="7" spans="1:6" x14ac:dyDescent="0.25">
      <c r="A7" s="20" t="s">
        <v>194</v>
      </c>
      <c r="B7" s="14"/>
      <c r="C7" s="14"/>
      <c r="D7" s="14"/>
      <c r="E7" s="14"/>
      <c r="F7" s="14"/>
    </row>
    <row r="8" spans="1:6" x14ac:dyDescent="0.25">
      <c r="A8" s="20" t="s">
        <v>195</v>
      </c>
      <c r="B8" s="14"/>
      <c r="C8" s="14"/>
      <c r="D8" s="14"/>
      <c r="E8" s="14"/>
      <c r="F8" s="14"/>
    </row>
    <row r="9" spans="1:6" x14ac:dyDescent="0.25">
      <c r="A9" s="20" t="s">
        <v>196</v>
      </c>
      <c r="B9" s="14"/>
      <c r="C9" s="14"/>
      <c r="D9" s="14"/>
      <c r="E9" s="14"/>
      <c r="F9" s="14"/>
    </row>
    <row r="10" spans="1:6" x14ac:dyDescent="0.25">
      <c r="A10" s="20" t="s">
        <v>197</v>
      </c>
      <c r="B10" s="14"/>
      <c r="C10" s="14"/>
      <c r="D10" s="14"/>
      <c r="E10" s="14"/>
      <c r="F10" s="14"/>
    </row>
    <row r="11" spans="1:6" x14ac:dyDescent="0.25">
      <c r="A11" s="20" t="s">
        <v>198</v>
      </c>
      <c r="B11" s="14"/>
      <c r="C11" s="14"/>
      <c r="D11" s="14"/>
      <c r="E11" s="14"/>
      <c r="F11" s="14"/>
    </row>
    <row r="12" spans="1:6" x14ac:dyDescent="0.25">
      <c r="A12" s="20" t="s">
        <v>199</v>
      </c>
      <c r="B12" s="14"/>
      <c r="C12" s="14"/>
      <c r="D12" s="14"/>
      <c r="E12" s="14"/>
      <c r="F12" s="14"/>
    </row>
    <row r="13" spans="1:6" x14ac:dyDescent="0.25">
      <c r="A13" s="20" t="s">
        <v>200</v>
      </c>
      <c r="B13" s="14"/>
      <c r="C13" s="14"/>
      <c r="D13" s="14"/>
      <c r="E13" s="14"/>
      <c r="F13" s="14"/>
    </row>
  </sheetData>
  <mergeCells count="11">
    <mergeCell ref="A2:F2"/>
    <mergeCell ref="A11:F11"/>
    <mergeCell ref="A10:F10"/>
    <mergeCell ref="A13:F13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 Information</vt:lpstr>
      <vt:lpstr>Standards Register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cp:revision>0</cp:revision>
  <dcterms:created xsi:type="dcterms:W3CDTF">2026-04-01T11:15:00Z</dcterms:created>
  <dcterms:modified xsi:type="dcterms:W3CDTF">2026-04-10T06:18:27Z</dcterms:modified>
  <dc:language>en-US</dc:language>
</cp:coreProperties>
</file>