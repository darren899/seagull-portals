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09 - Templates and Forms/"/>
    </mc:Choice>
  </mc:AlternateContent>
  <xr:revisionPtr revIDLastSave="0" documentId="11_DE9A28664762B6317FB8081FB705D14B76F2AB03" xr6:coauthVersionLast="47" xr6:coauthVersionMax="47" xr10:uidLastSave="{00000000-0000-0000-0000-000000000000}"/>
  <bookViews>
    <workbookView xWindow="-120" yWindow="-120" windowWidth="77040" windowHeight="21120" activeTab="1" xr2:uid="{00000000-000D-0000-FFFF-FFFF00000000}"/>
  </bookViews>
  <sheets>
    <sheet name="Supplier Information" sheetId="1" r:id="rId1"/>
    <sheet name="Certifications &amp; H&amp;S" sheetId="2" r:id="rId2"/>
    <sheet name="Insurance &amp; Systems" sheetId="3" r:id="rId3"/>
    <sheet name="Approval" sheetId="4" r:id="rId4"/>
    <sheet name="Dashboard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D16" i="5" s="1"/>
  <c r="C10" i="5"/>
  <c r="C16" i="5" s="1"/>
  <c r="B10" i="5"/>
  <c r="B16" i="5" s="1"/>
  <c r="E16" i="5" s="1"/>
  <c r="B7" i="5"/>
</calcChain>
</file>

<file path=xl/sharedStrings.xml><?xml version="1.0" encoding="utf-8"?>
<sst xmlns="http://schemas.openxmlformats.org/spreadsheetml/2006/main" count="158" uniqueCount="142">
  <si>
    <t>SUPPLIER APPROVAL CHECKLIST</t>
  </si>
  <si>
    <t>SM/INT/FORM/006  |  Supplier Information</t>
  </si>
  <si>
    <t>Field</t>
  </si>
  <si>
    <t>Value</t>
  </si>
  <si>
    <t>Verified?</t>
  </si>
  <si>
    <t>Source FORM/004 Ref</t>
  </si>
  <si>
    <t>Notes</t>
  </si>
  <si>
    <t>Date Verified</t>
  </si>
  <si>
    <t>Company Name</t>
  </si>
  <si>
    <t>Trading Name (if different)</t>
  </si>
  <si>
    <t>Country of Registration</t>
  </si>
  <si>
    <t>Company Registration Number</t>
  </si>
  <si>
    <t>Registered Address</t>
  </si>
  <si>
    <t>Operational Address (if different)</t>
  </si>
  <si>
    <t>Website</t>
  </si>
  <si>
    <t>Year Established</t>
  </si>
  <si>
    <t>Number of Employees</t>
  </si>
  <si>
    <t>PRIMARY CONTACT</t>
  </si>
  <si>
    <t>Contact Name</t>
  </si>
  <si>
    <t>Position / Title</t>
  </si>
  <si>
    <t>Email Address</t>
  </si>
  <si>
    <t>Telephone Number</t>
  </si>
  <si>
    <t>SENIOR MANAGEMENT CONTACT</t>
  </si>
  <si>
    <t>Name</t>
  </si>
  <si>
    <t>GOODS AND SERVICES</t>
  </si>
  <si>
    <t>Description of goods/services</t>
  </si>
  <si>
    <t>Service Category</t>
  </si>
  <si>
    <t>Critical to operations?</t>
  </si>
  <si>
    <t>Geographic coverage</t>
  </si>
  <si>
    <t>SM/INT/FORM/006  |  Certifications &amp; Health and Safety</t>
  </si>
  <si>
    <t>#</t>
  </si>
  <si>
    <t>Item</t>
  </si>
  <si>
    <t>Response</t>
  </si>
  <si>
    <t>Certificate / Evidence Ref</t>
  </si>
  <si>
    <t>Expiry Date</t>
  </si>
  <si>
    <t>Remarks</t>
  </si>
  <si>
    <t>CERTIFICATIONS AND ACCREDITATIONS</t>
  </si>
  <si>
    <t>3.1</t>
  </si>
  <si>
    <t>ISO 9001 (Quality Management) certified?</t>
  </si>
  <si>
    <t>3.2</t>
  </si>
  <si>
    <t>ISO 45001 (OH&amp;S Management) certified?</t>
  </si>
  <si>
    <t>3.3</t>
  </si>
  <si>
    <t>ISO 14001 (Environmental) certified?</t>
  </si>
  <si>
    <t>3.4</t>
  </si>
  <si>
    <t>ISO 27001 (Information Security) certified?</t>
  </si>
  <si>
    <t>3.5</t>
  </si>
  <si>
    <t>ISM Code (Safety Management Certificate)?</t>
  </si>
  <si>
    <t>3.6</t>
  </si>
  <si>
    <t>Other relevant certifications / accreditations / memberships</t>
  </si>
  <si>
    <t>HEALTH AND SAFETY</t>
  </si>
  <si>
    <t>4.1</t>
  </si>
  <si>
    <t>Documented Health &amp; Safety policy?</t>
  </si>
  <si>
    <t>4.2</t>
  </si>
  <si>
    <t>Health &amp; Safety management system in place?</t>
  </si>
  <si>
    <t>4.3</t>
  </si>
  <si>
    <t>H&amp;S management arrangements described?</t>
  </si>
  <si>
    <t>4.4</t>
  </si>
  <si>
    <t>Any reportable H&amp;S incidents in past 12 months?</t>
  </si>
  <si>
    <t>4.5</t>
  </si>
  <si>
    <t>Regular risk assessments conducted?</t>
  </si>
  <si>
    <t>4.6</t>
  </si>
  <si>
    <t>Training and competence records maintained?</t>
  </si>
  <si>
    <t>4.7</t>
  </si>
  <si>
    <t>Incident reporting and investigation procedures?</t>
  </si>
  <si>
    <t>4.8</t>
  </si>
  <si>
    <t>Lost time injury (LTI) rate available?</t>
  </si>
  <si>
    <t>SM/INT/FORM/006  |  Insurance &amp; Management Systems</t>
  </si>
  <si>
    <t>Insurer / Evidence Ref</t>
  </si>
  <si>
    <t>Policy Limit / Expiry</t>
  </si>
  <si>
    <t>INSURANCE</t>
  </si>
  <si>
    <t>5.1</t>
  </si>
  <si>
    <t>Public / Third-Party Liability Insurance?</t>
  </si>
  <si>
    <t>5.2</t>
  </si>
  <si>
    <t>Professional Indemnity Insurance?</t>
  </si>
  <si>
    <t>5.3</t>
  </si>
  <si>
    <t>Employers' Liability Insurance?</t>
  </si>
  <si>
    <t>5.4</t>
  </si>
  <si>
    <t>Other relevant insurance coverage</t>
  </si>
  <si>
    <t>5.5</t>
  </si>
  <si>
    <t>Insurance certificates attached / on file?</t>
  </si>
  <si>
    <t>MANAGEMENT SYSTEMS AND PROCEDURES</t>
  </si>
  <si>
    <t>6.1</t>
  </si>
  <si>
    <t>Formal quality management system in place?</t>
  </si>
  <si>
    <t>6.2</t>
  </si>
  <si>
    <t>Documented operational procedures?</t>
  </si>
  <si>
    <t>6.3</t>
  </si>
  <si>
    <t>Formal complaints handling procedure?</t>
  </si>
  <si>
    <t>6.4</t>
  </si>
  <si>
    <t>Internal audits conducted?</t>
  </si>
  <si>
    <t>6.5</t>
  </si>
  <si>
    <t>Service quality monitoring described?</t>
  </si>
  <si>
    <t>SM/INT/FORM/006  |  Policy Acknowledgements &amp; Approval</t>
  </si>
  <si>
    <t>Policy / Commitment</t>
  </si>
  <si>
    <t>Acknowledged?</t>
  </si>
  <si>
    <t>7.1</t>
  </si>
  <si>
    <t>Seagull Maritime Code of Conduct (SM/INT/POL/002)</t>
  </si>
  <si>
    <t>7.2</t>
  </si>
  <si>
    <t>Anti-Bribery, Corruption and Sanctions Policy (SM/INT/POL/003)</t>
  </si>
  <si>
    <t>7.3</t>
  </si>
  <si>
    <t>Human Rights Policy (SM/SEC/POL/002)</t>
  </si>
  <si>
    <t>7.4</t>
  </si>
  <si>
    <t>Data Protection Policy (SM/INT/POL/006)</t>
  </si>
  <si>
    <t>7.5</t>
  </si>
  <si>
    <t>Voluntary Principles on Security and Human Rights (VPSHR)</t>
  </si>
  <si>
    <t>7.6</t>
  </si>
  <si>
    <t>International Code of Conduct (ICoC)</t>
  </si>
  <si>
    <t>7.7</t>
  </si>
  <si>
    <t>Montreux Document</t>
  </si>
  <si>
    <t>SEAGULL INTERNAL APPROVAL</t>
  </si>
  <si>
    <t>Received by:</t>
  </si>
  <si>
    <t>Date Received:</t>
  </si>
  <si>
    <t>Evaluated by:</t>
  </si>
  <si>
    <t>Evaluation Date:</t>
  </si>
  <si>
    <t>Rating Recommendation:</t>
  </si>
  <si>
    <t>Basis of Approval:</t>
  </si>
  <si>
    <t>Approved by (GCD):</t>
  </si>
  <si>
    <t>Date Approved:</t>
  </si>
  <si>
    <t>Approval Status:</t>
  </si>
  <si>
    <t>Notes:</t>
  </si>
  <si>
    <t>SM/INT/FORM/006  |  Compliance Dashboard</t>
  </si>
  <si>
    <t>Supplier:</t>
  </si>
  <si>
    <t>Section</t>
  </si>
  <si>
    <t>Yes</t>
  </si>
  <si>
    <t>No / Partial</t>
  </si>
  <si>
    <t>N/A</t>
  </si>
  <si>
    <t>Completion %</t>
  </si>
  <si>
    <t>Certifications (3.1-3.6)</t>
  </si>
  <si>
    <t>Health &amp; Safety (4.1-4.8)</t>
  </si>
  <si>
    <t>Insurance (5.1-5.5)</t>
  </si>
  <si>
    <t>Management Systems (6.1-6.5)</t>
  </si>
  <si>
    <t>Policy Acknowledgements (7.1-7.7)</t>
  </si>
  <si>
    <t>OVERALL COMPLETION</t>
  </si>
  <si>
    <t>Rating:</t>
  </si>
  <si>
    <t>SM/INT/FORM/006 — SUPPLIER APPROVAL CHECKLIST INSTRUCTIONS</t>
  </si>
  <si>
    <t>PURPOSE</t>
  </si>
  <si>
    <t>This checklist is used internally by Seagull Maritime to assess and approve suppliers of goods and services. It supports SM/INT/PRO/017 (Supplier, Contractor and Procurement Management Procedure). Supplier information is sourced from the completed SM/INT/FORM/004 (Supplier Approval Form) returned by the supplier.</t>
  </si>
  <si>
    <t>WHO COMPLETES IT</t>
  </si>
  <si>
    <t>This checklist is completed by Seagull Maritime staff only. The supplier completes SM/INT/FORM/004 (Supplier Approval Form) which provides the source data. The designated person transfers information from the returned Word form into this checklist. The Dashboard (Sheet 5) calculates automatically.</t>
  </si>
  <si>
    <t>RESPONSE OPTIONS</t>
  </si>
  <si>
    <t>Yes = Requirement met with documented evidence
No = Requirement not met
Partial = Partially meets requirement, evidence incomplete
N/A = Not applicable to this supplier</t>
  </si>
  <si>
    <t>REFERENCES</t>
  </si>
  <si>
    <t>SM/INT/PRO/017 — Supplier, Contractor and Procurement Management Procedure
SM/INT/FORM/004 — Supplier Approval Form (provider-facing Word form)
SM/INT/FORM/005 — Supplier Corrective Action Report
SM/INT/REG/010 — Supplier and Subcontractor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</si>
</sst>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003C72"/>
      <name val="Avenir Next LT Pro"/>
    </font>
    <font>
      <b/>
      <sz val="12"/>
      <color rgb="FF003C72"/>
      <name val="Avenir Next LT Pro"/>
    </font>
    <font>
      <b/>
      <sz val="9"/>
      <color rgb="FFFFFFFF"/>
      <name val="Aptos"/>
    </font>
    <font>
      <sz val="9"/>
      <name val="Aptos"/>
    </font>
    <font>
      <b/>
      <sz val="9"/>
      <name val="Aptos"/>
    </font>
    <font>
      <b/>
      <sz val="9"/>
      <color rgb="FF003C72"/>
      <name val="Aptos"/>
    </font>
  </fonts>
  <fills count="4">
    <fill>
      <patternFill patternType="none"/>
    </fill>
    <fill>
      <patternFill patternType="gray125"/>
    </fill>
    <fill>
      <patternFill patternType="solid">
        <fgColor rgb="FF003C72"/>
      </patternFill>
    </fill>
    <fill>
      <patternFill patternType="solid">
        <fgColor rgb="FFE6EDF5"/>
      </patternFill>
    </fill>
  </fills>
  <borders count="2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0" borderId="0" xfId="0" applyFont="1"/>
    <xf numFmtId="9" fontId="4" fillId="0" borderId="1" xfId="0" applyNumberFormat="1" applyFont="1" applyBorder="1" applyAlignment="1">
      <alignment horizontal="left" vertical="center" wrapText="1"/>
    </xf>
    <xf numFmtId="9" fontId="4" fillId="3" borderId="1" xfId="0" applyNumberFormat="1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2" borderId="1" xfId="0" applyFill="1" applyBorder="1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C72"/>
  </sheetPr>
  <dimension ref="A1:F36"/>
  <sheetViews>
    <sheetView showGridLines="0" workbookViewId="0">
      <selection activeCell="C9" sqref="C9"/>
    </sheetView>
  </sheetViews>
  <sheetFormatPr defaultRowHeight="15" x14ac:dyDescent="0.25"/>
  <cols>
    <col min="1" max="1" width="28" customWidth="1"/>
    <col min="2" max="2" width="35" customWidth="1"/>
    <col min="3" max="5" width="15" customWidth="1"/>
    <col min="6" max="6" width="20" customWidth="1"/>
  </cols>
  <sheetData>
    <row r="1" spans="1:6" ht="15" customHeight="1" x14ac:dyDescent="0.25"/>
    <row r="2" spans="1:6" ht="15" customHeight="1" x14ac:dyDescent="0.25"/>
    <row r="3" spans="1:6" ht="15" customHeight="1" x14ac:dyDescent="0.25"/>
    <row r="4" spans="1:6" ht="26.25" x14ac:dyDescent="0.4">
      <c r="A4" s="18" t="s">
        <v>0</v>
      </c>
      <c r="B4" s="15"/>
      <c r="C4" s="15"/>
      <c r="D4" s="15"/>
      <c r="E4" s="15"/>
      <c r="F4" s="15"/>
    </row>
    <row r="5" spans="1:6" ht="15.75" x14ac:dyDescent="0.25">
      <c r="A5" s="14" t="s">
        <v>1</v>
      </c>
      <c r="B5" s="15"/>
      <c r="C5" s="15"/>
      <c r="D5" s="15"/>
      <c r="E5" s="15"/>
      <c r="F5" s="15"/>
    </row>
    <row r="7" spans="1:6" ht="24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</row>
    <row r="8" spans="1:6" x14ac:dyDescent="0.25">
      <c r="A8" s="2" t="s">
        <v>8</v>
      </c>
      <c r="B8" s="3"/>
      <c r="C8" s="3"/>
      <c r="D8" s="3"/>
      <c r="E8" s="3"/>
      <c r="F8" s="3"/>
    </row>
    <row r="9" spans="1:6" x14ac:dyDescent="0.25">
      <c r="A9" s="4" t="s">
        <v>9</v>
      </c>
      <c r="B9" s="5"/>
      <c r="C9" s="5"/>
      <c r="D9" s="5"/>
      <c r="E9" s="5"/>
      <c r="F9" s="5"/>
    </row>
    <row r="10" spans="1:6" x14ac:dyDescent="0.25">
      <c r="A10" s="2" t="s">
        <v>10</v>
      </c>
      <c r="B10" s="3"/>
      <c r="C10" s="3"/>
      <c r="D10" s="3"/>
      <c r="E10" s="3"/>
      <c r="F10" s="3"/>
    </row>
    <row r="11" spans="1:6" x14ac:dyDescent="0.25">
      <c r="A11" s="4" t="s">
        <v>11</v>
      </c>
      <c r="B11" s="5"/>
      <c r="C11" s="5"/>
      <c r="D11" s="5"/>
      <c r="E11" s="5"/>
      <c r="F11" s="5"/>
    </row>
    <row r="12" spans="1:6" x14ac:dyDescent="0.25">
      <c r="A12" s="2" t="s">
        <v>12</v>
      </c>
      <c r="B12" s="3"/>
      <c r="C12" s="3"/>
      <c r="D12" s="3"/>
      <c r="E12" s="3"/>
      <c r="F12" s="3"/>
    </row>
    <row r="13" spans="1:6" x14ac:dyDescent="0.25">
      <c r="A13" s="4" t="s">
        <v>13</v>
      </c>
      <c r="B13" s="5"/>
      <c r="C13" s="5"/>
      <c r="D13" s="5"/>
      <c r="E13" s="5"/>
      <c r="F13" s="5"/>
    </row>
    <row r="14" spans="1:6" x14ac:dyDescent="0.25">
      <c r="A14" s="2" t="s">
        <v>14</v>
      </c>
      <c r="B14" s="3"/>
      <c r="C14" s="3"/>
      <c r="D14" s="3"/>
      <c r="E14" s="3"/>
      <c r="F14" s="3"/>
    </row>
    <row r="15" spans="1:6" x14ac:dyDescent="0.25">
      <c r="A15" s="4" t="s">
        <v>15</v>
      </c>
      <c r="B15" s="5"/>
      <c r="C15" s="5"/>
      <c r="D15" s="5"/>
      <c r="E15" s="5"/>
      <c r="F15" s="5"/>
    </row>
    <row r="16" spans="1:6" x14ac:dyDescent="0.25">
      <c r="A16" s="2" t="s">
        <v>16</v>
      </c>
      <c r="B16" s="3"/>
      <c r="C16" s="3"/>
      <c r="D16" s="3"/>
      <c r="E16" s="3"/>
      <c r="F16" s="3"/>
    </row>
    <row r="18" spans="1:6" x14ac:dyDescent="0.25">
      <c r="A18" s="16" t="s">
        <v>17</v>
      </c>
      <c r="B18" s="17"/>
      <c r="C18" s="17"/>
      <c r="D18" s="17"/>
      <c r="E18" s="17"/>
      <c r="F18" s="17"/>
    </row>
    <row r="20" spans="1:6" x14ac:dyDescent="0.25">
      <c r="A20" s="2" t="s">
        <v>18</v>
      </c>
      <c r="B20" s="3"/>
      <c r="C20" s="3"/>
      <c r="D20" s="3"/>
      <c r="E20" s="3"/>
      <c r="F20" s="3"/>
    </row>
    <row r="21" spans="1:6" x14ac:dyDescent="0.25">
      <c r="A21" s="4" t="s">
        <v>19</v>
      </c>
      <c r="B21" s="5"/>
      <c r="C21" s="5"/>
      <c r="D21" s="5"/>
      <c r="E21" s="5"/>
      <c r="F21" s="5"/>
    </row>
    <row r="22" spans="1:6" x14ac:dyDescent="0.25">
      <c r="A22" s="2" t="s">
        <v>20</v>
      </c>
      <c r="B22" s="3"/>
      <c r="C22" s="3"/>
      <c r="D22" s="3"/>
      <c r="E22" s="3"/>
      <c r="F22" s="3"/>
    </row>
    <row r="23" spans="1:6" x14ac:dyDescent="0.25">
      <c r="A23" s="4" t="s">
        <v>21</v>
      </c>
      <c r="B23" s="5"/>
      <c r="C23" s="5"/>
      <c r="D23" s="5"/>
      <c r="E23" s="5"/>
      <c r="F23" s="5"/>
    </row>
    <row r="25" spans="1:6" x14ac:dyDescent="0.25">
      <c r="A25" s="16" t="s">
        <v>22</v>
      </c>
      <c r="B25" s="17"/>
      <c r="C25" s="17"/>
      <c r="D25" s="17"/>
      <c r="E25" s="17"/>
      <c r="F25" s="17"/>
    </row>
    <row r="27" spans="1:6" x14ac:dyDescent="0.25">
      <c r="A27" s="4" t="s">
        <v>23</v>
      </c>
      <c r="B27" s="5"/>
      <c r="C27" s="5"/>
      <c r="D27" s="5"/>
      <c r="E27" s="5"/>
      <c r="F27" s="5"/>
    </row>
    <row r="28" spans="1:6" x14ac:dyDescent="0.25">
      <c r="A28" s="2" t="s">
        <v>19</v>
      </c>
      <c r="B28" s="3"/>
      <c r="C28" s="3"/>
      <c r="D28" s="3"/>
      <c r="E28" s="3"/>
      <c r="F28" s="3"/>
    </row>
    <row r="29" spans="1:6" x14ac:dyDescent="0.25">
      <c r="A29" s="4" t="s">
        <v>20</v>
      </c>
      <c r="B29" s="5"/>
      <c r="C29" s="5"/>
      <c r="D29" s="5"/>
      <c r="E29" s="5"/>
      <c r="F29" s="5"/>
    </row>
    <row r="31" spans="1:6" x14ac:dyDescent="0.25">
      <c r="A31" s="16" t="s">
        <v>24</v>
      </c>
      <c r="B31" s="17"/>
      <c r="C31" s="17"/>
      <c r="D31" s="17"/>
      <c r="E31" s="17"/>
      <c r="F31" s="17"/>
    </row>
    <row r="33" spans="1:6" x14ac:dyDescent="0.25">
      <c r="A33" s="4" t="s">
        <v>25</v>
      </c>
      <c r="B33" s="5"/>
      <c r="C33" s="5"/>
      <c r="D33" s="5"/>
      <c r="E33" s="5"/>
      <c r="F33" s="5"/>
    </row>
    <row r="34" spans="1:6" x14ac:dyDescent="0.25">
      <c r="A34" s="2" t="s">
        <v>26</v>
      </c>
      <c r="B34" s="3"/>
      <c r="C34" s="3"/>
      <c r="D34" s="3"/>
      <c r="E34" s="3"/>
      <c r="F34" s="3"/>
    </row>
    <row r="35" spans="1:6" x14ac:dyDescent="0.25">
      <c r="A35" s="4" t="s">
        <v>27</v>
      </c>
      <c r="B35" s="5"/>
      <c r="C35" s="5"/>
      <c r="D35" s="5"/>
      <c r="E35" s="5"/>
      <c r="F35" s="5"/>
    </row>
    <row r="36" spans="1:6" x14ac:dyDescent="0.25">
      <c r="A36" s="2" t="s">
        <v>28</v>
      </c>
      <c r="B36" s="3"/>
      <c r="C36" s="3"/>
      <c r="D36" s="3"/>
      <c r="E36" s="3"/>
      <c r="F36" s="3"/>
    </row>
  </sheetData>
  <mergeCells count="5">
    <mergeCell ref="A5:F5"/>
    <mergeCell ref="A31:F31"/>
    <mergeCell ref="A18:F18"/>
    <mergeCell ref="A4:F4"/>
    <mergeCell ref="A25:F25"/>
  </mergeCells>
  <dataValidations count="1">
    <dataValidation type="list" allowBlank="1" sqref="C8:C36" xr:uid="{00000000-0002-0000-0000-000000000000}">
      <formula1>"Yes,No,N/A"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G24"/>
  <sheetViews>
    <sheetView showGridLines="0" tabSelected="1" workbookViewId="0">
      <selection activeCell="E35" sqref="E35"/>
    </sheetView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18" customWidth="1"/>
    <col min="5" max="6" width="15" customWidth="1"/>
    <col min="7" max="7" width="20" customWidth="1"/>
  </cols>
  <sheetData>
    <row r="1" spans="1:7" ht="15" customHeight="1" x14ac:dyDescent="0.25"/>
    <row r="2" spans="1:7" ht="15" customHeight="1" x14ac:dyDescent="0.25"/>
    <row r="3" spans="1:7" ht="15" customHeight="1" x14ac:dyDescent="0.25"/>
    <row r="4" spans="1:7" ht="26.25" x14ac:dyDescent="0.4">
      <c r="A4" s="18" t="s">
        <v>0</v>
      </c>
      <c r="B4" s="15"/>
      <c r="C4" s="15"/>
      <c r="D4" s="15"/>
      <c r="E4" s="15"/>
      <c r="F4" s="15"/>
      <c r="G4" s="15"/>
    </row>
    <row r="5" spans="1:7" ht="15.75" x14ac:dyDescent="0.25">
      <c r="A5" s="14" t="s">
        <v>29</v>
      </c>
      <c r="B5" s="15"/>
      <c r="C5" s="15"/>
      <c r="D5" s="15"/>
      <c r="E5" s="15"/>
      <c r="F5" s="15"/>
      <c r="G5" s="15"/>
    </row>
    <row r="7" spans="1:7" ht="24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4</v>
      </c>
      <c r="G7" s="1" t="s">
        <v>35</v>
      </c>
    </row>
    <row r="8" spans="1:7" x14ac:dyDescent="0.25">
      <c r="A8" s="16" t="s">
        <v>36</v>
      </c>
      <c r="B8" s="17"/>
      <c r="C8" s="17"/>
      <c r="D8" s="17"/>
      <c r="E8" s="17"/>
      <c r="F8" s="17"/>
      <c r="G8" s="17"/>
    </row>
    <row r="9" spans="1:7" x14ac:dyDescent="0.25">
      <c r="A9" s="2" t="s">
        <v>37</v>
      </c>
      <c r="B9" s="3" t="s">
        <v>38</v>
      </c>
      <c r="C9" s="3"/>
      <c r="D9" s="3"/>
      <c r="E9" s="3"/>
      <c r="F9" s="3"/>
      <c r="G9" s="3"/>
    </row>
    <row r="10" spans="1:7" x14ac:dyDescent="0.25">
      <c r="A10" s="4" t="s">
        <v>39</v>
      </c>
      <c r="B10" s="5" t="s">
        <v>40</v>
      </c>
      <c r="C10" s="5"/>
      <c r="D10" s="5"/>
      <c r="E10" s="5"/>
      <c r="F10" s="5"/>
      <c r="G10" s="5"/>
    </row>
    <row r="11" spans="1:7" x14ac:dyDescent="0.25">
      <c r="A11" s="2" t="s">
        <v>41</v>
      </c>
      <c r="B11" s="3" t="s">
        <v>42</v>
      </c>
      <c r="C11" s="3"/>
      <c r="D11" s="3"/>
      <c r="E11" s="3"/>
      <c r="F11" s="3"/>
      <c r="G11" s="3"/>
    </row>
    <row r="12" spans="1:7" x14ac:dyDescent="0.25">
      <c r="A12" s="4" t="s">
        <v>43</v>
      </c>
      <c r="B12" s="5" t="s">
        <v>44</v>
      </c>
      <c r="C12" s="5"/>
      <c r="D12" s="5"/>
      <c r="E12" s="5"/>
      <c r="F12" s="5"/>
      <c r="G12" s="5"/>
    </row>
    <row r="13" spans="1:7" x14ac:dyDescent="0.25">
      <c r="A13" s="2" t="s">
        <v>45</v>
      </c>
      <c r="B13" s="3" t="s">
        <v>46</v>
      </c>
      <c r="C13" s="3"/>
      <c r="D13" s="3"/>
      <c r="E13" s="3"/>
      <c r="F13" s="3"/>
      <c r="G13" s="3"/>
    </row>
    <row r="14" spans="1:7" ht="24" x14ac:dyDescent="0.25">
      <c r="A14" s="4" t="s">
        <v>47</v>
      </c>
      <c r="B14" s="5" t="s">
        <v>48</v>
      </c>
      <c r="C14" s="5"/>
      <c r="D14" s="5"/>
      <c r="E14" s="5"/>
      <c r="F14" s="5"/>
      <c r="G14" s="5"/>
    </row>
    <row r="16" spans="1:7" x14ac:dyDescent="0.25">
      <c r="A16" s="16" t="s">
        <v>49</v>
      </c>
      <c r="B16" s="17"/>
      <c r="C16" s="17"/>
      <c r="D16" s="17"/>
      <c r="E16" s="17"/>
      <c r="F16" s="17"/>
      <c r="G16" s="17"/>
    </row>
    <row r="17" spans="1:7" x14ac:dyDescent="0.25">
      <c r="A17" s="2" t="s">
        <v>50</v>
      </c>
      <c r="B17" s="3" t="s">
        <v>51</v>
      </c>
      <c r="C17" s="3"/>
      <c r="D17" s="3"/>
      <c r="E17" s="3"/>
      <c r="F17" s="3"/>
      <c r="G17" s="3"/>
    </row>
    <row r="18" spans="1:7" ht="24" x14ac:dyDescent="0.25">
      <c r="A18" s="4" t="s">
        <v>52</v>
      </c>
      <c r="B18" s="5" t="s">
        <v>53</v>
      </c>
      <c r="C18" s="5"/>
      <c r="D18" s="5"/>
      <c r="E18" s="5"/>
      <c r="F18" s="5"/>
      <c r="G18" s="5"/>
    </row>
    <row r="19" spans="1:7" x14ac:dyDescent="0.25">
      <c r="A19" s="2" t="s">
        <v>54</v>
      </c>
      <c r="B19" s="3" t="s">
        <v>55</v>
      </c>
      <c r="C19" s="3"/>
      <c r="D19" s="3"/>
      <c r="E19" s="3"/>
      <c r="F19" s="3"/>
      <c r="G19" s="3"/>
    </row>
    <row r="20" spans="1:7" ht="24" x14ac:dyDescent="0.25">
      <c r="A20" s="4" t="s">
        <v>56</v>
      </c>
      <c r="B20" s="5" t="s">
        <v>57</v>
      </c>
      <c r="C20" s="5"/>
      <c r="D20" s="5"/>
      <c r="E20" s="5"/>
      <c r="F20" s="5"/>
      <c r="G20" s="5"/>
    </row>
    <row r="21" spans="1:7" x14ac:dyDescent="0.25">
      <c r="A21" s="2" t="s">
        <v>58</v>
      </c>
      <c r="B21" s="3" t="s">
        <v>59</v>
      </c>
      <c r="C21" s="3"/>
      <c r="D21" s="3"/>
      <c r="E21" s="3"/>
      <c r="F21" s="3"/>
      <c r="G21" s="3"/>
    </row>
    <row r="22" spans="1:7" ht="24" x14ac:dyDescent="0.25">
      <c r="A22" s="4" t="s">
        <v>60</v>
      </c>
      <c r="B22" s="5" t="s">
        <v>61</v>
      </c>
      <c r="C22" s="5"/>
      <c r="D22" s="5"/>
      <c r="E22" s="5"/>
      <c r="F22" s="5"/>
      <c r="G22" s="5"/>
    </row>
    <row r="23" spans="1:7" ht="24" x14ac:dyDescent="0.25">
      <c r="A23" s="2" t="s">
        <v>62</v>
      </c>
      <c r="B23" s="3" t="s">
        <v>63</v>
      </c>
      <c r="C23" s="3"/>
      <c r="D23" s="3"/>
      <c r="E23" s="3"/>
      <c r="F23" s="3"/>
      <c r="G23" s="3"/>
    </row>
    <row r="24" spans="1:7" x14ac:dyDescent="0.25">
      <c r="A24" s="4" t="s">
        <v>64</v>
      </c>
      <c r="B24" s="5" t="s">
        <v>65</v>
      </c>
      <c r="C24" s="5"/>
      <c r="D24" s="5"/>
      <c r="E24" s="5"/>
      <c r="F24" s="5"/>
      <c r="G24" s="5"/>
    </row>
  </sheetData>
  <mergeCells count="4">
    <mergeCell ref="A8:G8"/>
    <mergeCell ref="A16:G16"/>
    <mergeCell ref="A5:G5"/>
    <mergeCell ref="A4:G4"/>
  </mergeCells>
  <dataValidations count="2">
    <dataValidation type="list" allowBlank="1" sqref="C9:C24" xr:uid="{00000000-0002-0000-0100-000000000000}">
      <formula1>"Yes,No,N/A,Partial"</formula1>
    </dataValidation>
    <dataValidation type="list" allowBlank="1" sqref="F9:F24" xr:uid="{00000000-0002-0000-0100-000001000000}">
      <formula1>"Yes,No,N/A"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BC9C"/>
  </sheetPr>
  <dimension ref="A1:G20"/>
  <sheetViews>
    <sheetView showGridLines="0" workbookViewId="0"/>
  </sheetViews>
  <sheetFormatPr defaultRowHeight="15" x14ac:dyDescent="0.25"/>
  <cols>
    <col min="1" max="1" width="5" customWidth="1"/>
    <col min="2" max="2" width="35" customWidth="1"/>
    <col min="3" max="3" width="15" customWidth="1"/>
    <col min="4" max="4" width="18" customWidth="1"/>
    <col min="5" max="6" width="15" customWidth="1"/>
    <col min="7" max="7" width="20" customWidth="1"/>
  </cols>
  <sheetData>
    <row r="1" spans="1:7" ht="15" customHeight="1" x14ac:dyDescent="0.25"/>
    <row r="2" spans="1:7" ht="15" customHeight="1" x14ac:dyDescent="0.25"/>
    <row r="3" spans="1:7" ht="15" customHeight="1" x14ac:dyDescent="0.25"/>
    <row r="4" spans="1:7" ht="26.25" x14ac:dyDescent="0.4">
      <c r="A4" s="18" t="s">
        <v>0</v>
      </c>
      <c r="B4" s="15"/>
      <c r="C4" s="15"/>
      <c r="D4" s="15"/>
      <c r="E4" s="15"/>
      <c r="F4" s="15"/>
      <c r="G4" s="15"/>
    </row>
    <row r="5" spans="1:7" ht="15.75" x14ac:dyDescent="0.25">
      <c r="A5" s="14" t="s">
        <v>66</v>
      </c>
      <c r="B5" s="15"/>
      <c r="C5" s="15"/>
      <c r="D5" s="15"/>
      <c r="E5" s="15"/>
      <c r="F5" s="15"/>
      <c r="G5" s="15"/>
    </row>
    <row r="7" spans="1:7" ht="24" x14ac:dyDescent="0.25">
      <c r="A7" s="1" t="s">
        <v>30</v>
      </c>
      <c r="B7" s="1" t="s">
        <v>31</v>
      </c>
      <c r="C7" s="1" t="s">
        <v>32</v>
      </c>
      <c r="D7" s="1" t="s">
        <v>67</v>
      </c>
      <c r="E7" s="1" t="s">
        <v>68</v>
      </c>
      <c r="F7" s="1" t="s">
        <v>4</v>
      </c>
      <c r="G7" s="1" t="s">
        <v>35</v>
      </c>
    </row>
    <row r="8" spans="1:7" x14ac:dyDescent="0.25">
      <c r="A8" s="16" t="s">
        <v>69</v>
      </c>
      <c r="B8" s="17"/>
      <c r="C8" s="17"/>
      <c r="D8" s="17"/>
      <c r="E8" s="17"/>
      <c r="F8" s="17"/>
      <c r="G8" s="17"/>
    </row>
    <row r="9" spans="1:7" x14ac:dyDescent="0.25">
      <c r="A9" s="2" t="s">
        <v>70</v>
      </c>
      <c r="B9" s="3" t="s">
        <v>71</v>
      </c>
      <c r="C9" s="3"/>
      <c r="D9" s="3"/>
      <c r="E9" s="3"/>
      <c r="F9" s="3"/>
      <c r="G9" s="3"/>
    </row>
    <row r="10" spans="1:7" x14ac:dyDescent="0.25">
      <c r="A10" s="4" t="s">
        <v>72</v>
      </c>
      <c r="B10" s="5" t="s">
        <v>73</v>
      </c>
      <c r="C10" s="5"/>
      <c r="D10" s="5"/>
      <c r="E10" s="5"/>
      <c r="F10" s="5"/>
      <c r="G10" s="5"/>
    </row>
    <row r="11" spans="1:7" x14ac:dyDescent="0.25">
      <c r="A11" s="2" t="s">
        <v>74</v>
      </c>
      <c r="B11" s="3" t="s">
        <v>75</v>
      </c>
      <c r="C11" s="3"/>
      <c r="D11" s="3"/>
      <c r="E11" s="3"/>
      <c r="F11" s="3"/>
      <c r="G11" s="3"/>
    </row>
    <row r="12" spans="1:7" x14ac:dyDescent="0.25">
      <c r="A12" s="4" t="s">
        <v>76</v>
      </c>
      <c r="B12" s="5" t="s">
        <v>77</v>
      </c>
      <c r="C12" s="5"/>
      <c r="D12" s="5"/>
      <c r="E12" s="5"/>
      <c r="F12" s="5"/>
      <c r="G12" s="5"/>
    </row>
    <row r="13" spans="1:7" x14ac:dyDescent="0.25">
      <c r="A13" s="2" t="s">
        <v>78</v>
      </c>
      <c r="B13" s="3" t="s">
        <v>79</v>
      </c>
      <c r="C13" s="3"/>
      <c r="D13" s="3"/>
      <c r="E13" s="3"/>
      <c r="F13" s="3"/>
      <c r="G13" s="3"/>
    </row>
    <row r="15" spans="1:7" x14ac:dyDescent="0.25">
      <c r="A15" s="16" t="s">
        <v>80</v>
      </c>
      <c r="B15" s="17"/>
      <c r="C15" s="17"/>
      <c r="D15" s="17"/>
      <c r="E15" s="17"/>
      <c r="F15" s="17"/>
      <c r="G15" s="17"/>
    </row>
    <row r="16" spans="1:7" x14ac:dyDescent="0.25">
      <c r="A16" s="2" t="s">
        <v>81</v>
      </c>
      <c r="B16" s="3" t="s">
        <v>82</v>
      </c>
      <c r="C16" s="3"/>
      <c r="D16" s="3"/>
      <c r="E16" s="3"/>
      <c r="F16" s="3"/>
      <c r="G16" s="3"/>
    </row>
    <row r="17" spans="1:7" x14ac:dyDescent="0.25">
      <c r="A17" s="4" t="s">
        <v>83</v>
      </c>
      <c r="B17" s="5" t="s">
        <v>84</v>
      </c>
      <c r="C17" s="5"/>
      <c r="D17" s="5"/>
      <c r="E17" s="5"/>
      <c r="F17" s="5"/>
      <c r="G17" s="5"/>
    </row>
    <row r="18" spans="1:7" x14ac:dyDescent="0.25">
      <c r="A18" s="2" t="s">
        <v>85</v>
      </c>
      <c r="B18" s="3" t="s">
        <v>86</v>
      </c>
      <c r="C18" s="3"/>
      <c r="D18" s="3"/>
      <c r="E18" s="3"/>
      <c r="F18" s="3"/>
      <c r="G18" s="3"/>
    </row>
    <row r="19" spans="1:7" x14ac:dyDescent="0.25">
      <c r="A19" s="4" t="s">
        <v>87</v>
      </c>
      <c r="B19" s="5" t="s">
        <v>88</v>
      </c>
      <c r="C19" s="5"/>
      <c r="D19" s="5"/>
      <c r="E19" s="5"/>
      <c r="F19" s="5"/>
      <c r="G19" s="5"/>
    </row>
    <row r="20" spans="1:7" x14ac:dyDescent="0.25">
      <c r="A20" s="2" t="s">
        <v>89</v>
      </c>
      <c r="B20" s="3" t="s">
        <v>90</v>
      </c>
      <c r="C20" s="3"/>
      <c r="D20" s="3"/>
      <c r="E20" s="3"/>
      <c r="F20" s="3"/>
      <c r="G20" s="3"/>
    </row>
  </sheetData>
  <mergeCells count="4">
    <mergeCell ref="A8:G8"/>
    <mergeCell ref="A15:G15"/>
    <mergeCell ref="A5:G5"/>
    <mergeCell ref="A4:G4"/>
  </mergeCells>
  <dataValidations count="2">
    <dataValidation type="list" allowBlank="1" sqref="C9:C20" xr:uid="{00000000-0002-0000-0200-000000000000}">
      <formula1>"Yes,No,N/A,Partial"</formula1>
    </dataValidation>
    <dataValidation type="list" allowBlank="1" sqref="F9:F20" xr:uid="{00000000-0002-0000-0200-000001000000}">
      <formula1>"Yes,No,N/A"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26"/>
  <sheetViews>
    <sheetView showGridLines="0" workbookViewId="0"/>
  </sheetViews>
  <sheetFormatPr defaultRowHeight="15" x14ac:dyDescent="0.25"/>
  <cols>
    <col min="1" max="1" width="5" customWidth="1"/>
    <col min="2" max="2" width="45" customWidth="1"/>
    <col min="3" max="4" width="15" customWidth="1"/>
    <col min="5" max="5" width="25" customWidth="1"/>
  </cols>
  <sheetData>
    <row r="1" spans="1:5" ht="15" customHeight="1" x14ac:dyDescent="0.25"/>
    <row r="2" spans="1:5" ht="15" customHeight="1" x14ac:dyDescent="0.25"/>
    <row r="3" spans="1:5" ht="15" customHeight="1" x14ac:dyDescent="0.25"/>
    <row r="4" spans="1:5" ht="26.25" x14ac:dyDescent="0.4">
      <c r="A4" s="18" t="s">
        <v>0</v>
      </c>
      <c r="B4" s="15"/>
      <c r="C4" s="15"/>
      <c r="D4" s="15"/>
      <c r="E4" s="15"/>
    </row>
    <row r="5" spans="1:5" ht="15.75" x14ac:dyDescent="0.25">
      <c r="A5" s="14" t="s">
        <v>91</v>
      </c>
      <c r="B5" s="15"/>
      <c r="C5" s="15"/>
      <c r="D5" s="15"/>
      <c r="E5" s="15"/>
    </row>
    <row r="7" spans="1:5" x14ac:dyDescent="0.25">
      <c r="A7" s="1" t="s">
        <v>30</v>
      </c>
      <c r="B7" s="1" t="s">
        <v>92</v>
      </c>
      <c r="C7" s="1" t="s">
        <v>93</v>
      </c>
      <c r="D7" s="1" t="s">
        <v>4</v>
      </c>
      <c r="E7" s="1" t="s">
        <v>35</v>
      </c>
    </row>
    <row r="8" spans="1:5" x14ac:dyDescent="0.25">
      <c r="A8" s="2" t="s">
        <v>94</v>
      </c>
      <c r="B8" s="3" t="s">
        <v>95</v>
      </c>
      <c r="C8" s="3"/>
      <c r="D8" s="3"/>
      <c r="E8" s="3"/>
    </row>
    <row r="9" spans="1:5" ht="24" x14ac:dyDescent="0.25">
      <c r="A9" s="4" t="s">
        <v>96</v>
      </c>
      <c r="B9" s="5" t="s">
        <v>97</v>
      </c>
      <c r="C9" s="5"/>
      <c r="D9" s="5"/>
      <c r="E9" s="5"/>
    </row>
    <row r="10" spans="1:5" x14ac:dyDescent="0.25">
      <c r="A10" s="2" t="s">
        <v>98</v>
      </c>
      <c r="B10" s="3" t="s">
        <v>99</v>
      </c>
      <c r="C10" s="3"/>
      <c r="D10" s="3"/>
      <c r="E10" s="3"/>
    </row>
    <row r="11" spans="1:5" x14ac:dyDescent="0.25">
      <c r="A11" s="4" t="s">
        <v>100</v>
      </c>
      <c r="B11" s="5" t="s">
        <v>101</v>
      </c>
      <c r="C11" s="5"/>
      <c r="D11" s="5"/>
      <c r="E11" s="5"/>
    </row>
    <row r="12" spans="1:5" ht="24" x14ac:dyDescent="0.25">
      <c r="A12" s="2" t="s">
        <v>102</v>
      </c>
      <c r="B12" s="3" t="s">
        <v>103</v>
      </c>
      <c r="C12" s="3"/>
      <c r="D12" s="3"/>
      <c r="E12" s="3"/>
    </row>
    <row r="13" spans="1:5" x14ac:dyDescent="0.25">
      <c r="A13" s="4" t="s">
        <v>104</v>
      </c>
      <c r="B13" s="5" t="s">
        <v>105</v>
      </c>
      <c r="C13" s="5"/>
      <c r="D13" s="5"/>
      <c r="E13" s="5"/>
    </row>
    <row r="14" spans="1:5" x14ac:dyDescent="0.25">
      <c r="A14" s="2" t="s">
        <v>106</v>
      </c>
      <c r="B14" s="3" t="s">
        <v>107</v>
      </c>
      <c r="C14" s="3"/>
      <c r="D14" s="3"/>
      <c r="E14" s="3"/>
    </row>
    <row r="16" spans="1:5" x14ac:dyDescent="0.25">
      <c r="A16" s="16" t="s">
        <v>108</v>
      </c>
      <c r="B16" s="17"/>
      <c r="C16" s="17"/>
      <c r="D16" s="17"/>
      <c r="E16" s="17"/>
    </row>
    <row r="17" spans="1:5" x14ac:dyDescent="0.25">
      <c r="A17" s="6"/>
      <c r="B17" s="2" t="s">
        <v>109</v>
      </c>
      <c r="C17" s="19"/>
      <c r="D17" s="19"/>
      <c r="E17" s="19"/>
    </row>
    <row r="18" spans="1:5" x14ac:dyDescent="0.25">
      <c r="A18" s="7"/>
      <c r="B18" s="4" t="s">
        <v>110</v>
      </c>
      <c r="C18" s="20"/>
      <c r="D18" s="20"/>
      <c r="E18" s="20"/>
    </row>
    <row r="19" spans="1:5" x14ac:dyDescent="0.25">
      <c r="A19" s="6"/>
      <c r="B19" s="2" t="s">
        <v>111</v>
      </c>
      <c r="C19" s="19"/>
      <c r="D19" s="19"/>
      <c r="E19" s="19"/>
    </row>
    <row r="20" spans="1:5" x14ac:dyDescent="0.25">
      <c r="A20" s="7"/>
      <c r="B20" s="4" t="s">
        <v>112</v>
      </c>
      <c r="C20" s="20"/>
      <c r="D20" s="20"/>
      <c r="E20" s="20"/>
    </row>
    <row r="21" spans="1:5" x14ac:dyDescent="0.25">
      <c r="A21" s="6"/>
      <c r="B21" s="2" t="s">
        <v>113</v>
      </c>
      <c r="C21" s="19"/>
      <c r="D21" s="19"/>
      <c r="E21" s="19"/>
    </row>
    <row r="22" spans="1:5" x14ac:dyDescent="0.25">
      <c r="A22" s="7"/>
      <c r="B22" s="4" t="s">
        <v>114</v>
      </c>
      <c r="C22" s="20"/>
      <c r="D22" s="20"/>
      <c r="E22" s="20"/>
    </row>
    <row r="23" spans="1:5" x14ac:dyDescent="0.25">
      <c r="A23" s="6"/>
      <c r="B23" s="2" t="s">
        <v>115</v>
      </c>
      <c r="C23" s="19"/>
      <c r="D23" s="19"/>
      <c r="E23" s="19"/>
    </row>
    <row r="24" spans="1:5" x14ac:dyDescent="0.25">
      <c r="A24" s="7"/>
      <c r="B24" s="4" t="s">
        <v>116</v>
      </c>
      <c r="C24" s="20"/>
      <c r="D24" s="20"/>
      <c r="E24" s="20"/>
    </row>
    <row r="25" spans="1:5" x14ac:dyDescent="0.25">
      <c r="A25" s="6"/>
      <c r="B25" s="2" t="s">
        <v>117</v>
      </c>
      <c r="C25" s="19"/>
      <c r="D25" s="19"/>
      <c r="E25" s="19"/>
    </row>
    <row r="26" spans="1:5" x14ac:dyDescent="0.25">
      <c r="A26" s="7"/>
      <c r="B26" s="4" t="s">
        <v>118</v>
      </c>
      <c r="C26" s="20"/>
      <c r="D26" s="20"/>
      <c r="E26" s="20"/>
    </row>
  </sheetData>
  <mergeCells count="13">
    <mergeCell ref="C26:E26"/>
    <mergeCell ref="C21:E21"/>
    <mergeCell ref="C20:E20"/>
    <mergeCell ref="C25:E25"/>
    <mergeCell ref="C24:E24"/>
    <mergeCell ref="A4:E4"/>
    <mergeCell ref="C19:E19"/>
    <mergeCell ref="A16:E16"/>
    <mergeCell ref="C23:E23"/>
    <mergeCell ref="C22:E22"/>
    <mergeCell ref="C18:E18"/>
    <mergeCell ref="A5:E5"/>
    <mergeCell ref="C17:E17"/>
  </mergeCells>
  <dataValidations count="4">
    <dataValidation type="list" allowBlank="1" sqref="C8:C14" xr:uid="{00000000-0002-0000-0300-000000000000}">
      <formula1>"Yes,No"</formula1>
    </dataValidation>
    <dataValidation type="list" allowBlank="1" sqref="D8:D14" xr:uid="{00000000-0002-0000-0300-000001000000}">
      <formula1>"Yes,No,N/A"</formula1>
    </dataValidation>
    <dataValidation type="list" allowBlank="1" sqref="C25" xr:uid="{00000000-0002-0000-0300-000002000000}">
      <formula1>"Pending,Approved (Temp),Approved,Under Review,Withdrawn"</formula1>
    </dataValidation>
    <dataValidation type="list" allowBlank="1" sqref="C21" xr:uid="{00000000-0002-0000-0300-000003000000}">
      <formula1>"A,B,C"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19"/>
  <sheetViews>
    <sheetView showGridLines="0" workbookViewId="0"/>
  </sheetViews>
  <sheetFormatPr defaultRowHeight="15" x14ac:dyDescent="0.25"/>
  <cols>
    <col min="1" max="1" width="30" customWidth="1"/>
    <col min="2" max="5" width="12" customWidth="1"/>
  </cols>
  <sheetData>
    <row r="1" spans="1:5" ht="15" customHeight="1" x14ac:dyDescent="0.25"/>
    <row r="2" spans="1:5" ht="15" customHeight="1" x14ac:dyDescent="0.25"/>
    <row r="3" spans="1:5" ht="15" customHeight="1" x14ac:dyDescent="0.25"/>
    <row r="4" spans="1:5" ht="26.25" x14ac:dyDescent="0.4">
      <c r="A4" s="18" t="s">
        <v>0</v>
      </c>
      <c r="B4" s="15"/>
      <c r="C4" s="15"/>
      <c r="D4" s="15"/>
      <c r="E4" s="15"/>
    </row>
    <row r="5" spans="1:5" ht="15.75" x14ac:dyDescent="0.25">
      <c r="A5" s="14" t="s">
        <v>119</v>
      </c>
      <c r="B5" s="15"/>
      <c r="C5" s="15"/>
      <c r="D5" s="15"/>
      <c r="E5" s="15"/>
    </row>
    <row r="7" spans="1:5" x14ac:dyDescent="0.25">
      <c r="A7" s="8" t="s">
        <v>120</v>
      </c>
      <c r="B7">
        <f>'Supplier Information'!B8</f>
        <v>0</v>
      </c>
    </row>
    <row r="9" spans="1:5" x14ac:dyDescent="0.25">
      <c r="A9" s="1" t="s">
        <v>121</v>
      </c>
      <c r="B9" s="1" t="s">
        <v>122</v>
      </c>
      <c r="C9" s="1" t="s">
        <v>123</v>
      </c>
      <c r="D9" s="1" t="s">
        <v>124</v>
      </c>
      <c r="E9" s="1" t="s">
        <v>125</v>
      </c>
    </row>
    <row r="10" spans="1:5" x14ac:dyDescent="0.25">
      <c r="A10" s="2" t="s">
        <v>126</v>
      </c>
      <c r="B10" s="3">
        <f>COUNTIF('Certifications &amp; H&amp;S'!C9:C14,"Yes")</f>
        <v>0</v>
      </c>
      <c r="C10" s="3">
        <f>COUNTIF('Certifications &amp; H&amp;S'!C9:C14,"No")+COUNTIF('Certifications &amp; H&amp;S'!C9:C14,"Partial")</f>
        <v>0</v>
      </c>
      <c r="D10" s="3">
        <f>COUNTIF('Certifications &amp; H&amp;S'!C9:C14,"N/A")</f>
        <v>0</v>
      </c>
      <c r="E10" s="9" t="str">
        <f>IF(COUNTA('Certifications &amp; H&amp;S'!C9:C14)=0,"-",B10/(B10+C10))</f>
        <v>-</v>
      </c>
    </row>
    <row r="11" spans="1:5" x14ac:dyDescent="0.25">
      <c r="A11" s="4" t="s">
        <v>127</v>
      </c>
      <c r="B11" s="5">
        <f>COUNTIF('Certifications &amp; H&amp;S'!C16:C23,"Yes")</f>
        <v>0</v>
      </c>
      <c r="C11" s="5">
        <f>COUNTIF('Certifications &amp; H&amp;S'!C16:C23,"No")+COUNTIF('Certifications &amp; H&amp;S'!C16:C23,"Partial")</f>
        <v>0</v>
      </c>
      <c r="D11" s="5">
        <f>COUNTIF('Certifications &amp; H&amp;S'!C16:C23,"N/A")</f>
        <v>0</v>
      </c>
      <c r="E11" s="10" t="str">
        <f>IF(COUNTA('Certifications &amp; H&amp;S'!C16:C23)=0,"-",B11/(B11+C11))</f>
        <v>-</v>
      </c>
    </row>
    <row r="12" spans="1:5" x14ac:dyDescent="0.25">
      <c r="A12" s="2" t="s">
        <v>128</v>
      </c>
      <c r="B12" s="3">
        <f>COUNTIF('Insurance &amp; Systems'!C9:C13,"Yes")</f>
        <v>0</v>
      </c>
      <c r="C12" s="3">
        <f>COUNTIF('Insurance &amp; Systems'!C9:C13,"No")+COUNTIF('Insurance &amp; Systems'!C9:C13,"Partial")</f>
        <v>0</v>
      </c>
      <c r="D12" s="3">
        <f>COUNTIF('Insurance &amp; Systems'!C9:C13,"N/A")</f>
        <v>0</v>
      </c>
      <c r="E12" s="9" t="str">
        <f>IF(COUNTA('Insurance &amp; Systems'!C9:C13)=0,"-",B12/(B12+C12))</f>
        <v>-</v>
      </c>
    </row>
    <row r="13" spans="1:5" x14ac:dyDescent="0.25">
      <c r="A13" s="4" t="s">
        <v>129</v>
      </c>
      <c r="B13" s="5">
        <f>COUNTIF('Insurance &amp; Systems'!C15:C19,"Yes")</f>
        <v>0</v>
      </c>
      <c r="C13" s="5">
        <f>COUNTIF('Insurance &amp; Systems'!C15:C19,"No")+COUNTIF('Insurance &amp; Systems'!C15:C19,"Partial")</f>
        <v>0</v>
      </c>
      <c r="D13" s="5">
        <f>COUNTIF('Insurance &amp; Systems'!C15:C19,"N/A")</f>
        <v>0</v>
      </c>
      <c r="E13" s="10" t="str">
        <f>IF(COUNTA('Insurance &amp; Systems'!C15:C19)=0,"-",B13/(B13+C13))</f>
        <v>-</v>
      </c>
    </row>
    <row r="14" spans="1:5" x14ac:dyDescent="0.25">
      <c r="A14" s="2" t="s">
        <v>130</v>
      </c>
      <c r="B14" s="3">
        <f>COUNTIF(Approval!C8:C14,"Yes")</f>
        <v>0</v>
      </c>
      <c r="C14" s="3">
        <f>COUNTIF(Approval!C8:C14,"No")+COUNTIF(Approval!C8:C14,"Partial")</f>
        <v>0</v>
      </c>
      <c r="D14" s="3">
        <f>COUNTIF(Approval!C8:C14,"N/A")</f>
        <v>0</v>
      </c>
      <c r="E14" s="9" t="str">
        <f>IF(COUNTA(Approval!C8:C14)=0,"-",B14/(B14+C14))</f>
        <v>-</v>
      </c>
    </row>
    <row r="16" spans="1:5" x14ac:dyDescent="0.25">
      <c r="A16" s="1" t="s">
        <v>131</v>
      </c>
      <c r="B16" s="1">
        <f>SUM(B10:B14)</f>
        <v>0</v>
      </c>
      <c r="C16" s="1">
        <f>SUM(C10:C14)</f>
        <v>0</v>
      </c>
      <c r="D16" s="1">
        <f>SUM(D10:D14)</f>
        <v>0</v>
      </c>
      <c r="E16" s="11" t="str">
        <f>IF((B16+C16)=0,"-",B16/(B16+C16))</f>
        <v>-</v>
      </c>
    </row>
    <row r="18" spans="1:2" x14ac:dyDescent="0.25">
      <c r="A18" s="8" t="s">
        <v>117</v>
      </c>
      <c r="B18">
        <f>Approval!C25</f>
        <v>0</v>
      </c>
    </row>
    <row r="19" spans="1:2" x14ac:dyDescent="0.25">
      <c r="A19" s="8" t="s">
        <v>132</v>
      </c>
      <c r="B19">
        <f>Approval!C21</f>
        <v>0</v>
      </c>
    </row>
  </sheetData>
  <mergeCells count="2">
    <mergeCell ref="A5:E5"/>
    <mergeCell ref="A4:E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5A5A6"/>
  </sheetPr>
  <dimension ref="A1:A16"/>
  <sheetViews>
    <sheetView showGridLines="0" workbookViewId="0"/>
  </sheetViews>
  <sheetFormatPr defaultRowHeight="15" x14ac:dyDescent="0.25"/>
  <cols>
    <col min="1" max="1" width="100" customWidth="1"/>
  </cols>
  <sheetData>
    <row r="1" spans="1:1" ht="15" customHeight="1" x14ac:dyDescent="0.25"/>
    <row r="2" spans="1:1" ht="15" customHeight="1" x14ac:dyDescent="0.25"/>
    <row r="3" spans="1:1" ht="15" customHeight="1" x14ac:dyDescent="0.25"/>
    <row r="4" spans="1:1" ht="15.75" x14ac:dyDescent="0.25">
      <c r="A4" s="14" t="s">
        <v>133</v>
      </c>
    </row>
    <row r="6" spans="1:1" x14ac:dyDescent="0.25">
      <c r="A6" s="12" t="s">
        <v>134</v>
      </c>
    </row>
    <row r="7" spans="1:1" ht="36.75" x14ac:dyDescent="0.25">
      <c r="A7" s="13" t="s">
        <v>135</v>
      </c>
    </row>
    <row r="9" spans="1:1" x14ac:dyDescent="0.25">
      <c r="A9" s="12" t="s">
        <v>136</v>
      </c>
    </row>
    <row r="10" spans="1:1" ht="36.75" x14ac:dyDescent="0.25">
      <c r="A10" s="13" t="s">
        <v>137</v>
      </c>
    </row>
    <row r="12" spans="1:1" x14ac:dyDescent="0.25">
      <c r="A12" s="12" t="s">
        <v>138</v>
      </c>
    </row>
    <row r="13" spans="1:1" ht="48.75" x14ac:dyDescent="0.25">
      <c r="A13" s="13" t="s">
        <v>139</v>
      </c>
    </row>
    <row r="15" spans="1:1" x14ac:dyDescent="0.25">
      <c r="A15" s="12" t="s">
        <v>140</v>
      </c>
    </row>
    <row r="16" spans="1:1" ht="48.75" x14ac:dyDescent="0.25">
      <c r="A16" s="13" t="s">
        <v>141</v>
      </c>
    </row>
  </sheetData>
  <mergeCells count="1">
    <mergeCell ref="A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Information</vt:lpstr>
      <vt:lpstr>Certifications &amp; H&amp;S</vt:lpstr>
      <vt:lpstr>Insurance &amp; Systems</vt:lpstr>
      <vt:lpstr>Approval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dcterms:created xsi:type="dcterms:W3CDTF">2026-04-08T06:29:20Z</dcterms:created>
  <dcterms:modified xsi:type="dcterms:W3CDTF">2026-04-08T06:30:51Z</dcterms:modified>
</cp:coreProperties>
</file>