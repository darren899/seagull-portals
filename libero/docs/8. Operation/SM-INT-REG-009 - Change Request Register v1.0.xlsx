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Seagull Maritime Management System/04 - Registers and Trackers/"/>
    </mc:Choice>
  </mc:AlternateContent>
  <xr:revisionPtr revIDLastSave="1" documentId="11_3C880D1B0E5203E953C688C0A6EFA75D2D3B6172" xr6:coauthVersionLast="47" xr6:coauthVersionMax="47" xr10:uidLastSave="{65B88F12-C632-4355-BECD-20EC35A13B20}"/>
  <bookViews>
    <workbookView xWindow="-120" yWindow="-120" windowWidth="77040" windowHeight="21120" tabRatio="500" xr2:uid="{00000000-000D-0000-FFFF-FFFF00000000}"/>
  </bookViews>
  <sheets>
    <sheet name="Register" sheetId="1" r:id="rId1"/>
    <sheet name="Dashboard" sheetId="2" r:id="rId2"/>
    <sheet name="Instruc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2" l="1"/>
  <c r="E16" i="2"/>
  <c r="D16" i="2"/>
  <c r="C16" i="2"/>
  <c r="B16" i="2"/>
  <c r="A16" i="2"/>
  <c r="D12" i="2"/>
  <c r="C12" i="2"/>
  <c r="B12" i="2"/>
  <c r="A12" i="2"/>
  <c r="G8" i="2"/>
  <c r="F8" i="2"/>
  <c r="E8" i="2"/>
  <c r="D8" i="2"/>
  <c r="C8" i="2"/>
  <c r="B8" i="2"/>
  <c r="A8" i="2"/>
</calcChain>
</file>

<file path=xl/sharedStrings.xml><?xml version="1.0" encoding="utf-8"?>
<sst xmlns="http://schemas.openxmlformats.org/spreadsheetml/2006/main" count="90" uniqueCount="88">
  <si>
    <t>Change Request Register</t>
  </si>
  <si>
    <t>Document Ref:</t>
  </si>
  <si>
    <t>SM/INT/REG/009</t>
  </si>
  <si>
    <t>Version:</t>
  </si>
  <si>
    <t>1.0</t>
  </si>
  <si>
    <t>Status:</t>
  </si>
  <si>
    <t>LIVE</t>
  </si>
  <si>
    <t>Prepared By:</t>
  </si>
  <si>
    <t>Darren Watts, GCD</t>
  </si>
  <si>
    <t>Approved By:</t>
  </si>
  <si>
    <t>Pavel Shparber, CEO</t>
  </si>
  <si>
    <t>Date:</t>
  </si>
  <si>
    <t>07/04/2026</t>
  </si>
  <si>
    <t>ISO References:</t>
  </si>
  <si>
    <t>ISO 9001:2015 Cl. 6.3 / ISO 45001:2018 Cl. 8.1.3 / ISO 18788:2015 Cl. 8.1 / ISO 28007-1:2015 Cl. 8.1</t>
  </si>
  <si>
    <t>Linked Procedure:</t>
  </si>
  <si>
    <t>SM/INT/PRO/013 — Management of Change Procedure v1.0</t>
  </si>
  <si>
    <t>CR Ref</t>
  </si>
  <si>
    <t>Date Raised</t>
  </si>
  <si>
    <t>Raised By</t>
  </si>
  <si>
    <t>Role / Position</t>
  </si>
  <si>
    <t>Change Type</t>
  </si>
  <si>
    <t>Description of Change</t>
  </si>
  <si>
    <t>Justification / Driver</t>
  </si>
  <si>
    <t>Affected Areas</t>
  </si>
  <si>
    <t>Impact Category</t>
  </si>
  <si>
    <t>Risk Summary</t>
  </si>
  <si>
    <t>Proposed Approach</t>
  </si>
  <si>
    <t>Reviewed By</t>
  </si>
  <si>
    <t>Review Date</t>
  </si>
  <si>
    <t>Decision</t>
  </si>
  <si>
    <t>Decision Rationale</t>
  </si>
  <si>
    <t>Implementation Notes</t>
  </si>
  <si>
    <t>Completion Date</t>
  </si>
  <si>
    <t>Post-Implementation Review</t>
  </si>
  <si>
    <t>Status</t>
  </si>
  <si>
    <t>CR-001</t>
  </si>
  <si>
    <t>Open</t>
  </si>
  <si>
    <t>Change Request Dashboard</t>
  </si>
  <si>
    <t>Summary Metrics</t>
  </si>
  <si>
    <t>Total Requests</t>
  </si>
  <si>
    <t>Under Review</t>
  </si>
  <si>
    <t>In Progress</t>
  </si>
  <si>
    <t>Completed</t>
  </si>
  <si>
    <t>Rejected</t>
  </si>
  <si>
    <t>Deferred</t>
  </si>
  <si>
    <t>By Impact Category</t>
  </si>
  <si>
    <t>Low</t>
  </si>
  <si>
    <t>Medium</t>
  </si>
  <si>
    <t>High</t>
  </si>
  <si>
    <t>Critical</t>
  </si>
  <si>
    <t>By Change Type</t>
  </si>
  <si>
    <t>Process / System</t>
  </si>
  <si>
    <t>Operational</t>
  </si>
  <si>
    <t>Organisational</t>
  </si>
  <si>
    <t>Regulatory / Standards</t>
  </si>
  <si>
    <t>Commercial / Contract</t>
  </si>
  <si>
    <t>Environment / Workplace</t>
  </si>
  <si>
    <t>PROJECT TEAM: Update this dashboard by adding entries to the Register sheet. All counts are formula-driven.</t>
  </si>
  <si>
    <t>Instructions</t>
  </si>
  <si>
    <t>This register tracks all change requests raised under SM/INT/PRO/013 — Management of Change Procedure.</t>
  </si>
  <si>
    <t>HOW TO USE:</t>
  </si>
  <si>
    <t>1. Enter a new change request on the Register sheet, starting from the next blank row.</t>
  </si>
  <si>
    <t>2. Assign a sequential CR Ref (e.g. CR-001, CR-002).</t>
  </si>
  <si>
    <t>3. Complete all fields from Date Raised through to Justification / Driver.</t>
  </si>
  <si>
    <t>4. Impact Category, Decision, and Status columns have dropdown lists — select from the options.</t>
  </si>
  <si>
    <t>5. The Dashboard sheet auto-calculates from the Register — no manual updates needed.</t>
  </si>
  <si>
    <t>IMPACT CATEGORIES:</t>
  </si>
  <si>
    <t>Low / Medium — Reviewed and approved by the Group Compliance Director (GCD).</t>
  </si>
  <si>
    <t>High / Critical — Requires CEO approval per SM/INT/PRO/013.</t>
  </si>
  <si>
    <t>STATUS DEFINITIONS:</t>
  </si>
  <si>
    <t>Open — Request raised, not yet reviewed.</t>
  </si>
  <si>
    <t>Under Review — Being assessed by GCD / relevant manager.</t>
  </si>
  <si>
    <t>Approved — Change approved, awaiting implementation.</t>
  </si>
  <si>
    <t>In Progress — Implementation underway.</t>
  </si>
  <si>
    <t>Completed — Change implemented and post-implementation review done.</t>
  </si>
  <si>
    <t>Rejected — Change not approved (rationale must be recorded).</t>
  </si>
  <si>
    <t>Deferred — Postponed to a future date (rationale must be recorded).</t>
  </si>
  <si>
    <t>CHANGE TYPES:</t>
  </si>
  <si>
    <t>Process / System — Changes to management system documents, procedures, or processes.</t>
  </si>
  <si>
    <t>Operational — Changes to operational methods, equipment, or working practices.</t>
  </si>
  <si>
    <t>Organisational — Changes to structure, roles, responsibilities, or personnel.</t>
  </si>
  <si>
    <t>Regulatory / Standards — Changes driven by new or amended legislation, regulations, or standards.</t>
  </si>
  <si>
    <t>Commercial / Contract — Changes to client requirements, contracts, or commercial arrangements.</t>
  </si>
  <si>
    <t>Environment / Workplace — Changes to physical work environment, facilities, or conditions.</t>
  </si>
  <si>
    <t>LINKED DOCUMENTS:</t>
  </si>
  <si>
    <t>SM/INT/FORM/003 — Change Request Form v1.0</t>
  </si>
  <si>
    <t>Online Change Request: portals.seagullmaritimeltd.com/campaign/tools/change-request.html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</si>
</sst>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20"/>
      <color rgb="FF003C72"/>
      <name val="Avenir Next LT Pro"/>
      <charset val="1"/>
    </font>
    <font>
      <b/>
      <sz val="9"/>
      <color rgb="FF003C72"/>
      <name val="Aptos"/>
      <charset val="1"/>
    </font>
    <font>
      <sz val="9"/>
      <name val="Aptos"/>
      <charset val="1"/>
    </font>
    <font>
      <b/>
      <sz val="9"/>
      <color rgb="FFFFFFFF"/>
      <name val="Aptos"/>
      <charset val="1"/>
    </font>
    <font>
      <b/>
      <sz val="12"/>
      <color rgb="FF003C72"/>
      <name val="Avenir Next LT Pro"/>
      <charset val="1"/>
    </font>
    <font>
      <b/>
      <sz val="14"/>
      <color rgb="FF003C72"/>
      <name val="Aptos"/>
      <charset val="1"/>
    </font>
    <font>
      <b/>
      <sz val="9"/>
      <color rgb="FFFF0000"/>
      <name val="Aptos"/>
      <charset val="1"/>
    </font>
  </fonts>
  <fills count="6">
    <fill>
      <patternFill patternType="none"/>
    </fill>
    <fill>
      <patternFill patternType="gray125"/>
    </fill>
    <fill>
      <patternFill patternType="solid">
        <fgColor rgb="FFE6EDF5"/>
        <bgColor rgb="FFD6EAF8"/>
      </patternFill>
    </fill>
    <fill>
      <patternFill patternType="solid">
        <fgColor rgb="FFFFFFFF"/>
        <bgColor rgb="FFFFF2CC"/>
      </patternFill>
    </fill>
    <fill>
      <patternFill patternType="solid">
        <fgColor rgb="FF003C72"/>
        <bgColor rgb="FF333399"/>
      </patternFill>
    </fill>
    <fill>
      <patternFill patternType="solid">
        <fgColor rgb="FFFFF2CC"/>
        <bgColor rgb="FFFFF9C4"/>
      </patternFill>
    </fill>
  </fills>
  <borders count="3">
    <border>
      <left/>
      <right/>
      <top/>
      <bottom/>
      <diagonal/>
    </border>
    <border>
      <left style="medium">
        <color rgb="FF003C72"/>
      </left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5" borderId="0" xfId="0" applyFont="1" applyFill="1"/>
    <xf numFmtId="0" fontId="5" fillId="0" borderId="0" xfId="0" applyFont="1"/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1">
    <dxf>
      <fill>
        <patternFill>
          <bgColor rgb="FFE8DAEF"/>
        </patternFill>
      </fill>
    </dxf>
    <dxf>
      <fill>
        <patternFill>
          <bgColor rgb="FFD5F5E3"/>
        </patternFill>
      </fill>
    </dxf>
    <dxf>
      <fill>
        <patternFill>
          <bgColor rgb="FFD6EAF8"/>
        </patternFill>
      </fill>
    </dxf>
    <dxf>
      <fill>
        <patternFill>
          <bgColor rgb="FFF5B7B1"/>
        </patternFill>
      </fill>
    </dxf>
    <dxf>
      <fill>
        <patternFill>
          <bgColor rgb="FFFFF9C4"/>
        </patternFill>
      </fill>
    </dxf>
    <dxf>
      <fill>
        <patternFill>
          <bgColor rgb="FFFCE4EC"/>
        </patternFill>
      </fill>
    </dxf>
    <dxf>
      <fill>
        <patternFill>
          <bgColor rgb="FFC6EFCE"/>
        </patternFill>
      </fill>
    </dxf>
    <dxf>
      <font>
        <b/>
        <sz val="9"/>
        <color rgb="FF2E7D4F"/>
        <name val="Aptos"/>
        <charset val="1"/>
      </font>
      <fill>
        <patternFill>
          <bgColor rgb="FFD5F5E3"/>
        </patternFill>
      </fill>
    </dxf>
    <dxf>
      <font>
        <b/>
        <sz val="9"/>
        <color rgb="FFD4842A"/>
        <name val="Aptos"/>
        <charset val="1"/>
      </font>
      <fill>
        <patternFill>
          <bgColor rgb="FFFFF9C4"/>
        </patternFill>
      </fill>
    </dxf>
    <dxf>
      <font>
        <b/>
        <sz val="9"/>
        <color rgb="FFE74C3C"/>
        <name val="Aptos"/>
        <charset val="1"/>
      </font>
      <fill>
        <patternFill>
          <bgColor rgb="FFFADBD8"/>
        </patternFill>
      </fill>
    </dxf>
    <dxf>
      <font>
        <b/>
        <sz val="9"/>
        <color rgb="FFC0392B"/>
        <name val="Aptos"/>
        <charset val="1"/>
      </font>
      <fill>
        <patternFill>
          <bgColor rgb="FFF5B7B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FCE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DF5"/>
      <rgbColor rgb="FFD5F5E3"/>
      <rgbColor rgb="FFFFF2CC"/>
      <rgbColor rgb="FFFCE4EC"/>
      <rgbColor rgb="FFFADBD8"/>
      <rgbColor rgb="FFCC99FF"/>
      <rgbColor rgb="FFF5B7B1"/>
      <rgbColor rgb="FF3366FF"/>
      <rgbColor rgb="FF33CCCC"/>
      <rgbColor rgb="FF99CC00"/>
      <rgbColor rgb="FFFFCC00"/>
      <rgbColor rgb="FFD4842A"/>
      <rgbColor rgb="FFE74C3C"/>
      <rgbColor rgb="FF666699"/>
      <rgbColor rgb="FF969696"/>
      <rgbColor rgb="FF003C72"/>
      <rgbColor rgb="FF2E7D4F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354240</xdr:colOff>
      <xdr:row>1</xdr:row>
      <xdr:rowOff>247320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04760" cy="52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776880</xdr:colOff>
      <xdr:row>1</xdr:row>
      <xdr:rowOff>247320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04760" cy="52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1904760</xdr:colOff>
      <xdr:row>1</xdr:row>
      <xdr:rowOff>247320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04760" cy="52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1"/>
  <sheetViews>
    <sheetView tabSelected="1" zoomScaleNormal="100" workbookViewId="0">
      <pane ySplit="11" topLeftCell="A12" activePane="bottomLeft" state="frozen"/>
      <selection pane="bottomLeft" activeCell="H12" sqref="H12"/>
    </sheetView>
  </sheetViews>
  <sheetFormatPr defaultColWidth="8.7109375" defaultRowHeight="15" x14ac:dyDescent="0.25"/>
  <cols>
    <col min="1" max="1" width="22" customWidth="1"/>
    <col min="2" max="2" width="12" customWidth="1"/>
    <col min="3" max="4" width="14" customWidth="1"/>
    <col min="5" max="5" width="16" customWidth="1"/>
    <col min="6" max="6" width="35" customWidth="1"/>
    <col min="7" max="7" width="30" customWidth="1"/>
    <col min="8" max="8" width="20" customWidth="1"/>
    <col min="9" max="9" width="14" customWidth="1"/>
    <col min="10" max="11" width="25" customWidth="1"/>
    <col min="12" max="12" width="14" customWidth="1"/>
    <col min="13" max="14" width="12" customWidth="1"/>
    <col min="15" max="16" width="25" customWidth="1"/>
    <col min="17" max="17" width="12" customWidth="1"/>
    <col min="18" max="18" width="25" customWidth="1"/>
    <col min="19" max="19" width="12" customWidth="1"/>
  </cols>
  <sheetData>
    <row r="1" spans="1:19" ht="21.75" customHeight="1" x14ac:dyDescent="0.25"/>
    <row r="2" spans="1:19" ht="21.75" customHeight="1" x14ac:dyDescent="0.25"/>
    <row r="3" spans="1:19" ht="21.75" customHeight="1" x14ac:dyDescent="0.25"/>
    <row r="4" spans="1:19" ht="31.5" customHeight="1" x14ac:dyDescent="0.2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6" spans="1:19" ht="21.75" customHeight="1" x14ac:dyDescent="0.25">
      <c r="A6" s="7" t="s">
        <v>1</v>
      </c>
      <c r="B6" s="5" t="s">
        <v>2</v>
      </c>
      <c r="C6" s="5"/>
      <c r="D6" s="7" t="s">
        <v>3</v>
      </c>
      <c r="E6" s="5" t="s">
        <v>4</v>
      </c>
      <c r="F6" s="5"/>
      <c r="G6" s="7" t="s">
        <v>5</v>
      </c>
      <c r="H6" s="5" t="s">
        <v>6</v>
      </c>
      <c r="I6" s="5"/>
    </row>
    <row r="7" spans="1:19" ht="21.75" customHeight="1" x14ac:dyDescent="0.25">
      <c r="A7" s="8" t="s">
        <v>7</v>
      </c>
      <c r="B7" s="4" t="s">
        <v>8</v>
      </c>
      <c r="C7" s="4"/>
      <c r="D7" s="8" t="s">
        <v>9</v>
      </c>
      <c r="E7" s="4" t="s">
        <v>10</v>
      </c>
      <c r="F7" s="4"/>
      <c r="G7" s="8" t="s">
        <v>11</v>
      </c>
      <c r="H7" s="4" t="s">
        <v>12</v>
      </c>
      <c r="I7" s="4"/>
    </row>
    <row r="8" spans="1:19" ht="21.75" customHeight="1" x14ac:dyDescent="0.25">
      <c r="A8" s="7" t="s">
        <v>13</v>
      </c>
      <c r="B8" s="5" t="s">
        <v>14</v>
      </c>
      <c r="C8" s="5"/>
      <c r="D8" s="5"/>
      <c r="E8" s="5"/>
      <c r="F8" s="5"/>
      <c r="G8" s="5"/>
      <c r="H8" s="5"/>
      <c r="I8" s="5"/>
    </row>
    <row r="9" spans="1:19" ht="21.75" customHeight="1" x14ac:dyDescent="0.25">
      <c r="A9" s="8" t="s">
        <v>15</v>
      </c>
      <c r="B9" s="4" t="s">
        <v>16</v>
      </c>
      <c r="C9" s="4"/>
      <c r="D9" s="4"/>
      <c r="E9" s="4"/>
      <c r="F9" s="4"/>
      <c r="G9" s="4"/>
      <c r="H9" s="4"/>
      <c r="I9" s="4"/>
    </row>
    <row r="11" spans="1:19" ht="30" customHeight="1" x14ac:dyDescent="0.25">
      <c r="A11" s="9" t="s">
        <v>17</v>
      </c>
      <c r="B11" s="9" t="s">
        <v>18</v>
      </c>
      <c r="C11" s="9" t="s">
        <v>19</v>
      </c>
      <c r="D11" s="9" t="s">
        <v>20</v>
      </c>
      <c r="E11" s="9" t="s">
        <v>21</v>
      </c>
      <c r="F11" s="9" t="s">
        <v>22</v>
      </c>
      <c r="G11" s="9" t="s">
        <v>23</v>
      </c>
      <c r="H11" s="9" t="s">
        <v>24</v>
      </c>
      <c r="I11" s="9" t="s">
        <v>25</v>
      </c>
      <c r="J11" s="9" t="s">
        <v>26</v>
      </c>
      <c r="K11" s="9" t="s">
        <v>27</v>
      </c>
      <c r="L11" s="9" t="s">
        <v>28</v>
      </c>
      <c r="M11" s="9" t="s">
        <v>29</v>
      </c>
      <c r="N11" s="9" t="s">
        <v>30</v>
      </c>
      <c r="O11" s="9" t="s">
        <v>31</v>
      </c>
      <c r="P11" s="9" t="s">
        <v>32</v>
      </c>
      <c r="Q11" s="9" t="s">
        <v>33</v>
      </c>
      <c r="R11" s="9" t="s">
        <v>34</v>
      </c>
      <c r="S11" s="9" t="s">
        <v>35</v>
      </c>
    </row>
    <row r="12" spans="1:19" ht="19.5" customHeight="1" x14ac:dyDescent="0.25">
      <c r="A12" s="10" t="s">
        <v>36</v>
      </c>
      <c r="B12" s="10"/>
      <c r="C12" s="10"/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 t="s">
        <v>37</v>
      </c>
    </row>
    <row r="13" spans="1:19" ht="19.5" customHeight="1" x14ac:dyDescent="0.25">
      <c r="A13" s="10"/>
      <c r="B13" s="10"/>
      <c r="C13" s="10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19.5" customHeight="1" x14ac:dyDescent="0.25">
      <c r="A14" s="10"/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9.5" customHeight="1" x14ac:dyDescent="0.25">
      <c r="A15" s="10"/>
      <c r="B15" s="10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19.5" customHeight="1" x14ac:dyDescent="0.25">
      <c r="A16" s="10"/>
      <c r="B16" s="10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9.5" customHeight="1" x14ac:dyDescent="0.25">
      <c r="A17" s="10"/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19.5" customHeight="1" x14ac:dyDescent="0.25">
      <c r="A18" s="10"/>
      <c r="B18" s="10"/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19.5" customHeight="1" x14ac:dyDescent="0.25">
      <c r="A19" s="10"/>
      <c r="B19" s="10"/>
      <c r="C19" s="10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19.5" customHeight="1" x14ac:dyDescent="0.25">
      <c r="A20" s="10"/>
      <c r="B20" s="10"/>
      <c r="C20" s="10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19.5" customHeight="1" x14ac:dyDescent="0.25">
      <c r="A21" s="10"/>
      <c r="B21" s="10"/>
      <c r="C21" s="10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19.5" customHeight="1" x14ac:dyDescent="0.25">
      <c r="A22" s="10"/>
      <c r="B22" s="10"/>
      <c r="C22" s="10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ht="19.5" customHeight="1" x14ac:dyDescent="0.25">
      <c r="A23" s="10"/>
      <c r="B23" s="10"/>
      <c r="C23" s="10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ht="19.5" customHeight="1" x14ac:dyDescent="0.25">
      <c r="A24" s="10"/>
      <c r="B24" s="10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ht="19.5" customHeight="1" x14ac:dyDescent="0.25">
      <c r="A25" s="10"/>
      <c r="B25" s="10"/>
      <c r="C25" s="10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19.5" customHeight="1" x14ac:dyDescent="0.25">
      <c r="A26" s="10"/>
      <c r="B26" s="10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ht="19.5" customHeight="1" x14ac:dyDescent="0.25">
      <c r="A27" s="10"/>
      <c r="B27" s="10"/>
      <c r="C27" s="10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19.5" customHeight="1" x14ac:dyDescent="0.25">
      <c r="A28" s="10"/>
      <c r="B28" s="10"/>
      <c r="C28" s="10"/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ht="19.5" customHeight="1" x14ac:dyDescent="0.25">
      <c r="A29" s="10"/>
      <c r="B29" s="10"/>
      <c r="C29" s="10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ht="19.5" customHeight="1" x14ac:dyDescent="0.25">
      <c r="A30" s="10"/>
      <c r="B30" s="10"/>
      <c r="C30" s="10"/>
      <c r="D30" s="10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ht="19.5" customHeight="1" x14ac:dyDescent="0.25">
      <c r="A31" s="10"/>
      <c r="B31" s="10"/>
      <c r="C31" s="10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</sheetData>
  <mergeCells count="9">
    <mergeCell ref="B8:I8"/>
    <mergeCell ref="B9:I9"/>
    <mergeCell ref="A4:S4"/>
    <mergeCell ref="B6:C6"/>
    <mergeCell ref="E6:F6"/>
    <mergeCell ref="H6:I6"/>
    <mergeCell ref="B7:C7"/>
    <mergeCell ref="E7:F7"/>
    <mergeCell ref="H7:I7"/>
  </mergeCells>
  <conditionalFormatting sqref="I12:I31">
    <cfRule type="cellIs" dxfId="10" priority="9" operator="equal">
      <formula>"Critical"</formula>
    </cfRule>
    <cfRule type="cellIs" dxfId="9" priority="10" operator="equal">
      <formula>"High"</formula>
    </cfRule>
    <cfRule type="cellIs" dxfId="8" priority="11" operator="equal">
      <formula>"Medium"</formula>
    </cfRule>
    <cfRule type="cellIs" dxfId="7" priority="12" operator="equal">
      <formula>"Low"</formula>
    </cfRule>
  </conditionalFormatting>
  <conditionalFormatting sqref="S12:S31">
    <cfRule type="cellIs" dxfId="6" priority="2" operator="equal">
      <formula>"Completed"</formula>
    </cfRule>
    <cfRule type="cellIs" dxfId="5" priority="3" operator="equal">
      <formula>"Open"</formula>
    </cfRule>
    <cfRule type="cellIs" dxfId="4" priority="4" operator="equal">
      <formula>"In Progress"</formula>
    </cfRule>
    <cfRule type="cellIs" dxfId="3" priority="5" operator="equal">
      <formula>"Rejected"</formula>
    </cfRule>
    <cfRule type="cellIs" dxfId="2" priority="6" operator="equal">
      <formula>"Under Review"</formula>
    </cfRule>
    <cfRule type="cellIs" dxfId="1" priority="7" operator="equal">
      <formula>"Approved"</formula>
    </cfRule>
    <cfRule type="cellIs" dxfId="0" priority="8" operator="equal">
      <formula>"Deferred"</formula>
    </cfRule>
  </conditionalFormatting>
  <dataValidations count="4">
    <dataValidation type="list" allowBlank="1" sqref="E12:E31" xr:uid="{00000000-0002-0000-0000-000000000000}">
      <formula1>"Process / System,Operational,Organisational,Regulatory / Standards,Commercial / Contract,Environment / Workplace"</formula1>
      <formula2>0</formula2>
    </dataValidation>
    <dataValidation type="list" allowBlank="1" sqref="I12:I31" xr:uid="{00000000-0002-0000-0000-000001000000}">
      <formula1>"Low,Medium,High,Critical"</formula1>
      <formula2>0</formula2>
    </dataValidation>
    <dataValidation type="list" allowBlank="1" sqref="N12:N31" xr:uid="{00000000-0002-0000-0000-000002000000}">
      <formula1>"Approved,Rejected,Deferred,More Info Required"</formula1>
      <formula2>0</formula2>
    </dataValidation>
    <dataValidation type="list" allowBlank="1" sqref="S12:S31" xr:uid="{00000000-0002-0000-0000-000003000000}">
      <formula1>"Open,Under Review,Approved,In Progress,Completed,Rejected,Deferred"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Normal="100" workbookViewId="0"/>
  </sheetViews>
  <sheetFormatPr defaultColWidth="8.7109375" defaultRowHeight="15" x14ac:dyDescent="0.25"/>
  <cols>
    <col min="1" max="7" width="16" customWidth="1"/>
  </cols>
  <sheetData>
    <row r="1" spans="1:8" ht="21.75" customHeight="1" x14ac:dyDescent="0.25"/>
    <row r="2" spans="1:8" ht="21.75" customHeight="1" x14ac:dyDescent="0.25"/>
    <row r="3" spans="1:8" ht="21.75" customHeight="1" x14ac:dyDescent="0.25"/>
    <row r="4" spans="1:8" ht="31.5" customHeight="1" x14ac:dyDescent="0.25">
      <c r="A4" s="6" t="s">
        <v>38</v>
      </c>
      <c r="B4" s="6"/>
      <c r="C4" s="6"/>
      <c r="D4" s="6"/>
      <c r="E4" s="6"/>
      <c r="F4" s="6"/>
      <c r="G4" s="6"/>
      <c r="H4" s="6"/>
    </row>
    <row r="6" spans="1:8" ht="24" customHeight="1" x14ac:dyDescent="0.25">
      <c r="A6" s="3" t="s">
        <v>39</v>
      </c>
      <c r="B6" s="3"/>
      <c r="C6" s="3"/>
      <c r="D6" s="3"/>
      <c r="E6" s="3"/>
      <c r="F6" s="3"/>
      <c r="G6" s="3"/>
      <c r="H6" s="3"/>
    </row>
    <row r="7" spans="1:8" x14ac:dyDescent="0.25">
      <c r="A7" s="9" t="s">
        <v>40</v>
      </c>
      <c r="B7" s="9" t="s">
        <v>37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45</v>
      </c>
    </row>
    <row r="8" spans="1:8" ht="18.75" x14ac:dyDescent="0.25">
      <c r="A8" s="12">
        <f>COUNTA(Register!A12:A31)-COUNTBLANK(Register!A12:A31)</f>
        <v>-18</v>
      </c>
      <c r="B8" s="12">
        <f>COUNTIF(Register!S12:S31,"Open")</f>
        <v>1</v>
      </c>
      <c r="C8" s="12">
        <f>COUNTIF(Register!S12:S31,"Under Review")</f>
        <v>0</v>
      </c>
      <c r="D8" s="12">
        <f>COUNTIF(Register!S12:S31,"In Progress")</f>
        <v>0</v>
      </c>
      <c r="E8" s="12">
        <f>COUNTIF(Register!S12:S31,"Completed")</f>
        <v>0</v>
      </c>
      <c r="F8" s="12">
        <f>COUNTIF(Register!S12:S31,"Rejected")</f>
        <v>0</v>
      </c>
      <c r="G8" s="12">
        <f>COUNTIF(Register!S12:S31,"Deferred")</f>
        <v>0</v>
      </c>
    </row>
    <row r="10" spans="1:8" ht="24" customHeight="1" x14ac:dyDescent="0.25">
      <c r="A10" s="2" t="s">
        <v>46</v>
      </c>
      <c r="B10" s="2"/>
      <c r="C10" s="2"/>
      <c r="D10" s="2"/>
    </row>
    <row r="11" spans="1:8" x14ac:dyDescent="0.25">
      <c r="A11" s="9" t="s">
        <v>47</v>
      </c>
      <c r="B11" s="9" t="s">
        <v>48</v>
      </c>
      <c r="C11" s="9" t="s">
        <v>49</v>
      </c>
      <c r="D11" s="9" t="s">
        <v>50</v>
      </c>
    </row>
    <row r="12" spans="1:8" ht="18.75" x14ac:dyDescent="0.25">
      <c r="A12" s="12">
        <f>COUNTIF(Register!I12:I31,"Low")</f>
        <v>0</v>
      </c>
      <c r="B12" s="12">
        <f>COUNTIF(Register!I12:I31,"Medium")</f>
        <v>0</v>
      </c>
      <c r="C12" s="12">
        <f>COUNTIF(Register!I12:I31,"High")</f>
        <v>0</v>
      </c>
      <c r="D12" s="12">
        <f>COUNTIF(Register!I12:I31,"Critical")</f>
        <v>0</v>
      </c>
    </row>
    <row r="14" spans="1:8" ht="24" customHeight="1" x14ac:dyDescent="0.25">
      <c r="A14" s="2" t="s">
        <v>51</v>
      </c>
      <c r="B14" s="2"/>
      <c r="C14" s="2"/>
      <c r="D14" s="2"/>
      <c r="E14" s="2"/>
      <c r="F14" s="2"/>
    </row>
    <row r="15" spans="1:8" ht="24" x14ac:dyDescent="0.25">
      <c r="A15" s="9" t="s">
        <v>52</v>
      </c>
      <c r="B15" s="9" t="s">
        <v>53</v>
      </c>
      <c r="C15" s="9" t="s">
        <v>54</v>
      </c>
      <c r="D15" s="9" t="s">
        <v>55</v>
      </c>
      <c r="E15" s="9" t="s">
        <v>56</v>
      </c>
      <c r="F15" s="9" t="s">
        <v>57</v>
      </c>
    </row>
    <row r="16" spans="1:8" ht="18.75" x14ac:dyDescent="0.25">
      <c r="A16" s="12">
        <f>COUNTIF(Register!E12:E31,"Process / System")</f>
        <v>0</v>
      </c>
      <c r="B16" s="12">
        <f>COUNTIF(Register!E12:E31,"Operational")</f>
        <v>0</v>
      </c>
      <c r="C16" s="12">
        <f>COUNTIF(Register!E12:E31,"Organisational")</f>
        <v>0</v>
      </c>
      <c r="D16" s="12">
        <f>COUNTIF(Register!E12:E31,"Regulatory / Standards")</f>
        <v>0</v>
      </c>
      <c r="E16" s="12">
        <f>COUNTIF(Register!E12:E31,"Commercial / Contract")</f>
        <v>0</v>
      </c>
      <c r="F16" s="12">
        <f>COUNTIF(Register!E12:E31,"Environment / Workplace")</f>
        <v>0</v>
      </c>
    </row>
    <row r="18" spans="1:8" ht="19.5" customHeight="1" x14ac:dyDescent="0.25">
      <c r="A18" s="1" t="s">
        <v>58</v>
      </c>
      <c r="B18" s="1"/>
      <c r="C18" s="1"/>
      <c r="D18" s="1"/>
      <c r="E18" s="1"/>
      <c r="F18" s="1"/>
      <c r="G18" s="1"/>
      <c r="H18" s="1"/>
    </row>
  </sheetData>
  <mergeCells count="5">
    <mergeCell ref="A4:H4"/>
    <mergeCell ref="A6:H6"/>
    <mergeCell ref="A10:D10"/>
    <mergeCell ref="A14:F14"/>
    <mergeCell ref="A18:H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"/>
  <sheetViews>
    <sheetView zoomScaleNormal="100" workbookViewId="0"/>
  </sheetViews>
  <sheetFormatPr defaultColWidth="8.7109375" defaultRowHeight="15" x14ac:dyDescent="0.25"/>
  <cols>
    <col min="1" max="1" width="80" customWidth="1"/>
  </cols>
  <sheetData>
    <row r="1" spans="1:1" ht="21.75" customHeight="1" x14ac:dyDescent="0.25"/>
    <row r="2" spans="1:1" ht="21.75" customHeight="1" x14ac:dyDescent="0.25"/>
    <row r="3" spans="1:1" ht="21.75" customHeight="1" x14ac:dyDescent="0.25"/>
    <row r="4" spans="1:1" ht="31.5" customHeight="1" x14ac:dyDescent="0.4">
      <c r="A4" s="13" t="s">
        <v>59</v>
      </c>
    </row>
    <row r="6" spans="1:1" ht="24" x14ac:dyDescent="0.25">
      <c r="A6" s="14" t="s">
        <v>60</v>
      </c>
    </row>
    <row r="7" spans="1:1" x14ac:dyDescent="0.25">
      <c r="A7" s="14"/>
    </row>
    <row r="8" spans="1:1" x14ac:dyDescent="0.25">
      <c r="A8" s="15" t="s">
        <v>61</v>
      </c>
    </row>
    <row r="9" spans="1:1" x14ac:dyDescent="0.25">
      <c r="A9" s="14" t="s">
        <v>62</v>
      </c>
    </row>
    <row r="10" spans="1:1" x14ac:dyDescent="0.25">
      <c r="A10" s="14" t="s">
        <v>63</v>
      </c>
    </row>
    <row r="11" spans="1:1" x14ac:dyDescent="0.25">
      <c r="A11" s="14" t="s">
        <v>64</v>
      </c>
    </row>
    <row r="12" spans="1:1" x14ac:dyDescent="0.25">
      <c r="A12" s="14" t="s">
        <v>65</v>
      </c>
    </row>
    <row r="13" spans="1:1" x14ac:dyDescent="0.25">
      <c r="A13" s="14" t="s">
        <v>66</v>
      </c>
    </row>
    <row r="14" spans="1:1" x14ac:dyDescent="0.25">
      <c r="A14" s="14"/>
    </row>
    <row r="15" spans="1:1" x14ac:dyDescent="0.25">
      <c r="A15" s="15" t="s">
        <v>67</v>
      </c>
    </row>
    <row r="16" spans="1:1" x14ac:dyDescent="0.25">
      <c r="A16" s="14" t="s">
        <v>68</v>
      </c>
    </row>
    <row r="17" spans="1:1" x14ac:dyDescent="0.25">
      <c r="A17" s="14" t="s">
        <v>69</v>
      </c>
    </row>
    <row r="18" spans="1:1" x14ac:dyDescent="0.25">
      <c r="A18" s="14"/>
    </row>
    <row r="19" spans="1:1" x14ac:dyDescent="0.25">
      <c r="A19" s="15" t="s">
        <v>70</v>
      </c>
    </row>
    <row r="20" spans="1:1" x14ac:dyDescent="0.25">
      <c r="A20" s="14" t="s">
        <v>71</v>
      </c>
    </row>
    <row r="21" spans="1:1" x14ac:dyDescent="0.25">
      <c r="A21" s="14" t="s">
        <v>72</v>
      </c>
    </row>
    <row r="22" spans="1:1" x14ac:dyDescent="0.25">
      <c r="A22" s="14" t="s">
        <v>73</v>
      </c>
    </row>
    <row r="23" spans="1:1" x14ac:dyDescent="0.25">
      <c r="A23" s="14" t="s">
        <v>74</v>
      </c>
    </row>
    <row r="24" spans="1:1" x14ac:dyDescent="0.25">
      <c r="A24" s="14" t="s">
        <v>75</v>
      </c>
    </row>
    <row r="25" spans="1:1" x14ac:dyDescent="0.25">
      <c r="A25" s="14" t="s">
        <v>76</v>
      </c>
    </row>
    <row r="26" spans="1:1" x14ac:dyDescent="0.25">
      <c r="A26" s="14" t="s">
        <v>77</v>
      </c>
    </row>
    <row r="27" spans="1:1" x14ac:dyDescent="0.25">
      <c r="A27" s="14"/>
    </row>
    <row r="28" spans="1:1" x14ac:dyDescent="0.25">
      <c r="A28" s="15" t="s">
        <v>78</v>
      </c>
    </row>
    <row r="29" spans="1:1" x14ac:dyDescent="0.25">
      <c r="A29" s="14" t="s">
        <v>79</v>
      </c>
    </row>
    <row r="30" spans="1:1" x14ac:dyDescent="0.25">
      <c r="A30" s="14" t="s">
        <v>80</v>
      </c>
    </row>
    <row r="31" spans="1:1" x14ac:dyDescent="0.25">
      <c r="A31" s="14" t="s">
        <v>81</v>
      </c>
    </row>
    <row r="32" spans="1:1" x14ac:dyDescent="0.25">
      <c r="A32" s="14" t="s">
        <v>82</v>
      </c>
    </row>
    <row r="33" spans="1:1" x14ac:dyDescent="0.25">
      <c r="A33" s="14" t="s">
        <v>83</v>
      </c>
    </row>
    <row r="34" spans="1:1" x14ac:dyDescent="0.25">
      <c r="A34" s="14" t="s">
        <v>84</v>
      </c>
    </row>
    <row r="35" spans="1:1" x14ac:dyDescent="0.25">
      <c r="A35" s="14"/>
    </row>
    <row r="36" spans="1:1" x14ac:dyDescent="0.25">
      <c r="A36" s="15" t="s">
        <v>85</v>
      </c>
    </row>
    <row r="37" spans="1:1" x14ac:dyDescent="0.25">
      <c r="A37" s="14" t="s">
        <v>16</v>
      </c>
    </row>
    <row r="38" spans="1:1" x14ac:dyDescent="0.25">
      <c r="A38" s="14" t="s">
        <v>86</v>
      </c>
    </row>
    <row r="39" spans="1:1" x14ac:dyDescent="0.25">
      <c r="A39" s="14" t="s">
        <v>87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Darren Watts</cp:lastModifiedBy>
  <cp:revision>0</cp:revision>
  <dcterms:created xsi:type="dcterms:W3CDTF">2026-04-07T16:12:21Z</dcterms:created>
  <dcterms:modified xsi:type="dcterms:W3CDTF">2026-04-07T16:13:15Z</dcterms:modified>
  <dc:language>en-US</dc:language>
</cp:coreProperties>
</file>